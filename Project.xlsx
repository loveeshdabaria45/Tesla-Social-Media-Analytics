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202300"/>
  <mc:AlternateContent xmlns:mc="http://schemas.openxmlformats.org/markup-compatibility/2006">
    <mc:Choice Requires="x15">
      <x15ac:absPath xmlns:x15ac="http://schemas.microsoft.com/office/spreadsheetml/2010/11/ac" url="/Users/priyanshiraj/Desktop/Project/"/>
    </mc:Choice>
  </mc:AlternateContent>
  <xr:revisionPtr revIDLastSave="0" documentId="13_ncr:1_{111F7524-757C-124A-BEFD-9381D32BCB2E}" xr6:coauthVersionLast="47" xr6:coauthVersionMax="47" xr10:uidLastSave="{00000000-0000-0000-0000-000000000000}"/>
  <bookViews>
    <workbookView xWindow="0" yWindow="500" windowWidth="28800" windowHeight="15920" firstSheet="2" activeTab="4" xr2:uid="{79839A8C-3E2A-B542-ADCC-9C6B5C8D1433}"/>
  </bookViews>
  <sheets>
    <sheet name="Hashtag" sheetId="2" r:id="rId1"/>
    <sheet name="Posts (2)" sheetId="4" r:id="rId2"/>
    <sheet name="Engagement Summary" sheetId="5" r:id="rId3"/>
    <sheet name="Campaign Metadata" sheetId="8" r:id="rId4"/>
    <sheet name="Engagement Analysis" sheetId="3" r:id="rId5"/>
    <sheet name="Video Link" sheetId="13" r:id="rId6"/>
    <sheet name="Platform Analysis" sheetId="7" r:id="rId7"/>
    <sheet name="Campaign Effectiveness" sheetId="9" r:id="rId8"/>
    <sheet name="Follower Retention" sheetId="12" r:id="rId9"/>
  </sheets>
  <definedNames>
    <definedName name="_xlnm._FilterDatabase" localSheetId="2" hidden="1">'Engagement Summary'!$A$1:$I$201</definedName>
    <definedName name="ExternalData_1" localSheetId="0" hidden="1">Hashtag!$A$1:$N$1039</definedName>
    <definedName name="Slicer_Platform">#N/A</definedName>
    <definedName name="Slicer_Platform1">#N/A</definedName>
  </definedNames>
  <calcPr calcId="191029"/>
  <pivotCaches>
    <pivotCache cacheId="0" r:id="rId10"/>
    <pivotCache cacheId="1" r:id="rId11"/>
    <pivotCache cacheId="2" r:id="rId12"/>
    <pivotCache cacheId="3"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5" l="1"/>
  <c r="I102" i="5"/>
  <c r="I152" i="5"/>
  <c r="I53" i="5"/>
  <c r="I3" i="5"/>
  <c r="I103" i="5"/>
  <c r="I153" i="5"/>
  <c r="I54" i="5"/>
  <c r="I4" i="5"/>
  <c r="I104" i="5"/>
  <c r="I154" i="5"/>
  <c r="I55" i="5"/>
  <c r="I5" i="5"/>
  <c r="I105" i="5"/>
  <c r="I155" i="5"/>
  <c r="I56" i="5"/>
  <c r="I6" i="5"/>
  <c r="I106" i="5"/>
  <c r="I156" i="5"/>
  <c r="I57" i="5"/>
  <c r="I7" i="5"/>
  <c r="I107" i="5"/>
  <c r="I157" i="5"/>
  <c r="I58" i="5"/>
  <c r="I8" i="5"/>
  <c r="I108" i="5"/>
  <c r="I158" i="5"/>
  <c r="I59" i="5"/>
  <c r="I9" i="5"/>
  <c r="I109" i="5"/>
  <c r="I159" i="5"/>
  <c r="I60" i="5"/>
  <c r="I10" i="5"/>
  <c r="I110" i="5"/>
  <c r="I160" i="5"/>
  <c r="I61" i="5"/>
  <c r="I11" i="5"/>
  <c r="I111" i="5"/>
  <c r="I161" i="5"/>
  <c r="I62" i="5"/>
  <c r="I12" i="5"/>
  <c r="I112" i="5"/>
  <c r="I162" i="5"/>
  <c r="I63" i="5"/>
  <c r="I13" i="5"/>
  <c r="I113" i="5"/>
  <c r="I163" i="5"/>
  <c r="I64" i="5"/>
  <c r="I14" i="5"/>
  <c r="I114" i="5"/>
  <c r="I164" i="5"/>
  <c r="I65" i="5"/>
  <c r="I15" i="5"/>
  <c r="I115" i="5"/>
  <c r="I165" i="5"/>
  <c r="I66" i="5"/>
  <c r="I16" i="5"/>
  <c r="I116" i="5"/>
  <c r="I166" i="5"/>
  <c r="I67" i="5"/>
  <c r="I17" i="5"/>
  <c r="I117" i="5"/>
  <c r="I167" i="5"/>
  <c r="I68" i="5"/>
  <c r="I18" i="5"/>
  <c r="I118" i="5"/>
  <c r="I168" i="5"/>
  <c r="I69" i="5"/>
  <c r="I19" i="5"/>
  <c r="I119" i="5"/>
  <c r="I169" i="5"/>
  <c r="I70" i="5"/>
  <c r="I20" i="5"/>
  <c r="I120" i="5"/>
  <c r="I170" i="5"/>
  <c r="I71" i="5"/>
  <c r="I21" i="5"/>
  <c r="I121" i="5"/>
  <c r="I171" i="5"/>
  <c r="I72" i="5"/>
  <c r="I22" i="5"/>
  <c r="I122" i="5"/>
  <c r="I172" i="5"/>
  <c r="I73" i="5"/>
  <c r="I23" i="5"/>
  <c r="I123" i="5"/>
  <c r="I173" i="5"/>
  <c r="I74" i="5"/>
  <c r="I24" i="5"/>
  <c r="I124" i="5"/>
  <c r="I174" i="5"/>
  <c r="I75" i="5"/>
  <c r="I25" i="5"/>
  <c r="I125" i="5"/>
  <c r="I175" i="5"/>
  <c r="I76" i="5"/>
  <c r="I26" i="5"/>
  <c r="I126" i="5"/>
  <c r="I176" i="5"/>
  <c r="I77" i="5"/>
  <c r="I27" i="5"/>
  <c r="I127" i="5"/>
  <c r="I177" i="5"/>
  <c r="I78" i="5"/>
  <c r="I28" i="5"/>
  <c r="I128" i="5"/>
  <c r="I178" i="5"/>
  <c r="I79" i="5"/>
  <c r="I29" i="5"/>
  <c r="I129" i="5"/>
  <c r="I179" i="5"/>
  <c r="I80" i="5"/>
  <c r="I30" i="5"/>
  <c r="I130" i="5"/>
  <c r="I180" i="5"/>
  <c r="I81" i="5"/>
  <c r="I31" i="5"/>
  <c r="I131" i="5"/>
  <c r="I181" i="5"/>
  <c r="I82" i="5"/>
  <c r="I32" i="5"/>
  <c r="I132" i="5"/>
  <c r="I182" i="5"/>
  <c r="I83" i="5"/>
  <c r="I33" i="5"/>
  <c r="I133" i="5"/>
  <c r="I183" i="5"/>
  <c r="I84" i="5"/>
  <c r="I34" i="5"/>
  <c r="I134" i="5"/>
  <c r="I184" i="5"/>
  <c r="I85" i="5"/>
  <c r="I35" i="5"/>
  <c r="I135" i="5"/>
  <c r="I185" i="5"/>
  <c r="I86" i="5"/>
  <c r="I36" i="5"/>
  <c r="I136" i="5"/>
  <c r="I186" i="5"/>
  <c r="I87" i="5"/>
  <c r="I37" i="5"/>
  <c r="I137" i="5"/>
  <c r="I187" i="5"/>
  <c r="I88" i="5"/>
  <c r="I38" i="5"/>
  <c r="I138" i="5"/>
  <c r="I188" i="5"/>
  <c r="I89" i="5"/>
  <c r="I39" i="5"/>
  <c r="I139" i="5"/>
  <c r="I189" i="5"/>
  <c r="I90" i="5"/>
  <c r="I40" i="5"/>
  <c r="I140" i="5"/>
  <c r="I190" i="5"/>
  <c r="I91" i="5"/>
  <c r="I41" i="5"/>
  <c r="I141" i="5"/>
  <c r="I191" i="5"/>
  <c r="I92" i="5"/>
  <c r="I42" i="5"/>
  <c r="I142" i="5"/>
  <c r="I192" i="5"/>
  <c r="I93" i="5"/>
  <c r="I43" i="5"/>
  <c r="I143" i="5"/>
  <c r="I193" i="5"/>
  <c r="I94" i="5"/>
  <c r="I44" i="5"/>
  <c r="I144" i="5"/>
  <c r="I194" i="5"/>
  <c r="I95" i="5"/>
  <c r="I45" i="5"/>
  <c r="I145" i="5"/>
  <c r="I195" i="5"/>
  <c r="I96" i="5"/>
  <c r="I46" i="5"/>
  <c r="I146" i="5"/>
  <c r="I196" i="5"/>
  <c r="I97" i="5"/>
  <c r="I47" i="5"/>
  <c r="I147" i="5"/>
  <c r="I197" i="5"/>
  <c r="I98" i="5"/>
  <c r="I48" i="5"/>
  <c r="I148" i="5"/>
  <c r="I198" i="5"/>
  <c r="I99" i="5"/>
  <c r="I49" i="5"/>
  <c r="I149" i="5"/>
  <c r="I199" i="5"/>
  <c r="I100" i="5"/>
  <c r="I50" i="5"/>
  <c r="I150" i="5"/>
  <c r="I200" i="5"/>
  <c r="I101" i="5"/>
  <c r="I51" i="5"/>
  <c r="I151" i="5"/>
  <c r="I201" i="5"/>
  <c r="I52" i="5"/>
  <c r="H32" i="5" a="1"/>
  <c r="H32" i="5" s="1"/>
  <c r="H132" i="5" a="1"/>
  <c r="H132" i="5" s="1"/>
  <c r="H182" i="5" a="1"/>
  <c r="H182" i="5" s="1"/>
  <c r="H83" i="5" a="1"/>
  <c r="H83" i="5" s="1"/>
  <c r="H33" i="5" a="1"/>
  <c r="H33" i="5" s="1"/>
  <c r="H133" i="5" a="1"/>
  <c r="H133" i="5" s="1"/>
  <c r="H183" i="5" a="1"/>
  <c r="H183" i="5" s="1"/>
  <c r="H84" i="5" a="1"/>
  <c r="H84" i="5" s="1"/>
  <c r="H34" i="5" a="1"/>
  <c r="H34" i="5" s="1"/>
  <c r="H134" i="5" a="1"/>
  <c r="H134" i="5" s="1"/>
  <c r="H184" i="5" a="1"/>
  <c r="H184" i="5" s="1"/>
  <c r="H85" i="5" a="1"/>
  <c r="H85" i="5" s="1"/>
  <c r="H35" i="5" a="1"/>
  <c r="H35" i="5" s="1"/>
  <c r="H135" i="5" a="1"/>
  <c r="H135" i="5" s="1"/>
  <c r="H185" i="5" a="1"/>
  <c r="H185" i="5" s="1"/>
  <c r="H86" i="5" a="1"/>
  <c r="H86" i="5" s="1"/>
  <c r="H36" i="5" a="1"/>
  <c r="H36" i="5" s="1"/>
  <c r="H136" i="5" a="1"/>
  <c r="H136" i="5" s="1"/>
  <c r="H186" i="5" a="1"/>
  <c r="H186" i="5" s="1"/>
  <c r="H87" i="5" a="1"/>
  <c r="H87" i="5" s="1"/>
  <c r="H37" i="5" a="1"/>
  <c r="H37" i="5" s="1"/>
  <c r="H137" i="5" a="1"/>
  <c r="H137" i="5" s="1"/>
  <c r="H187" i="5" a="1"/>
  <c r="H187" i="5" s="1"/>
  <c r="H88" i="5" a="1"/>
  <c r="H88" i="5" s="1"/>
  <c r="H38" i="5" a="1"/>
  <c r="H38" i="5" s="1"/>
  <c r="H138" i="5" a="1"/>
  <c r="H138" i="5" s="1"/>
  <c r="H188" i="5" a="1"/>
  <c r="H188" i="5" s="1"/>
  <c r="H89" i="5" a="1"/>
  <c r="H89" i="5" s="1"/>
  <c r="H39" i="5" a="1"/>
  <c r="H39" i="5" s="1"/>
  <c r="H139" i="5" a="1"/>
  <c r="H139" i="5" s="1"/>
  <c r="H189" i="5" a="1"/>
  <c r="H189" i="5" s="1"/>
  <c r="H90" i="5" a="1"/>
  <c r="H90" i="5" s="1"/>
  <c r="H40" i="5" a="1"/>
  <c r="H40" i="5" s="1"/>
  <c r="H140" i="5" a="1"/>
  <c r="H140" i="5" s="1"/>
  <c r="H190" i="5" a="1"/>
  <c r="H190" i="5" s="1"/>
  <c r="H91" i="5" a="1"/>
  <c r="H91" i="5" s="1"/>
  <c r="H41" i="5" a="1"/>
  <c r="H41" i="5" s="1"/>
  <c r="H141" i="5" a="1"/>
  <c r="H141" i="5" s="1"/>
  <c r="H191" i="5" a="1"/>
  <c r="H191" i="5" s="1"/>
  <c r="H92" i="5" a="1"/>
  <c r="H92" i="5" s="1"/>
  <c r="H42" i="5" a="1"/>
  <c r="H42" i="5" s="1"/>
  <c r="H142" i="5" a="1"/>
  <c r="H142" i="5" s="1"/>
  <c r="H192" i="5" a="1"/>
  <c r="H192" i="5" s="1"/>
  <c r="H93" i="5" a="1"/>
  <c r="H93" i="5" s="1"/>
  <c r="H43" i="5" a="1"/>
  <c r="H43" i="5" s="1"/>
  <c r="H143" i="5" a="1"/>
  <c r="H143" i="5" s="1"/>
  <c r="H193" i="5" a="1"/>
  <c r="H193" i="5" s="1"/>
  <c r="H94" i="5" a="1"/>
  <c r="H94" i="5" s="1"/>
  <c r="H44" i="5" a="1"/>
  <c r="H44" i="5" s="1"/>
  <c r="H144" i="5" a="1"/>
  <c r="H144" i="5" s="1"/>
  <c r="H194" i="5" a="1"/>
  <c r="H194" i="5" s="1"/>
  <c r="H95" i="5" a="1"/>
  <c r="H95" i="5" s="1"/>
  <c r="H45" i="5" a="1"/>
  <c r="H45" i="5" s="1"/>
  <c r="H145" i="5" a="1"/>
  <c r="H145" i="5" s="1"/>
  <c r="H195" i="5" a="1"/>
  <c r="H195" i="5" s="1"/>
  <c r="H96" i="5" a="1"/>
  <c r="H96" i="5" s="1"/>
  <c r="H46" i="5" a="1"/>
  <c r="H46" i="5" s="1"/>
  <c r="H146" i="5" a="1"/>
  <c r="H146" i="5" s="1"/>
  <c r="H196" i="5" a="1"/>
  <c r="H196" i="5" s="1"/>
  <c r="H97" i="5" a="1"/>
  <c r="H97" i="5" s="1"/>
  <c r="H47" i="5" a="1"/>
  <c r="H47" i="5" s="1"/>
  <c r="H147" i="5" a="1"/>
  <c r="H147" i="5" s="1"/>
  <c r="H197" i="5" a="1"/>
  <c r="H197" i="5" s="1"/>
  <c r="H98" i="5" a="1"/>
  <c r="H98" i="5" s="1"/>
  <c r="H48" i="5" a="1"/>
  <c r="H48" i="5" s="1"/>
  <c r="H148" i="5" a="1"/>
  <c r="H148" i="5" s="1"/>
  <c r="H198" i="5" a="1"/>
  <c r="H198" i="5" s="1"/>
  <c r="H99" i="5" a="1"/>
  <c r="H99" i="5" s="1"/>
  <c r="H49" i="5" a="1"/>
  <c r="H49" i="5" s="1"/>
  <c r="H149" i="5" a="1"/>
  <c r="H149" i="5" s="1"/>
  <c r="H199" i="5" a="1"/>
  <c r="H199" i="5" s="1"/>
  <c r="H100" i="5" a="1"/>
  <c r="H100" i="5" s="1"/>
  <c r="H50" i="5" a="1"/>
  <c r="H50" i="5" s="1"/>
  <c r="H150" i="5" a="1"/>
  <c r="H150" i="5" s="1"/>
  <c r="H200" i="5" a="1"/>
  <c r="H200" i="5" s="1"/>
  <c r="H101" i="5" a="1"/>
  <c r="H101" i="5" s="1"/>
  <c r="H51" i="5" a="1"/>
  <c r="H51" i="5" s="1"/>
  <c r="H151" i="5" a="1"/>
  <c r="H151" i="5" s="1"/>
  <c r="H201" i="5" a="1"/>
  <c r="H201" i="5" s="1"/>
  <c r="H82" i="5" a="1"/>
  <c r="H82" i="5" s="1"/>
  <c r="H2" i="5" a="1"/>
  <c r="H2" i="5" s="1"/>
  <c r="H102" i="5" a="1"/>
  <c r="H102" i="5" s="1"/>
  <c r="H152" i="5" a="1"/>
  <c r="H152" i="5" s="1"/>
  <c r="H53" i="5" a="1"/>
  <c r="H53" i="5" s="1"/>
  <c r="H3" i="5" a="1"/>
  <c r="H3" i="5" s="1"/>
  <c r="H103" i="5" a="1"/>
  <c r="H103" i="5" s="1"/>
  <c r="H153" i="5" a="1"/>
  <c r="H153" i="5" s="1"/>
  <c r="H54" i="5" a="1"/>
  <c r="H54" i="5" s="1"/>
  <c r="H4" i="5" a="1"/>
  <c r="H4" i="5" s="1"/>
  <c r="H104" i="5" a="1"/>
  <c r="H104" i="5" s="1"/>
  <c r="H154" i="5" a="1"/>
  <c r="H154" i="5" s="1"/>
  <c r="H55" i="5" a="1"/>
  <c r="H55" i="5" s="1"/>
  <c r="H5" i="5" a="1"/>
  <c r="H5" i="5" s="1"/>
  <c r="H105" i="5" a="1"/>
  <c r="H105" i="5" s="1"/>
  <c r="H155" i="5" a="1"/>
  <c r="H155" i="5" s="1"/>
  <c r="H56" i="5" a="1"/>
  <c r="H56" i="5" s="1"/>
  <c r="H6" i="5" a="1"/>
  <c r="H6" i="5" s="1"/>
  <c r="H106" i="5" a="1"/>
  <c r="H106" i="5" s="1"/>
  <c r="H156" i="5" a="1"/>
  <c r="H156" i="5" s="1"/>
  <c r="H57" i="5" a="1"/>
  <c r="H57" i="5" s="1"/>
  <c r="H7" i="5" a="1"/>
  <c r="H7" i="5" s="1"/>
  <c r="H107" i="5" a="1"/>
  <c r="H107" i="5" s="1"/>
  <c r="H157" i="5" a="1"/>
  <c r="H157" i="5" s="1"/>
  <c r="H58" i="5" a="1"/>
  <c r="H58" i="5" s="1"/>
  <c r="H8" i="5" a="1"/>
  <c r="H8" i="5" s="1"/>
  <c r="H108" i="5" a="1"/>
  <c r="H108" i="5" s="1"/>
  <c r="H158" i="5" a="1"/>
  <c r="H158" i="5" s="1"/>
  <c r="H59" i="5" a="1"/>
  <c r="H59" i="5" s="1"/>
  <c r="H9" i="5" a="1"/>
  <c r="H9" i="5" s="1"/>
  <c r="H109" i="5" a="1"/>
  <c r="H109" i="5" s="1"/>
  <c r="H159" i="5" a="1"/>
  <c r="H159" i="5" s="1"/>
  <c r="H60" i="5" a="1"/>
  <c r="H60" i="5" s="1"/>
  <c r="H10" i="5" a="1"/>
  <c r="H10" i="5" s="1"/>
  <c r="H110" i="5" a="1"/>
  <c r="H110" i="5" s="1"/>
  <c r="H160" i="5" a="1"/>
  <c r="H160" i="5" s="1"/>
  <c r="H61" i="5" a="1"/>
  <c r="H61" i="5" s="1"/>
  <c r="H11" i="5" a="1"/>
  <c r="H11" i="5" s="1"/>
  <c r="H111" i="5" a="1"/>
  <c r="H111" i="5" s="1"/>
  <c r="H161" i="5" a="1"/>
  <c r="H161" i="5" s="1"/>
  <c r="H62" i="5" a="1"/>
  <c r="H62" i="5" s="1"/>
  <c r="H12" i="5" a="1"/>
  <c r="H12" i="5" s="1"/>
  <c r="H112" i="5" a="1"/>
  <c r="H112" i="5" s="1"/>
  <c r="H162" i="5" a="1"/>
  <c r="H162" i="5" s="1"/>
  <c r="H63" i="5" a="1"/>
  <c r="H63" i="5" s="1"/>
  <c r="H13" i="5" a="1"/>
  <c r="H13" i="5" s="1"/>
  <c r="H113" i="5" a="1"/>
  <c r="H113" i="5" s="1"/>
  <c r="H163" i="5" a="1"/>
  <c r="H163" i="5" s="1"/>
  <c r="H64" i="5" a="1"/>
  <c r="H64" i="5" s="1"/>
  <c r="H14" i="5" a="1"/>
  <c r="H14" i="5" s="1"/>
  <c r="H114" i="5" a="1"/>
  <c r="H114" i="5" s="1"/>
  <c r="H164" i="5" a="1"/>
  <c r="H164" i="5" s="1"/>
  <c r="H65" i="5" a="1"/>
  <c r="H65" i="5" s="1"/>
  <c r="H15" i="5" a="1"/>
  <c r="H15" i="5" s="1"/>
  <c r="H115" i="5" a="1"/>
  <c r="H115" i="5" s="1"/>
  <c r="H165" i="5" a="1"/>
  <c r="H165" i="5" s="1"/>
  <c r="H66" i="5" a="1"/>
  <c r="H66" i="5" s="1"/>
  <c r="H16" i="5" a="1"/>
  <c r="H16" i="5" s="1"/>
  <c r="H116" i="5" a="1"/>
  <c r="H116" i="5" s="1"/>
  <c r="H166" i="5" a="1"/>
  <c r="H166" i="5" s="1"/>
  <c r="H67" i="5" a="1"/>
  <c r="H67" i="5" s="1"/>
  <c r="H17" i="5" a="1"/>
  <c r="H17" i="5" s="1"/>
  <c r="H117" i="5" a="1"/>
  <c r="H117" i="5" s="1"/>
  <c r="H167" i="5" a="1"/>
  <c r="H167" i="5" s="1"/>
  <c r="H68" i="5" a="1"/>
  <c r="H68" i="5" s="1"/>
  <c r="H18" i="5" a="1"/>
  <c r="H18" i="5" s="1"/>
  <c r="H118" i="5" a="1"/>
  <c r="H118" i="5" s="1"/>
  <c r="H168" i="5" a="1"/>
  <c r="H168" i="5" s="1"/>
  <c r="H69" i="5" a="1"/>
  <c r="H69" i="5" s="1"/>
  <c r="H19" i="5" a="1"/>
  <c r="H19" i="5" s="1"/>
  <c r="H119" i="5" a="1"/>
  <c r="H119" i="5" s="1"/>
  <c r="H169" i="5" a="1"/>
  <c r="H169" i="5" s="1"/>
  <c r="H70" i="5" a="1"/>
  <c r="H70" i="5" s="1"/>
  <c r="H20" i="5" a="1"/>
  <c r="H20" i="5" s="1"/>
  <c r="H120" i="5" a="1"/>
  <c r="H120" i="5" s="1"/>
  <c r="H170" i="5" a="1"/>
  <c r="H170" i="5" s="1"/>
  <c r="H71" i="5" a="1"/>
  <c r="H71" i="5" s="1"/>
  <c r="H21" i="5" a="1"/>
  <c r="H21" i="5" s="1"/>
  <c r="H121" i="5" a="1"/>
  <c r="H121" i="5" s="1"/>
  <c r="H171" i="5" a="1"/>
  <c r="H171" i="5" s="1"/>
  <c r="H72" i="5" a="1"/>
  <c r="H72" i="5" s="1"/>
  <c r="H22" i="5" a="1"/>
  <c r="H22" i="5" s="1"/>
  <c r="H122" i="5" a="1"/>
  <c r="H122" i="5" s="1"/>
  <c r="H172" i="5" a="1"/>
  <c r="H172" i="5" s="1"/>
  <c r="H73" i="5" a="1"/>
  <c r="H73" i="5" s="1"/>
  <c r="H23" i="5" a="1"/>
  <c r="H23" i="5" s="1"/>
  <c r="H123" i="5" a="1"/>
  <c r="H123" i="5" s="1"/>
  <c r="H173" i="5" a="1"/>
  <c r="H173" i="5" s="1"/>
  <c r="H74" i="5" a="1"/>
  <c r="H74" i="5" s="1"/>
  <c r="H24" i="5" a="1"/>
  <c r="H24" i="5" s="1"/>
  <c r="H124" i="5" a="1"/>
  <c r="H124" i="5" s="1"/>
  <c r="H174" i="5" a="1"/>
  <c r="H174" i="5" s="1"/>
  <c r="H75" i="5" a="1"/>
  <c r="H75" i="5" s="1"/>
  <c r="H25" i="5" a="1"/>
  <c r="H25" i="5" s="1"/>
  <c r="H125" i="5" a="1"/>
  <c r="H125" i="5" s="1"/>
  <c r="H175" i="5" a="1"/>
  <c r="H175" i="5" s="1"/>
  <c r="H76" i="5" a="1"/>
  <c r="H76" i="5" s="1"/>
  <c r="H26" i="5" a="1"/>
  <c r="H26" i="5" s="1"/>
  <c r="H126" i="5" a="1"/>
  <c r="H126" i="5" s="1"/>
  <c r="H176" i="5" a="1"/>
  <c r="H176" i="5" s="1"/>
  <c r="H77" i="5" a="1"/>
  <c r="H77" i="5" s="1"/>
  <c r="H27" i="5" a="1"/>
  <c r="H27" i="5" s="1"/>
  <c r="H127" i="5" a="1"/>
  <c r="H127" i="5" s="1"/>
  <c r="H177" i="5" a="1"/>
  <c r="H177" i="5" s="1"/>
  <c r="H78" i="5" a="1"/>
  <c r="H78" i="5" s="1"/>
  <c r="H28" i="5" a="1"/>
  <c r="H28" i="5" s="1"/>
  <c r="H128" i="5" a="1"/>
  <c r="H128" i="5" s="1"/>
  <c r="H178" i="5" a="1"/>
  <c r="H178" i="5" s="1"/>
  <c r="H79" i="5" a="1"/>
  <c r="H79" i="5" s="1"/>
  <c r="H29" i="5" a="1"/>
  <c r="H29" i="5" s="1"/>
  <c r="H129" i="5" a="1"/>
  <c r="H129" i="5" s="1"/>
  <c r="H179" i="5" a="1"/>
  <c r="H179" i="5" s="1"/>
  <c r="H80" i="5" a="1"/>
  <c r="H80" i="5" s="1"/>
  <c r="H30" i="5" a="1"/>
  <c r="H30" i="5" s="1"/>
  <c r="H130" i="5" a="1"/>
  <c r="H130" i="5" s="1"/>
  <c r="H180" i="5" a="1"/>
  <c r="H180" i="5" s="1"/>
  <c r="H81" i="5" a="1"/>
  <c r="H81" i="5" s="1"/>
  <c r="H31" i="5" a="1"/>
  <c r="H31" i="5" s="1"/>
  <c r="H131" i="5" a="1"/>
  <c r="H131" i="5" s="1"/>
  <c r="H181" i="5" a="1"/>
  <c r="H181" i="5" s="1"/>
  <c r="H52" i="5" a="1"/>
  <c r="H52" i="5" s="1"/>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235" i="4"/>
  <c r="L299" i="4"/>
  <c r="L94" i="4"/>
  <c r="L270" i="4"/>
  <c r="L67" i="4"/>
  <c r="L262" i="4"/>
  <c r="L159" i="4"/>
  <c r="L192" i="4"/>
  <c r="L255" i="4"/>
  <c r="L142" i="4"/>
  <c r="L122" i="4"/>
  <c r="L237" i="4"/>
  <c r="L95" i="4"/>
  <c r="L288" i="4"/>
  <c r="L238" i="4"/>
  <c r="L177" i="4"/>
  <c r="L161" i="4"/>
  <c r="L164" i="4"/>
  <c r="L277" i="4"/>
  <c r="L232" i="4"/>
  <c r="L223" i="4"/>
  <c r="L233" i="4"/>
  <c r="L253" i="4"/>
  <c r="L287" i="4"/>
  <c r="L188" i="4"/>
  <c r="L258" i="4"/>
  <c r="L73" i="4"/>
  <c r="L47" i="4"/>
  <c r="L294" i="4"/>
  <c r="L24" i="4"/>
  <c r="L61" i="4"/>
  <c r="L124" i="4"/>
  <c r="L261" i="4"/>
  <c r="L139" i="4"/>
  <c r="L234" i="4"/>
  <c r="L69" i="4"/>
  <c r="L125" i="4"/>
  <c r="L251" i="4"/>
  <c r="L103" i="4"/>
  <c r="L65" i="4"/>
  <c r="L43" i="4"/>
  <c r="L44" i="4"/>
  <c r="L171" i="4"/>
  <c r="L240" i="4"/>
  <c r="L74" i="4"/>
  <c r="L80" i="4"/>
  <c r="L244" i="4"/>
  <c r="L157" i="4"/>
  <c r="L112" i="4"/>
  <c r="L228" i="4"/>
  <c r="L88" i="4"/>
  <c r="L13" i="4"/>
  <c r="L82" i="4"/>
  <c r="L182" i="4"/>
  <c r="L120" i="4"/>
  <c r="L221" i="4"/>
  <c r="L3" i="4"/>
  <c r="L180" i="4"/>
  <c r="L83" i="4"/>
  <c r="L100" i="4"/>
  <c r="L7" i="4"/>
  <c r="L301" i="4"/>
  <c r="L218" i="4"/>
  <c r="L137" i="4"/>
  <c r="L22" i="4"/>
  <c r="L278" i="4"/>
  <c r="L59" i="4"/>
  <c r="L179" i="4"/>
  <c r="L11" i="4"/>
  <c r="L136" i="4"/>
  <c r="L191" i="4"/>
  <c r="L275" i="4"/>
  <c r="L115" i="4"/>
  <c r="L134" i="4"/>
  <c r="L220" i="4"/>
  <c r="L51" i="4"/>
  <c r="L217" i="4"/>
  <c r="L190" i="4"/>
  <c r="L229" i="4"/>
  <c r="L176" i="4"/>
  <c r="L203" i="4"/>
  <c r="L84" i="4"/>
  <c r="L197" i="4"/>
  <c r="L60" i="4"/>
  <c r="L271" i="4"/>
  <c r="L49" i="4"/>
  <c r="L110" i="4"/>
  <c r="L75" i="4"/>
  <c r="L260" i="4"/>
  <c r="L226" i="4"/>
  <c r="L109" i="4"/>
  <c r="L25" i="4"/>
  <c r="L76" i="4"/>
  <c r="L266" i="4"/>
  <c r="L160" i="4"/>
  <c r="L195" i="4"/>
  <c r="L148" i="4"/>
  <c r="L254" i="4"/>
  <c r="L181" i="4"/>
  <c r="L243" i="4"/>
  <c r="L14" i="4"/>
  <c r="L167" i="4"/>
  <c r="L106" i="4"/>
  <c r="L121" i="4"/>
  <c r="L202" i="4"/>
  <c r="L283" i="4"/>
  <c r="L165" i="4"/>
  <c r="L79" i="4"/>
  <c r="L132" i="4"/>
  <c r="L242" i="4"/>
  <c r="L71" i="4"/>
  <c r="L146" i="4"/>
  <c r="L119" i="4"/>
  <c r="L284" i="4"/>
  <c r="L77" i="4"/>
  <c r="L140" i="4"/>
  <c r="L224" i="4"/>
  <c r="L19" i="4"/>
  <c r="L39" i="4"/>
  <c r="L16" i="4"/>
  <c r="L222" i="4"/>
  <c r="L38" i="4"/>
  <c r="L15" i="4"/>
  <c r="L101" i="4"/>
  <c r="L166" i="4"/>
  <c r="L264" i="4"/>
  <c r="L127" i="4"/>
  <c r="L72" i="4"/>
  <c r="L189" i="4"/>
  <c r="L117" i="4"/>
  <c r="L113" i="4"/>
  <c r="L257" i="4"/>
  <c r="L259" i="4"/>
  <c r="L274" i="4"/>
  <c r="L52" i="4"/>
  <c r="L48" i="4"/>
  <c r="L85" i="4"/>
  <c r="L178" i="4"/>
  <c r="L89" i="4"/>
  <c r="L40" i="4"/>
  <c r="L263" i="4"/>
  <c r="L9" i="4"/>
  <c r="L272" i="4"/>
  <c r="L297" i="4"/>
  <c r="L46" i="4"/>
  <c r="L93" i="4"/>
  <c r="L55" i="4"/>
  <c r="L231" i="4"/>
  <c r="L279" i="4"/>
  <c r="L152" i="4"/>
  <c r="L57" i="4"/>
  <c r="L68" i="4"/>
  <c r="L18" i="4"/>
  <c r="L144" i="4"/>
  <c r="L153" i="4"/>
  <c r="L154" i="4"/>
  <c r="L147" i="4"/>
  <c r="L45" i="4"/>
  <c r="L184" i="4"/>
  <c r="L143" i="4"/>
  <c r="L198" i="4"/>
  <c r="L41" i="4"/>
  <c r="L91" i="4"/>
  <c r="L90" i="4"/>
  <c r="L98" i="4"/>
  <c r="L170" i="4"/>
  <c r="L241" i="4"/>
  <c r="L128" i="4"/>
  <c r="L265" i="4"/>
  <c r="L172" i="4"/>
  <c r="L248" i="4"/>
  <c r="L97" i="4"/>
  <c r="L105" i="4"/>
  <c r="L6" i="4"/>
  <c r="L300" i="4"/>
  <c r="L183" i="4"/>
  <c r="L5" i="4"/>
  <c r="L239" i="4"/>
  <c r="L187" i="4"/>
  <c r="L36" i="4"/>
  <c r="L162" i="4"/>
  <c r="L23" i="4"/>
  <c r="L108" i="4"/>
  <c r="L175" i="4"/>
  <c r="L206" i="4"/>
  <c r="L210" i="4"/>
  <c r="L205" i="4"/>
  <c r="L250" i="4"/>
  <c r="L298" i="4"/>
  <c r="L168" i="4"/>
  <c r="L96" i="4"/>
  <c r="L169" i="4"/>
  <c r="L207" i="4"/>
  <c r="L107" i="4"/>
  <c r="L126" i="4"/>
  <c r="L273" i="4"/>
  <c r="L56" i="4"/>
  <c r="L204" i="4"/>
  <c r="L282" i="4"/>
  <c r="L186" i="4"/>
  <c r="L216" i="4"/>
  <c r="L295" i="4"/>
  <c r="L21" i="4"/>
  <c r="L158" i="4"/>
  <c r="L155" i="4"/>
  <c r="L99" i="4"/>
  <c r="L199" i="4"/>
  <c r="L214" i="4"/>
  <c r="L10" i="4"/>
  <c r="L63" i="4"/>
  <c r="L131" i="4"/>
  <c r="L215" i="4"/>
  <c r="L12" i="4"/>
  <c r="L252" i="4"/>
  <c r="L291" i="4"/>
  <c r="L281" i="4"/>
  <c r="L62" i="4"/>
  <c r="L30" i="4"/>
  <c r="L2" i="4"/>
  <c r="L86" i="4"/>
  <c r="L150" i="4"/>
  <c r="L285" i="4"/>
  <c r="L17" i="4"/>
  <c r="L296" i="4"/>
  <c r="L31" i="4"/>
  <c r="L149" i="4"/>
  <c r="L219" i="4"/>
  <c r="L114" i="4"/>
  <c r="L230" i="4"/>
  <c r="L201" i="4"/>
  <c r="L4" i="4"/>
  <c r="L247" i="4"/>
  <c r="L236" i="4"/>
  <c r="L123" i="4"/>
  <c r="L118" i="4"/>
  <c r="L268" i="4"/>
  <c r="L249" i="4"/>
  <c r="L33" i="4"/>
  <c r="L200" i="4"/>
  <c r="L70" i="4"/>
  <c r="L64" i="4"/>
  <c r="L174" i="4"/>
  <c r="L28" i="4"/>
  <c r="L133" i="4"/>
  <c r="L37" i="4"/>
  <c r="L138" i="4"/>
  <c r="L27" i="4"/>
  <c r="L194" i="4"/>
  <c r="L245" i="4"/>
  <c r="L141" i="4"/>
  <c r="L87" i="4"/>
  <c r="L196" i="4"/>
  <c r="L116" i="4"/>
  <c r="L135" i="4"/>
  <c r="L293" i="4"/>
  <c r="L225" i="4"/>
  <c r="L53" i="4"/>
  <c r="L29" i="4"/>
  <c r="L193" i="4"/>
  <c r="L213" i="4"/>
  <c r="L92" i="4"/>
  <c r="L26" i="4"/>
  <c r="L8" i="4"/>
  <c r="L32" i="4"/>
  <c r="L163" i="4"/>
  <c r="L276" i="4"/>
  <c r="L208" i="4"/>
  <c r="L42" i="4"/>
  <c r="L269" i="4"/>
  <c r="L50" i="4"/>
  <c r="L102" i="4"/>
  <c r="L173" i="4"/>
  <c r="L227" i="4"/>
  <c r="L78" i="4"/>
  <c r="L54" i="4"/>
  <c r="L34" i="4"/>
  <c r="L151" i="4"/>
  <c r="L286" i="4"/>
  <c r="L212" i="4"/>
  <c r="L280" i="4"/>
  <c r="L156" i="4"/>
  <c r="L292" i="4"/>
  <c r="L145" i="4"/>
  <c r="L111" i="4"/>
  <c r="L58" i="4"/>
  <c r="L20" i="4"/>
  <c r="L267" i="4"/>
  <c r="L246" i="4"/>
  <c r="L209" i="4"/>
  <c r="L256" i="4"/>
  <c r="L130" i="4"/>
  <c r="L129" i="4"/>
  <c r="L66" i="4"/>
  <c r="L81" i="4"/>
  <c r="L289" i="4"/>
  <c r="L35" i="4"/>
  <c r="L290" i="4"/>
  <c r="L104" i="4"/>
  <c r="L211" i="4"/>
  <c r="L18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A234F8-6CE8-8343-B362-73D588CD979E}" keepAlive="1" name="Query - Campaign Metadata" description="Connection to the 'Campaign Metadata' query in the workbook." type="5" refreshedVersion="0" background="1">
    <dbPr connection="Provider=Microsoft.Mashup.OleDb.1;Data Source=$Workbook$;Location=&quot;Campaign Metadata&quot;;Extended Properties=&quot;&quot;" command="SELECT * FROM [Campaign Metadata]"/>
  </connection>
  <connection id="2" xr16:uid="{02441DDE-9448-AD44-843B-AA69E3ED65ED}" keepAlive="1" name="Query - Engagement Summary" description="Connection to the 'Engagement Summary' query in the workbook." type="5" refreshedVersion="0" background="1">
    <dbPr connection="Provider=Microsoft.Mashup.OleDb.1;Data Source=$Workbook$;Location=&quot;Engagement Summary&quot;;Extended Properties=&quot;&quot;" command="SELECT * FROM [Engagement Summary]"/>
  </connection>
  <connection id="3" xr16:uid="{098684BD-E359-BD48-9658-A614C071E84C}" keepAlive="1" name="Query - Posts" description="Connection to the 'Posts' query in the workbook." type="5" refreshedVersion="8" background="1" saveData="1">
    <dbPr connection="Provider=Microsoft.Mashup.OleDb.1;Data Source=$Workbook$;Location=Posts;Extended Properties=&quot;&quot;" command="SELECT * FROM [Posts]"/>
  </connection>
  <connection id="4" xr16:uid="{5A9AE2CB-F13A-3F4B-BF54-9FEB9203715B}" keepAlive="1" name="Query - Posts (2)" description="Connection to the 'Posts (2)' query in the workbook." type="5" refreshedVersion="0" background="1">
    <dbPr connection="Provider=Microsoft.Mashup.OleDb.1;Data Source=$Workbook$;Location=&quot;Posts (2)&quot;;Extended Properties=&quot;&quot;" command="SELECT * FROM [Posts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<sst xmlns="http://schemas.openxmlformats.org/spreadsheetml/2006/main" count="4137" uniqueCount="478">
  <si>
    <t>Post ID</t>
  </si>
  <si>
    <t>Platform</t>
  </si>
  <si>
    <t>Date</t>
  </si>
  <si>
    <t>Content Type</t>
  </si>
  <si>
    <t>Post Text</t>
  </si>
  <si>
    <t>Likes</t>
  </si>
  <si>
    <t>Shares</t>
  </si>
  <si>
    <t>Comments</t>
  </si>
  <si>
    <t>Impressions</t>
  </si>
  <si>
    <t>Reach</t>
  </si>
  <si>
    <t>Clicks</t>
  </si>
  <si>
    <t>Hashtags Used</t>
  </si>
  <si>
    <t>Campaign_Name</t>
  </si>
  <si>
    <t>P001</t>
  </si>
  <si>
    <t>Twitter</t>
  </si>
  <si>
    <t>Reel</t>
  </si>
  <si>
    <t>Check out our latest reel on twitter!</t>
  </si>
  <si>
    <t>#FutureOfDriving</t>
  </si>
  <si>
    <t>CybertruckLaunch</t>
  </si>
  <si>
    <t>#AnytimeIsTeslaTime</t>
  </si>
  <si>
    <t>P002</t>
  </si>
  <si>
    <t>Text</t>
  </si>
  <si>
    <t>Check out our latest text on twitter!</t>
  </si>
  <si>
    <t>#TeslaCoInnovation</t>
  </si>
  <si>
    <t>ModelYCampaign</t>
  </si>
  <si>
    <t>#BetterWithTesla</t>
  </si>
  <si>
    <t>P003</t>
  </si>
  <si>
    <t>YouTube</t>
  </si>
  <si>
    <t>Check out our latest reel on youtube!</t>
  </si>
  <si>
    <t>FSDUpdate</t>
  </si>
  <si>
    <t>P004</t>
  </si>
  <si>
    <t>Instagram</t>
  </si>
  <si>
    <t>Story</t>
  </si>
  <si>
    <t>Check out our latest story on instagram!</t>
  </si>
  <si>
    <t>#EVRevolution</t>
  </si>
  <si>
    <t>SustainabilityDrive</t>
  </si>
  <si>
    <t>P005</t>
  </si>
  <si>
    <t>P006</t>
  </si>
  <si>
    <t>Facebook</t>
  </si>
  <si>
    <t>Carousel</t>
  </si>
  <si>
    <t>Check out our latest carousel on facebook!</t>
  </si>
  <si>
    <t>P007</t>
  </si>
  <si>
    <t>Check out our latest carousel on twitter!</t>
  </si>
  <si>
    <t>P008</t>
  </si>
  <si>
    <t>Image</t>
  </si>
  <si>
    <t>Check out our latest image on youtube!</t>
  </si>
  <si>
    <t>P009</t>
  </si>
  <si>
    <t>Check out our latest text on facebook!</t>
  </si>
  <si>
    <t>P010</t>
  </si>
  <si>
    <t>Check out our latest image on facebook!</t>
  </si>
  <si>
    <t>P011</t>
  </si>
  <si>
    <t>P012</t>
  </si>
  <si>
    <t>Check out our latest reel on facebook!</t>
  </si>
  <si>
    <t>P013</t>
  </si>
  <si>
    <t>Check out our latest carousel on youtube!</t>
  </si>
  <si>
    <t>P014</t>
  </si>
  <si>
    <t>Check out our latest story on facebook!</t>
  </si>
  <si>
    <t>P015</t>
  </si>
  <si>
    <t>Video</t>
  </si>
  <si>
    <t>Check out our latest video on facebook!</t>
  </si>
  <si>
    <t>P016</t>
  </si>
  <si>
    <t>P017</t>
  </si>
  <si>
    <t>P018</t>
  </si>
  <si>
    <t>Check out our latest reel on instagram!</t>
  </si>
  <si>
    <t>P019</t>
  </si>
  <si>
    <t>Check out our latest video on instagram!</t>
  </si>
  <si>
    <t>P020</t>
  </si>
  <si>
    <t>Check out our latest carousel on instagram!</t>
  </si>
  <si>
    <t>P021</t>
  </si>
  <si>
    <t>P022</t>
  </si>
  <si>
    <t>P023</t>
  </si>
  <si>
    <t>P024</t>
  </si>
  <si>
    <t>P025</t>
  </si>
  <si>
    <t>P026</t>
  </si>
  <si>
    <t>P027</t>
  </si>
  <si>
    <t>Check out our latest text on youtube!</t>
  </si>
  <si>
    <t>P028</t>
  </si>
  <si>
    <t>P029</t>
  </si>
  <si>
    <t>P030</t>
  </si>
  <si>
    <t>P031</t>
  </si>
  <si>
    <t>Check out our latest text on instagram!</t>
  </si>
  <si>
    <t>P032</t>
  </si>
  <si>
    <t>P033</t>
  </si>
  <si>
    <t>P034</t>
  </si>
  <si>
    <t>P035</t>
  </si>
  <si>
    <t>P036</t>
  </si>
  <si>
    <t>P037</t>
  </si>
  <si>
    <t>P038</t>
  </si>
  <si>
    <t>P039</t>
  </si>
  <si>
    <t>P040</t>
  </si>
  <si>
    <t>Check out our latest image on twitter!</t>
  </si>
  <si>
    <t>P041</t>
  </si>
  <si>
    <t>P042</t>
  </si>
  <si>
    <t>P043</t>
  </si>
  <si>
    <t>P044</t>
  </si>
  <si>
    <t>P045</t>
  </si>
  <si>
    <t>P046</t>
  </si>
  <si>
    <t>Check out our latest video on twitter!</t>
  </si>
  <si>
    <t>P047</t>
  </si>
  <si>
    <t>P048</t>
  </si>
  <si>
    <t>Check out our latest story on twitter!</t>
  </si>
  <si>
    <t>P049</t>
  </si>
  <si>
    <t>P050</t>
  </si>
  <si>
    <t>Check out our latest story on youtube!</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</si>
  <si>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</si>
  <si>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</si>
  <si>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</si>
  <si>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</si>
  <si>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</si>
  <si>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</si>
  <si>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</si>
  <si>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</si>
  <si>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</si>
  <si>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</si>
  <si>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</si>
  <si>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</si>
  <si>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</si>
  <si>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</si>
  <si>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</si>
  <si>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</si>
  <si>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</si>
  <si>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</si>
  <si>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</si>
  <si>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</si>
  <si>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</si>
  <si>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</si>
  <si>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</si>
  <si>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</si>
  <si>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</si>
  <si>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</si>
  <si>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</si>
  <si>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</si>
  <si>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</si>
  <si>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</si>
  <si>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</si>
  <si>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</si>
  <si>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Check out our latest image on instagram!</t>
  </si>
  <si>
    <t>P083</t>
  </si>
  <si>
    <t>Check out our latest video on youtube!</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</si>
  <si>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</si>
  <si>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</si>
  <si>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</si>
  <si>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</si>
  <si>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</si>
  <si>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</si>
  <si>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</si>
  <si>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</si>
  <si>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</si>
  <si>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</si>
  <si>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</si>
  <si>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</si>
  <si>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</si>
  <si>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</si>
  <si>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</si>
  <si>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</si>
  <si>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</si>
  <si>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</si>
  <si>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</si>
  <si>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</si>
  <si>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</si>
  <si>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</si>
  <si>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</si>
  <si>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</si>
  <si>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</si>
  <si>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</si>
  <si>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</si>
  <si>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</si>
  <si>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</si>
  <si>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</si>
  <si>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</si>
  <si>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</si>
  <si>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</si>
  <si>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</si>
  <si>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</si>
  <si>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</si>
  <si>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</si>
  <si>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</si>
  <si>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</si>
  <si>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</si>
  <si>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</si>
  <si>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</si>
  <si>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</si>
  <si>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</si>
  <si>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</si>
  <si>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</si>
  <si>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</si>
  <si>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</si>
  <si>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</si>
  <si>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</si>
  <si>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</si>
  <si>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</si>
  <si>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</si>
  <si>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</si>
  <si>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</si>
  <si>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</si>
  <si>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</si>
  <si>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#SmoothLikeNitroTesla</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</si>
  <si>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</si>
  <si>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</si>
  <si>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</si>
  <si>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</si>
  <si>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</si>
  <si>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</si>
  <si>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</si>
  <si>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</si>
  <si>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</si>
  <si>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</si>
  <si>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</si>
  <si>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</si>
  <si>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</si>
  <si>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</si>
  <si>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</si>
  <si>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</si>
  <si>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</si>
  <si>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</si>
  <si>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</si>
  <si>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</si>
  <si>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</si>
  <si>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</si>
  <si>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</si>
  <si>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</si>
  <si>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</si>
  <si>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</si>
  <si>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</si>
  <si>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</si>
  <si>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</si>
  <si>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</si>
  <si>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</si>
  <si>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</si>
  <si>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</si>
  <si>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</si>
  <si>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</si>
  <si>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</si>
  <si>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</si>
  <si>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</si>
  <si>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</si>
  <si>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</si>
  <si>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</si>
  <si>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</si>
  <si>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</si>
  <si>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</si>
  <si>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</si>
  <si>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</si>
  <si>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</si>
  <si>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</si>
  <si>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</si>
  <si>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</si>
  <si>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</si>
  <si>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</si>
  <si>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</si>
  <si>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</si>
  <si>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</si>
  <si>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</si>
  <si>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</si>
  <si>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</si>
  <si>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</si>
  <si>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</si>
  <si>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</si>
  <si>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</si>
  <si>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</si>
  <si>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</si>
  <si>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</si>
  <si>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</si>
  <si>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</si>
  <si>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</si>
  <si>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</si>
  <si>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</si>
  <si>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</si>
  <si>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</si>
  <si>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</si>
  <si>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</si>
  <si>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</si>
  <si>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</si>
  <si>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</si>
  <si>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</si>
  <si>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</si>
  <si>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</si>
  <si>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</si>
  <si>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</si>
  <si>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</si>
  <si>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</si>
  <si>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</si>
  <si>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</si>
  <si>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</si>
  <si>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</si>
  <si>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</si>
  <si>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</si>
  <si>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</si>
  <si>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</si>
  <si>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</si>
  <si>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</si>
  <si>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</si>
  <si>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</si>
  <si>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</si>
  <si>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</si>
  <si>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</si>
  <si>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</si>
  <si>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</si>
  <si>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</si>
  <si>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</si>
  <si>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</si>
  <si>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</si>
  <si>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</si>
  <si>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</si>
  <si>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</si>
  <si>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</si>
  <si>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</si>
  <si>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</si>
  <si>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</si>
  <si>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</si>
  <si>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</si>
  <si>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</si>
  <si>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</si>
  <si>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</si>
  <si>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</si>
  <si>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</si>
  <si>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</si>
  <si>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</si>
  <si>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</si>
  <si>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</si>
  <si>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</si>
  <si>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</si>
  <si>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</si>
  <si>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</si>
  <si>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</si>
  <si>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</si>
  <si>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</si>
  <si>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</si>
  <si>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</si>
  <si>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</si>
  <si>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</si>
  <si>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</si>
  <si>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</si>
  <si>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</si>
  <si>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</si>
  <si>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</si>
  <si>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</si>
  <si>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</si>
  <si>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</si>
  <si>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</si>
  <si>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</si>
  <si>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</si>
  <si>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</si>
  <si>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</si>
  <si>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</si>
  <si>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</si>
  <si>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</si>
  <si>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</si>
  <si>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</si>
  <si>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</si>
  <si>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</si>
  <si>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</si>
  <si>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</si>
  <si>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</si>
  <si>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</si>
  <si>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</si>
  <si>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</si>
  <si>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Row Labels</t>
  </si>
  <si>
    <t>Grand Total</t>
  </si>
  <si>
    <t>Sum of Clicks</t>
  </si>
  <si>
    <t>#FutureOfDriving,#AnytimeIsTeslaTime</t>
  </si>
  <si>
    <t>#TeslaCoInnovation,#BetterWithTesla</t>
  </si>
  <si>
    <t>#EVRevolution,#TeslaCoInnovation</t>
  </si>
  <si>
    <t>#TeslaCoInnovation,#AnytimeIsTeslaTime</t>
  </si>
  <si>
    <t>#EVRevolution,#BetterWithTesla</t>
  </si>
  <si>
    <t>#EVRevolution,#TeslaCoInnovation,#AnytimeIsTeslaTime</t>
  </si>
  <si>
    <t>#FutureOfDriving,#TeslaCoInnovation,#AnytimeIsTeslaTime</t>
  </si>
  <si>
    <t>#EVRevolution,#SmoothLikeNitroTesla</t>
  </si>
  <si>
    <t>#EVRevolution,#AnytimeIsTeslaTime</t>
  </si>
  <si>
    <t>#TeslaCoInnovation,#SmoothLikeNitroTesla</t>
  </si>
  <si>
    <t>#FutureOfDriving,#SmoothLikeNitroTesla</t>
  </si>
  <si>
    <t>#FutureOfDriving,#AnytimeIsTeslaTime,#EVRevolution</t>
  </si>
  <si>
    <t>#FutureOfDriving,#EVRevolution,#BetterWithTesla</t>
  </si>
  <si>
    <t>#EVRevolution,#EVRevolution,#BetterWithTesla</t>
  </si>
  <si>
    <t>#TeslaCoInnovation,#EVRevolution,#BetterWithTesla</t>
  </si>
  <si>
    <t>Engagement Rate</t>
  </si>
  <si>
    <t>Column Labels</t>
  </si>
  <si>
    <t>Sum of Likes</t>
  </si>
  <si>
    <t>Sum of Shares</t>
  </si>
  <si>
    <t>Sum of Comments</t>
  </si>
  <si>
    <t>Week_Start_Date</t>
  </si>
  <si>
    <t>New_Followers</t>
  </si>
  <si>
    <t>Unfollows</t>
  </si>
  <si>
    <t>Total_Followers</t>
  </si>
  <si>
    <t>Engagement_Rate</t>
  </si>
  <si>
    <t>Ad_Spend</t>
  </si>
  <si>
    <t>Sum of New_Followers</t>
  </si>
  <si>
    <t>Sum of Unfollows</t>
  </si>
  <si>
    <t>Sum of Growth</t>
  </si>
  <si>
    <t>Average of Engagement_Rate</t>
  </si>
  <si>
    <t>Sum of Ad_Spend</t>
  </si>
  <si>
    <t>Start_Date</t>
  </si>
  <si>
    <t>End_Date</t>
  </si>
  <si>
    <t>Objective</t>
  </si>
  <si>
    <t>Total_Budget</t>
  </si>
  <si>
    <t>Target_Platforms</t>
  </si>
  <si>
    <t>Primary_Hashtags</t>
  </si>
  <si>
    <t>Product Awareness</t>
  </si>
  <si>
    <t>Instagram,Facebook</t>
  </si>
  <si>
    <t>Customer Engagement</t>
  </si>
  <si>
    <t>Instagram,YouTube</t>
  </si>
  <si>
    <t>#AnytimeIsTeslaTime,</t>
  </si>
  <si>
    <t>Vehicle Launch</t>
  </si>
  <si>
    <t>Facebook,Twitter</t>
  </si>
  <si>
    <t>Community Growth</t>
  </si>
  <si>
    <t>Instagram,Twitter</t>
  </si>
  <si>
    <t>#BetterWithTesla,#FutureOfDriving</t>
  </si>
  <si>
    <t>Count of Hashtags Used</t>
  </si>
  <si>
    <t>Average of Clicks</t>
  </si>
  <si>
    <t>Average of Engagement Rate</t>
  </si>
  <si>
    <t>Sum of Impressions</t>
  </si>
  <si>
    <t>Average of Impressions</t>
  </si>
  <si>
    <t>Average of Likes</t>
  </si>
  <si>
    <t>Campaign</t>
  </si>
  <si>
    <t>Before CybertruckLaunch</t>
  </si>
  <si>
    <t>Before FSDUpdate</t>
  </si>
  <si>
    <t>Before ModelYCampaign</t>
  </si>
  <si>
    <t>Sustainability Drive</t>
  </si>
  <si>
    <t>Before SustainabilityDrive</t>
  </si>
  <si>
    <t>Sum of Engagement_Rate</t>
  </si>
  <si>
    <t>Follower Growth</t>
  </si>
  <si>
    <t>Sum of Follower Growth</t>
  </si>
  <si>
    <t>Average of Follower Growth</t>
  </si>
  <si>
    <t>03/06/24 - 09/06/24</t>
  </si>
  <si>
    <t>10/06/24 - 16/06/24</t>
  </si>
  <si>
    <t>17/06/24 - 23/06/24</t>
  </si>
  <si>
    <t>24/06/24 - 30/06/24</t>
  </si>
  <si>
    <t>01/07/24 - 07/07/24</t>
  </si>
  <si>
    <t>08/07/24 - 14/07/24</t>
  </si>
  <si>
    <t>15/07/24 - 21/07/24</t>
  </si>
  <si>
    <t>22/07/24 - 28/07/24</t>
  </si>
  <si>
    <t>29/07/24 - 04/08/24</t>
  </si>
  <si>
    <t>05/08/24 - 11/08/24</t>
  </si>
  <si>
    <t>12/08/24 - 18/08/24</t>
  </si>
  <si>
    <t>19/08/24 - 25/08/24</t>
  </si>
  <si>
    <t>26/08/24 - 01/09/24</t>
  </si>
  <si>
    <t>02/09/24 - 08/09/24</t>
  </si>
  <si>
    <t>09/09/24 - 15/09/24</t>
  </si>
  <si>
    <t>16/09/24 - 22/09/24</t>
  </si>
  <si>
    <t>23/09/24 - 29/09/24</t>
  </si>
  <si>
    <t>30/09/24 - 06/10/24</t>
  </si>
  <si>
    <t>07/10/24 - 13/10/24</t>
  </si>
  <si>
    <t>14/10/24 - 20/10/24</t>
  </si>
  <si>
    <t>21/10/24 - 27/10/24</t>
  </si>
  <si>
    <t>28/10/24 - 03/11/24</t>
  </si>
  <si>
    <t>04/11/24 - 10/11/24</t>
  </si>
  <si>
    <t>11/11/24 - 17/11/24</t>
  </si>
  <si>
    <t>18/11/24 - 24/11/24</t>
  </si>
  <si>
    <t>25/11/24 - 01/12/24</t>
  </si>
  <si>
    <t>02/12/24 - 08/12/24</t>
  </si>
  <si>
    <t>09/12/24 - 15/12/24</t>
  </si>
  <si>
    <t>16/12/24 - 22/12/24</t>
  </si>
  <si>
    <t>23/12/24 - 29/12/24</t>
  </si>
  <si>
    <t>30/12/24 - 05/01/25</t>
  </si>
  <si>
    <t>06/01/25 - 12/01/25</t>
  </si>
  <si>
    <t>13/01/25 - 19/01/25</t>
  </si>
  <si>
    <t>20/01/25 - 26/01/25</t>
  </si>
  <si>
    <t>27/01/25 - 02/02/25</t>
  </si>
  <si>
    <t>03/02/25 - 09/02/25</t>
  </si>
  <si>
    <t>10/02/25 - 16/02/25</t>
  </si>
  <si>
    <t>17/02/25 - 23/02/25</t>
  </si>
  <si>
    <t>24/02/25 - 02/03/25</t>
  </si>
  <si>
    <t>03/03/25 - 09/03/25</t>
  </si>
  <si>
    <t>10/03/25 - 16/03/25</t>
  </si>
  <si>
    <t>17/03/25 - 23/03/25</t>
  </si>
  <si>
    <t>24/03/25 - 30/03/25</t>
  </si>
  <si>
    <t>31/03/25 - 06/04/25</t>
  </si>
  <si>
    <t>07/04/25 - 13/04/25</t>
  </si>
  <si>
    <t>14/04/25 - 20/04/25</t>
  </si>
  <si>
    <t>21/04/25 - 27/04/25</t>
  </si>
  <si>
    <t>28/04/25 - 04/05/25</t>
  </si>
  <si>
    <t>05/05/25 - 11/05/25</t>
  </si>
  <si>
    <t>12/05/25 - 13/05/25</t>
  </si>
  <si>
    <t>Sum of Total</t>
  </si>
  <si>
    <t>Average of Ad_Spend</t>
  </si>
  <si>
    <t>Average of Unfollows</t>
  </si>
  <si>
    <t>Link</t>
  </si>
  <si>
    <t>https://drive.google.com/file/d/11lhKxGlFVVRo0KJs1vJ4y3b64r5tW5op/view?usp=sharing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</si>
</sst>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theme="1"/>
      <name val="Aptos Narrow"/>
      <family val="2"/>
      <scheme val="minor"/>
    </font>
    <font>
      <b/>
      <sz val="12"/>
      <color theme="0"/>
      <name val="Aptos Narrow"/>
      <family val="2"/>
      <scheme val="minor"/>
    </font>
    <font>
      <u/>
      <sz val="12"/>
      <color theme="10"/>
      <name val="Aptos Narrow"/>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7">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27">
    <xf numFmtId="0" fontId="0" fillId="0" borderId="0" xfId="0"/>
    <xf numFmtId="14" fontId="0" fillId="0" borderId="0" xfId="0" applyNumberFormat="1"/>
    <xf numFmtId="0" fontId="0" fillId="3" borderId="2" xfId="0" applyFill="1" applyBorder="1"/>
    <xf numFmtId="0" fontId="0" fillId="0" borderId="0" xfId="0" pivotButton="1"/>
    <xf numFmtId="0" fontId="0" fillId="0" borderId="0" xfId="0" applyAlignment="1">
      <alignment horizontal="left"/>
    </xf>
    <xf numFmtId="0" fontId="2" fillId="2" borderId="4" xfId="0" applyFont="1" applyFill="1" applyBorder="1"/>
    <xf numFmtId="0" fontId="2" fillId="2" borderId="5" xfId="0" applyFont="1" applyFill="1" applyBorder="1"/>
    <xf numFmtId="0" fontId="2" fillId="2" borderId="6" xfId="0" applyFont="1" applyFill="1" applyBorder="1"/>
    <xf numFmtId="0" fontId="0" fillId="3" borderId="4" xfId="0" applyFill="1" applyBorder="1"/>
    <xf numFmtId="0" fontId="0" fillId="3" borderId="5" xfId="0" applyFill="1" applyBorder="1"/>
    <xf numFmtId="14" fontId="0" fillId="3" borderId="5" xfId="0" applyNumberFormat="1" applyFill="1" applyBorder="1"/>
    <xf numFmtId="0" fontId="0" fillId="3" borderId="6" xfId="0" applyFill="1" applyBorder="1"/>
    <xf numFmtId="0" fontId="0" fillId="0" borderId="4" xfId="0" applyBorder="1"/>
    <xf numFmtId="0" fontId="0" fillId="0" borderId="5" xfId="0" applyBorder="1"/>
    <xf numFmtId="14" fontId="0" fillId="0" borderId="5" xfId="0" applyNumberFormat="1" applyBorder="1"/>
    <xf numFmtId="0" fontId="0" fillId="0" borderId="6" xfId="0" applyBorder="1"/>
    <xf numFmtId="0" fontId="0" fillId="3" borderId="1" xfId="0" applyFill="1" applyBorder="1"/>
    <xf numFmtId="14" fontId="0" fillId="3" borderId="2" xfId="0" applyNumberFormat="1" applyFill="1" applyBorder="1"/>
    <xf numFmtId="0" fontId="0" fillId="3" borderId="3" xfId="0" applyFill="1" applyBorder="1"/>
    <xf numFmtId="9" fontId="0" fillId="3" borderId="5" xfId="1" applyFont="1" applyFill="1" applyBorder="1"/>
    <xf numFmtId="14" fontId="0" fillId="3" borderId="4" xfId="0" applyNumberFormat="1" applyFill="1" applyBorder="1"/>
    <xf numFmtId="14" fontId="0" fillId="0" borderId="4" xfId="0" applyNumberFormat="1" applyBorder="1"/>
    <xf numFmtId="14" fontId="0" fillId="3" borderId="1" xfId="0" applyNumberFormat="1" applyFill="1" applyBorder="1"/>
    <xf numFmtId="9" fontId="0" fillId="0" borderId="0" xfId="1" applyFont="1"/>
    <xf numFmtId="9" fontId="0" fillId="0" borderId="0" xfId="0" applyNumberFormat="1"/>
    <xf numFmtId="0" fontId="2" fillId="2" borderId="0" xfId="0" applyFont="1" applyFill="1"/>
    <xf numFmtId="0" fontId="3" fillId="0" borderId="0" xfId="2"/>
  </cellXfs>
  <cellStyles count="3">
    <cellStyle name="Hyperlink" xfId="2" builtinId="8"/>
    <cellStyle name="Normal" xfId="0" builtinId="0"/>
    <cellStyle name="Per cent" xfId="1" builtinId="5"/>
  </cellStyles>
  <dxfs count="8">
    <dxf>
      <numFmt numFmtId="0" formatCode="General"/>
    </dxf>
    <dxf>
      <numFmt numFmtId="0" formatCode="General"/>
    </dxf>
    <dxf>
      <font>
        <b val="0"/>
        <i val="0"/>
        <strike val="0"/>
        <condense val="0"/>
        <extend val="0"/>
        <outline val="0"/>
        <shadow val="0"/>
        <u val="none"/>
        <vertAlign val="baseline"/>
        <sz val="12"/>
        <color theme="1"/>
        <name val="Aptos Narrow"/>
        <family val="2"/>
        <scheme val="minor"/>
      </font>
    </dxf>
    <dxf>
      <numFmt numFmtId="0" formatCode="General"/>
    </dxf>
    <dxf>
      <numFmt numFmtId="0" formatCode="General"/>
    </dxf>
    <dxf>
      <numFmt numFmtId="19" formatCode="dd/mm/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'Engagement Summary'!$I$1</c:f>
              <c:strCache>
                <c:ptCount val="1"/>
                <c:pt idx="0">
                  <c:v>Follower Growth</c:v>
                </c:pt>
              </c:strCache>
            </c:strRef>
          </c:tx>
          <c:spPr>
            <a:ln w="25400" cap="rnd">
              <a:noFill/>
              <a:round/>
            </a:ln>
            <a:effectLst/>
          </c:spPr>
          <c:marker>
            <c:symbol val="diamond"/>
            <c:size val="6"/>
            <c:spPr>
              <a:solidFill>
                <a:schemeClr val="accent1"/>
              </a:solidFill>
              <a:ln w="9525">
                <a:solidFill>
                  <a:schemeClr val="accent1"/>
                </a:solidFill>
                <a:round/>
              </a:ln>
              <a:effectLst/>
            </c:spPr>
          </c:marker>
          <c:trendline>
            <c:spPr>
              <a:ln w="9525" cap="rnd">
                <a:solidFill>
                  <a:schemeClr val="accent1"/>
                </a:solidFill>
              </a:ln>
              <a:effectLst/>
            </c:spPr>
            <c:trendlineType val="linear"/>
            <c:dispRSqr val="0"/>
            <c:dispEq val="0"/>
          </c:trendline>
          <c:xVal>
            <c:numRef>
              <c:f>'Engagement Summary'!$G$2:$G$1000</c:f>
              <c:numCache>
                <c:formatCode>General</c:formatCode>
                <c:ptCount val="999"/>
                <c:pt idx="0">
                  <c:v>9566</c:v>
                </c:pt>
                <c:pt idx="1">
                  <c:v>7924</c:v>
                </c:pt>
                <c:pt idx="2">
                  <c:v>46670</c:v>
                </c:pt>
                <c:pt idx="3">
                  <c:v>30635</c:v>
                </c:pt>
                <c:pt idx="4">
                  <c:v>42307</c:v>
                </c:pt>
                <c:pt idx="5">
                  <c:v>38610</c:v>
                </c:pt>
                <c:pt idx="6">
                  <c:v>43420</c:v>
                </c:pt>
                <c:pt idx="7">
                  <c:v>26067</c:v>
                </c:pt>
                <c:pt idx="8">
                  <c:v>4839</c:v>
                </c:pt>
                <c:pt idx="9">
                  <c:v>26455</c:v>
                </c:pt>
                <c:pt idx="10">
                  <c:v>37903</c:v>
                </c:pt>
                <c:pt idx="11">
                  <c:v>14203</c:v>
                </c:pt>
                <c:pt idx="12">
                  <c:v>26925</c:v>
                </c:pt>
                <c:pt idx="13">
                  <c:v>24384</c:v>
                </c:pt>
                <c:pt idx="14">
                  <c:v>40478</c:v>
                </c:pt>
                <c:pt idx="15">
                  <c:v>47462</c:v>
                </c:pt>
                <c:pt idx="16">
                  <c:v>11901</c:v>
                </c:pt>
                <c:pt idx="17">
                  <c:v>2315</c:v>
                </c:pt>
                <c:pt idx="18">
                  <c:v>43836</c:v>
                </c:pt>
                <c:pt idx="19">
                  <c:v>7285</c:v>
                </c:pt>
                <c:pt idx="20">
                  <c:v>42824</c:v>
                </c:pt>
                <c:pt idx="21">
                  <c:v>30214</c:v>
                </c:pt>
                <c:pt idx="22">
                  <c:v>4996</c:v>
                </c:pt>
                <c:pt idx="23">
                  <c:v>38452</c:v>
                </c:pt>
                <c:pt idx="24">
                  <c:v>39997</c:v>
                </c:pt>
                <c:pt idx="25">
                  <c:v>28498</c:v>
                </c:pt>
                <c:pt idx="26">
                  <c:v>26103</c:v>
                </c:pt>
                <c:pt idx="27">
                  <c:v>18601</c:v>
                </c:pt>
                <c:pt idx="28">
                  <c:v>18656</c:v>
                </c:pt>
                <c:pt idx="29">
                  <c:v>47502</c:v>
                </c:pt>
                <c:pt idx="30">
                  <c:v>25140</c:v>
                </c:pt>
                <c:pt idx="31">
                  <c:v>17951</c:v>
                </c:pt>
                <c:pt idx="32">
                  <c:v>45708</c:v>
                </c:pt>
                <c:pt idx="33">
                  <c:v>23853</c:v>
                </c:pt>
                <c:pt idx="34">
                  <c:v>20560</c:v>
                </c:pt>
                <c:pt idx="35">
                  <c:v>40323</c:v>
                </c:pt>
                <c:pt idx="36">
                  <c:v>23489</c:v>
                </c:pt>
                <c:pt idx="37">
                  <c:v>31853</c:v>
                </c:pt>
                <c:pt idx="38">
                  <c:v>22713</c:v>
                </c:pt>
                <c:pt idx="39">
                  <c:v>20553</c:v>
                </c:pt>
                <c:pt idx="40">
                  <c:v>21539</c:v>
                </c:pt>
                <c:pt idx="41">
                  <c:v>29116</c:v>
                </c:pt>
                <c:pt idx="42">
                  <c:v>21453</c:v>
                </c:pt>
                <c:pt idx="43">
                  <c:v>23461</c:v>
                </c:pt>
                <c:pt idx="44">
                  <c:v>47603</c:v>
                </c:pt>
                <c:pt idx="45">
                  <c:v>25920</c:v>
                </c:pt>
                <c:pt idx="46">
                  <c:v>7875</c:v>
                </c:pt>
                <c:pt idx="47">
                  <c:v>3582</c:v>
                </c:pt>
                <c:pt idx="48">
                  <c:v>48419</c:v>
                </c:pt>
                <c:pt idx="49">
                  <c:v>49400</c:v>
                </c:pt>
                <c:pt idx="50">
                  <c:v>5904</c:v>
                </c:pt>
                <c:pt idx="51">
                  <c:v>9920</c:v>
                </c:pt>
                <c:pt idx="52">
                  <c:v>11329</c:v>
                </c:pt>
                <c:pt idx="53">
                  <c:v>18050</c:v>
                </c:pt>
                <c:pt idx="54">
                  <c:v>9566</c:v>
                </c:pt>
                <c:pt idx="55">
                  <c:v>22728</c:v>
                </c:pt>
                <c:pt idx="56">
                  <c:v>10740</c:v>
                </c:pt>
                <c:pt idx="57">
                  <c:v>17328</c:v>
                </c:pt>
                <c:pt idx="58">
                  <c:v>15353</c:v>
                </c:pt>
                <c:pt idx="59">
                  <c:v>49303</c:v>
                </c:pt>
                <c:pt idx="60">
                  <c:v>47101</c:v>
                </c:pt>
                <c:pt idx="61">
                  <c:v>35501</c:v>
                </c:pt>
                <c:pt idx="62">
                  <c:v>24913</c:v>
                </c:pt>
                <c:pt idx="63">
                  <c:v>37829</c:v>
                </c:pt>
                <c:pt idx="64">
                  <c:v>26663</c:v>
                </c:pt>
                <c:pt idx="65">
                  <c:v>21939</c:v>
                </c:pt>
                <c:pt idx="66">
                  <c:v>1083</c:v>
                </c:pt>
                <c:pt idx="67">
                  <c:v>30575</c:v>
                </c:pt>
                <c:pt idx="68">
                  <c:v>41215</c:v>
                </c:pt>
                <c:pt idx="69">
                  <c:v>36397</c:v>
                </c:pt>
                <c:pt idx="70">
                  <c:v>32478</c:v>
                </c:pt>
                <c:pt idx="71">
                  <c:v>13116</c:v>
                </c:pt>
                <c:pt idx="72">
                  <c:v>36484</c:v>
                </c:pt>
                <c:pt idx="73">
                  <c:v>47812</c:v>
                </c:pt>
                <c:pt idx="74">
                  <c:v>29533</c:v>
                </c:pt>
                <c:pt idx="75">
                  <c:v>1810</c:v>
                </c:pt>
                <c:pt idx="76">
                  <c:v>36103</c:v>
                </c:pt>
                <c:pt idx="77">
                  <c:v>22724</c:v>
                </c:pt>
                <c:pt idx="78">
                  <c:v>20692</c:v>
                </c:pt>
                <c:pt idx="79">
                  <c:v>4683</c:v>
                </c:pt>
                <c:pt idx="80">
                  <c:v>4313</c:v>
                </c:pt>
                <c:pt idx="81">
                  <c:v>37132</c:v>
                </c:pt>
                <c:pt idx="82">
                  <c:v>14548</c:v>
                </c:pt>
                <c:pt idx="83">
                  <c:v>43122</c:v>
                </c:pt>
                <c:pt idx="84">
                  <c:v>25525</c:v>
                </c:pt>
                <c:pt idx="85">
                  <c:v>10825</c:v>
                </c:pt>
                <c:pt idx="86">
                  <c:v>3314</c:v>
                </c:pt>
                <c:pt idx="87">
                  <c:v>44097</c:v>
                </c:pt>
                <c:pt idx="88">
                  <c:v>49772</c:v>
                </c:pt>
                <c:pt idx="89">
                  <c:v>33799</c:v>
                </c:pt>
                <c:pt idx="90">
                  <c:v>6296</c:v>
                </c:pt>
                <c:pt idx="91">
                  <c:v>9480</c:v>
                </c:pt>
                <c:pt idx="92">
                  <c:v>49077</c:v>
                </c:pt>
                <c:pt idx="93">
                  <c:v>23140</c:v>
                </c:pt>
                <c:pt idx="94">
                  <c:v>2436</c:v>
                </c:pt>
                <c:pt idx="95">
                  <c:v>2293</c:v>
                </c:pt>
                <c:pt idx="96">
                  <c:v>18693</c:v>
                </c:pt>
                <c:pt idx="97">
                  <c:v>14216</c:v>
                </c:pt>
                <c:pt idx="98">
                  <c:v>33381</c:v>
                </c:pt>
                <c:pt idx="99">
                  <c:v>20042</c:v>
                </c:pt>
                <c:pt idx="100">
                  <c:v>26752</c:v>
                </c:pt>
                <c:pt idx="101">
                  <c:v>8912</c:v>
                </c:pt>
                <c:pt idx="102">
                  <c:v>22482</c:v>
                </c:pt>
                <c:pt idx="103">
                  <c:v>31280</c:v>
                </c:pt>
                <c:pt idx="104">
                  <c:v>5914</c:v>
                </c:pt>
                <c:pt idx="105">
                  <c:v>2932</c:v>
                </c:pt>
                <c:pt idx="106">
                  <c:v>32393</c:v>
                </c:pt>
                <c:pt idx="107">
                  <c:v>32763</c:v>
                </c:pt>
                <c:pt idx="108">
                  <c:v>39272</c:v>
                </c:pt>
                <c:pt idx="109">
                  <c:v>12384</c:v>
                </c:pt>
                <c:pt idx="110">
                  <c:v>33258</c:v>
                </c:pt>
                <c:pt idx="111">
                  <c:v>22206</c:v>
                </c:pt>
                <c:pt idx="112">
                  <c:v>9942</c:v>
                </c:pt>
                <c:pt idx="113">
                  <c:v>25797</c:v>
                </c:pt>
                <c:pt idx="114">
                  <c:v>15476</c:v>
                </c:pt>
                <c:pt idx="115">
                  <c:v>30270</c:v>
                </c:pt>
                <c:pt idx="116">
                  <c:v>24018</c:v>
                </c:pt>
                <c:pt idx="117">
                  <c:v>12148</c:v>
                </c:pt>
                <c:pt idx="118">
                  <c:v>4509</c:v>
                </c:pt>
                <c:pt idx="119">
                  <c:v>33174</c:v>
                </c:pt>
                <c:pt idx="120">
                  <c:v>21208</c:v>
                </c:pt>
                <c:pt idx="121">
                  <c:v>15827</c:v>
                </c:pt>
                <c:pt idx="122">
                  <c:v>36095</c:v>
                </c:pt>
                <c:pt idx="123">
                  <c:v>30428</c:v>
                </c:pt>
                <c:pt idx="124">
                  <c:v>5391</c:v>
                </c:pt>
                <c:pt idx="125">
                  <c:v>39530</c:v>
                </c:pt>
                <c:pt idx="126">
                  <c:v>3455</c:v>
                </c:pt>
                <c:pt idx="127">
                  <c:v>20861</c:v>
                </c:pt>
                <c:pt idx="128">
                  <c:v>13316</c:v>
                </c:pt>
                <c:pt idx="129">
                  <c:v>35359</c:v>
                </c:pt>
                <c:pt idx="130">
                  <c:v>9118</c:v>
                </c:pt>
                <c:pt idx="131">
                  <c:v>2798</c:v>
                </c:pt>
                <c:pt idx="132">
                  <c:v>12350</c:v>
                </c:pt>
                <c:pt idx="133">
                  <c:v>45380</c:v>
                </c:pt>
                <c:pt idx="134">
                  <c:v>19119</c:v>
                </c:pt>
                <c:pt idx="135">
                  <c:v>48270</c:v>
                </c:pt>
                <c:pt idx="136">
                  <c:v>42832</c:v>
                </c:pt>
                <c:pt idx="137">
                  <c:v>37636</c:v>
                </c:pt>
                <c:pt idx="138">
                  <c:v>8718</c:v>
                </c:pt>
                <c:pt idx="139">
                  <c:v>10002</c:v>
                </c:pt>
                <c:pt idx="140">
                  <c:v>14722</c:v>
                </c:pt>
                <c:pt idx="141">
                  <c:v>14068</c:v>
                </c:pt>
                <c:pt idx="142">
                  <c:v>21061</c:v>
                </c:pt>
                <c:pt idx="143">
                  <c:v>11805</c:v>
                </c:pt>
                <c:pt idx="144">
                  <c:v>42964</c:v>
                </c:pt>
                <c:pt idx="145">
                  <c:v>11035</c:v>
                </c:pt>
                <c:pt idx="146">
                  <c:v>8471</c:v>
                </c:pt>
                <c:pt idx="147">
                  <c:v>32500</c:v>
                </c:pt>
                <c:pt idx="148">
                  <c:v>16149</c:v>
                </c:pt>
                <c:pt idx="149">
                  <c:v>4007</c:v>
                </c:pt>
                <c:pt idx="150">
                  <c:v>30671</c:v>
                </c:pt>
                <c:pt idx="151">
                  <c:v>21205</c:v>
                </c:pt>
                <c:pt idx="152">
                  <c:v>24313</c:v>
                </c:pt>
                <c:pt idx="153">
                  <c:v>1783</c:v>
                </c:pt>
                <c:pt idx="154">
                  <c:v>30060</c:v>
                </c:pt>
                <c:pt idx="155">
                  <c:v>15071</c:v>
                </c:pt>
                <c:pt idx="156">
                  <c:v>28474</c:v>
                </c:pt>
                <c:pt idx="157">
                  <c:v>26452</c:v>
                </c:pt>
                <c:pt idx="158">
                  <c:v>16804</c:v>
                </c:pt>
                <c:pt idx="159">
                  <c:v>49372</c:v>
                </c:pt>
                <c:pt idx="160">
                  <c:v>6915</c:v>
                </c:pt>
                <c:pt idx="161">
                  <c:v>10283</c:v>
                </c:pt>
                <c:pt idx="162">
                  <c:v>32929</c:v>
                </c:pt>
                <c:pt idx="163">
                  <c:v>12646</c:v>
                </c:pt>
                <c:pt idx="164">
                  <c:v>10217</c:v>
                </c:pt>
                <c:pt idx="165">
                  <c:v>5442</c:v>
                </c:pt>
                <c:pt idx="166">
                  <c:v>38883</c:v>
                </c:pt>
                <c:pt idx="167">
                  <c:v>36851</c:v>
                </c:pt>
                <c:pt idx="168">
                  <c:v>27822</c:v>
                </c:pt>
                <c:pt idx="169">
                  <c:v>6742</c:v>
                </c:pt>
                <c:pt idx="170">
                  <c:v>44321</c:v>
                </c:pt>
                <c:pt idx="171">
                  <c:v>46643</c:v>
                </c:pt>
                <c:pt idx="172">
                  <c:v>16443</c:v>
                </c:pt>
                <c:pt idx="173">
                  <c:v>9269</c:v>
                </c:pt>
                <c:pt idx="174">
                  <c:v>22373</c:v>
                </c:pt>
                <c:pt idx="175">
                  <c:v>37876</c:v>
                </c:pt>
                <c:pt idx="176">
                  <c:v>40888</c:v>
                </c:pt>
                <c:pt idx="177">
                  <c:v>46625</c:v>
                </c:pt>
                <c:pt idx="178">
                  <c:v>49558</c:v>
                </c:pt>
                <c:pt idx="179">
                  <c:v>14154</c:v>
                </c:pt>
                <c:pt idx="180">
                  <c:v>39931</c:v>
                </c:pt>
                <c:pt idx="181">
                  <c:v>15045</c:v>
                </c:pt>
                <c:pt idx="182">
                  <c:v>40868</c:v>
                </c:pt>
                <c:pt idx="183">
                  <c:v>7705</c:v>
                </c:pt>
                <c:pt idx="184">
                  <c:v>43999</c:v>
                </c:pt>
                <c:pt idx="185">
                  <c:v>18001</c:v>
                </c:pt>
                <c:pt idx="186">
                  <c:v>24494</c:v>
                </c:pt>
                <c:pt idx="187">
                  <c:v>22996</c:v>
                </c:pt>
                <c:pt idx="188">
                  <c:v>39031</c:v>
                </c:pt>
                <c:pt idx="189">
                  <c:v>30987</c:v>
                </c:pt>
                <c:pt idx="190">
                  <c:v>11383</c:v>
                </c:pt>
                <c:pt idx="191">
                  <c:v>35801</c:v>
                </c:pt>
                <c:pt idx="192">
                  <c:v>20059</c:v>
                </c:pt>
                <c:pt idx="193">
                  <c:v>15969</c:v>
                </c:pt>
                <c:pt idx="194">
                  <c:v>39923</c:v>
                </c:pt>
                <c:pt idx="195">
                  <c:v>20733</c:v>
                </c:pt>
                <c:pt idx="196">
                  <c:v>14090</c:v>
                </c:pt>
                <c:pt idx="197">
                  <c:v>6832</c:v>
                </c:pt>
                <c:pt idx="198">
                  <c:v>7541</c:v>
                </c:pt>
                <c:pt idx="199">
                  <c:v>12174</c:v>
                </c:pt>
              </c:numCache>
            </c:numRef>
          </c:xVal>
          <c:yVal>
            <c:numRef>
              <c:f>'Engagement Summary'!$I$2:$I$1000</c:f>
              <c:numCache>
                <c:formatCode>General</c:formatCode>
                <c:ptCount val="999"/>
                <c:pt idx="0">
                  <c:v>1002</c:v>
                </c:pt>
                <c:pt idx="1">
                  <c:v>1283</c:v>
                </c:pt>
                <c:pt idx="2">
                  <c:v>1382</c:v>
                </c:pt>
                <c:pt idx="3">
                  <c:v>1670</c:v>
                </c:pt>
                <c:pt idx="4">
                  <c:v>64</c:v>
                </c:pt>
                <c:pt idx="5">
                  <c:v>309</c:v>
                </c:pt>
                <c:pt idx="6">
                  <c:v>-164</c:v>
                </c:pt>
                <c:pt idx="7">
                  <c:v>961</c:v>
                </c:pt>
                <c:pt idx="8">
                  <c:v>-318</c:v>
                </c:pt>
                <c:pt idx="9">
                  <c:v>-197</c:v>
                </c:pt>
                <c:pt idx="10">
                  <c:v>1334</c:v>
                </c:pt>
                <c:pt idx="11">
                  <c:v>1058</c:v>
                </c:pt>
                <c:pt idx="12">
                  <c:v>37</c:v>
                </c:pt>
                <c:pt idx="13">
                  <c:v>1045</c:v>
                </c:pt>
                <c:pt idx="14">
                  <c:v>1428</c:v>
                </c:pt>
                <c:pt idx="15">
                  <c:v>98</c:v>
                </c:pt>
                <c:pt idx="16">
                  <c:v>-19</c:v>
                </c:pt>
                <c:pt idx="17">
                  <c:v>-179</c:v>
                </c:pt>
                <c:pt idx="18">
                  <c:v>1662</c:v>
                </c:pt>
                <c:pt idx="19">
                  <c:v>285</c:v>
                </c:pt>
                <c:pt idx="20">
                  <c:v>439</c:v>
                </c:pt>
                <c:pt idx="21">
                  <c:v>386</c:v>
                </c:pt>
                <c:pt idx="22">
                  <c:v>540</c:v>
                </c:pt>
                <c:pt idx="23">
                  <c:v>-106</c:v>
                </c:pt>
                <c:pt idx="24">
                  <c:v>72</c:v>
                </c:pt>
                <c:pt idx="25">
                  <c:v>1332</c:v>
                </c:pt>
                <c:pt idx="26">
                  <c:v>1706</c:v>
                </c:pt>
                <c:pt idx="27">
                  <c:v>1373</c:v>
                </c:pt>
                <c:pt idx="28">
                  <c:v>1377</c:v>
                </c:pt>
                <c:pt idx="29">
                  <c:v>730</c:v>
                </c:pt>
                <c:pt idx="30">
                  <c:v>1776</c:v>
                </c:pt>
                <c:pt idx="31">
                  <c:v>620</c:v>
                </c:pt>
                <c:pt idx="32">
                  <c:v>298</c:v>
                </c:pt>
                <c:pt idx="33">
                  <c:v>427</c:v>
                </c:pt>
                <c:pt idx="34">
                  <c:v>898</c:v>
                </c:pt>
                <c:pt idx="35">
                  <c:v>748</c:v>
                </c:pt>
                <c:pt idx="36">
                  <c:v>912</c:v>
                </c:pt>
                <c:pt idx="37">
                  <c:v>1590</c:v>
                </c:pt>
                <c:pt idx="38">
                  <c:v>1707</c:v>
                </c:pt>
                <c:pt idx="39">
                  <c:v>-119</c:v>
                </c:pt>
                <c:pt idx="40">
                  <c:v>908</c:v>
                </c:pt>
                <c:pt idx="41">
                  <c:v>1116</c:v>
                </c:pt>
                <c:pt idx="42">
                  <c:v>474</c:v>
                </c:pt>
                <c:pt idx="43">
                  <c:v>514</c:v>
                </c:pt>
                <c:pt idx="44">
                  <c:v>1029</c:v>
                </c:pt>
                <c:pt idx="45">
                  <c:v>-175</c:v>
                </c:pt>
                <c:pt idx="46">
                  <c:v>1045</c:v>
                </c:pt>
                <c:pt idx="47">
                  <c:v>453</c:v>
                </c:pt>
                <c:pt idx="48">
                  <c:v>339</c:v>
                </c:pt>
                <c:pt idx="49">
                  <c:v>407</c:v>
                </c:pt>
                <c:pt idx="50">
                  <c:v>1047</c:v>
                </c:pt>
                <c:pt idx="51">
                  <c:v>517</c:v>
                </c:pt>
                <c:pt idx="52">
                  <c:v>893</c:v>
                </c:pt>
                <c:pt idx="53">
                  <c:v>629</c:v>
                </c:pt>
                <c:pt idx="54">
                  <c:v>-219</c:v>
                </c:pt>
                <c:pt idx="55">
                  <c:v>1672</c:v>
                </c:pt>
                <c:pt idx="56">
                  <c:v>1845</c:v>
                </c:pt>
                <c:pt idx="57">
                  <c:v>159</c:v>
                </c:pt>
                <c:pt idx="58">
                  <c:v>541</c:v>
                </c:pt>
                <c:pt idx="59">
                  <c:v>352</c:v>
                </c:pt>
                <c:pt idx="60">
                  <c:v>1325</c:v>
                </c:pt>
                <c:pt idx="61">
                  <c:v>76</c:v>
                </c:pt>
                <c:pt idx="62">
                  <c:v>1609</c:v>
                </c:pt>
                <c:pt idx="63">
                  <c:v>1247</c:v>
                </c:pt>
                <c:pt idx="64">
                  <c:v>1572</c:v>
                </c:pt>
                <c:pt idx="65">
                  <c:v>377</c:v>
                </c:pt>
                <c:pt idx="66">
                  <c:v>666</c:v>
                </c:pt>
                <c:pt idx="67">
                  <c:v>1025</c:v>
                </c:pt>
                <c:pt idx="68">
                  <c:v>1872</c:v>
                </c:pt>
                <c:pt idx="69">
                  <c:v>1224</c:v>
                </c:pt>
                <c:pt idx="70">
                  <c:v>262</c:v>
                </c:pt>
                <c:pt idx="71">
                  <c:v>576</c:v>
                </c:pt>
                <c:pt idx="72">
                  <c:v>1397</c:v>
                </c:pt>
                <c:pt idx="73">
                  <c:v>902</c:v>
                </c:pt>
                <c:pt idx="74">
                  <c:v>-49</c:v>
                </c:pt>
                <c:pt idx="75">
                  <c:v>1693</c:v>
                </c:pt>
                <c:pt idx="76">
                  <c:v>1625</c:v>
                </c:pt>
                <c:pt idx="77">
                  <c:v>1119</c:v>
                </c:pt>
                <c:pt idx="78">
                  <c:v>1432</c:v>
                </c:pt>
                <c:pt idx="79">
                  <c:v>684</c:v>
                </c:pt>
                <c:pt idx="80">
                  <c:v>1765</c:v>
                </c:pt>
                <c:pt idx="81">
                  <c:v>903</c:v>
                </c:pt>
                <c:pt idx="82">
                  <c:v>1722</c:v>
                </c:pt>
                <c:pt idx="83">
                  <c:v>1572</c:v>
                </c:pt>
                <c:pt idx="84">
                  <c:v>-166</c:v>
                </c:pt>
                <c:pt idx="85">
                  <c:v>1080</c:v>
                </c:pt>
                <c:pt idx="86">
                  <c:v>1723</c:v>
                </c:pt>
                <c:pt idx="87">
                  <c:v>965</c:v>
                </c:pt>
                <c:pt idx="88">
                  <c:v>1375</c:v>
                </c:pt>
                <c:pt idx="89">
                  <c:v>1315</c:v>
                </c:pt>
                <c:pt idx="90">
                  <c:v>212</c:v>
                </c:pt>
                <c:pt idx="91">
                  <c:v>680</c:v>
                </c:pt>
                <c:pt idx="92">
                  <c:v>461</c:v>
                </c:pt>
                <c:pt idx="93">
                  <c:v>641</c:v>
                </c:pt>
                <c:pt idx="94">
                  <c:v>167</c:v>
                </c:pt>
                <c:pt idx="95">
                  <c:v>-160</c:v>
                </c:pt>
                <c:pt idx="96">
                  <c:v>603</c:v>
                </c:pt>
                <c:pt idx="97">
                  <c:v>1539</c:v>
                </c:pt>
                <c:pt idx="98">
                  <c:v>1881</c:v>
                </c:pt>
                <c:pt idx="99">
                  <c:v>1656</c:v>
                </c:pt>
                <c:pt idx="100">
                  <c:v>415</c:v>
                </c:pt>
                <c:pt idx="101">
                  <c:v>186</c:v>
                </c:pt>
                <c:pt idx="102">
                  <c:v>1295</c:v>
                </c:pt>
                <c:pt idx="103">
                  <c:v>835</c:v>
                </c:pt>
                <c:pt idx="104">
                  <c:v>1357</c:v>
                </c:pt>
                <c:pt idx="105">
                  <c:v>547</c:v>
                </c:pt>
                <c:pt idx="106">
                  <c:v>429</c:v>
                </c:pt>
                <c:pt idx="107">
                  <c:v>1316</c:v>
                </c:pt>
                <c:pt idx="108">
                  <c:v>1495</c:v>
                </c:pt>
                <c:pt idx="109">
                  <c:v>328</c:v>
                </c:pt>
                <c:pt idx="110">
                  <c:v>37</c:v>
                </c:pt>
                <c:pt idx="111">
                  <c:v>1665</c:v>
                </c:pt>
                <c:pt idx="112">
                  <c:v>1229</c:v>
                </c:pt>
                <c:pt idx="113">
                  <c:v>197</c:v>
                </c:pt>
                <c:pt idx="114">
                  <c:v>260</c:v>
                </c:pt>
                <c:pt idx="115">
                  <c:v>1125</c:v>
                </c:pt>
                <c:pt idx="116">
                  <c:v>1680</c:v>
                </c:pt>
                <c:pt idx="117">
                  <c:v>599</c:v>
                </c:pt>
                <c:pt idx="118">
                  <c:v>107</c:v>
                </c:pt>
                <c:pt idx="119">
                  <c:v>-20</c:v>
                </c:pt>
                <c:pt idx="120">
                  <c:v>636</c:v>
                </c:pt>
                <c:pt idx="121">
                  <c:v>37</c:v>
                </c:pt>
                <c:pt idx="122">
                  <c:v>1603</c:v>
                </c:pt>
                <c:pt idx="123">
                  <c:v>1150</c:v>
                </c:pt>
                <c:pt idx="124">
                  <c:v>445</c:v>
                </c:pt>
                <c:pt idx="125">
                  <c:v>98</c:v>
                </c:pt>
                <c:pt idx="126">
                  <c:v>1173</c:v>
                </c:pt>
                <c:pt idx="127">
                  <c:v>1727</c:v>
                </c:pt>
                <c:pt idx="128">
                  <c:v>1359</c:v>
                </c:pt>
                <c:pt idx="129">
                  <c:v>911</c:v>
                </c:pt>
                <c:pt idx="130">
                  <c:v>1529</c:v>
                </c:pt>
                <c:pt idx="131">
                  <c:v>1188</c:v>
                </c:pt>
                <c:pt idx="132">
                  <c:v>-144</c:v>
                </c:pt>
                <c:pt idx="133">
                  <c:v>891</c:v>
                </c:pt>
                <c:pt idx="134">
                  <c:v>1426</c:v>
                </c:pt>
                <c:pt idx="135">
                  <c:v>569</c:v>
                </c:pt>
                <c:pt idx="136">
                  <c:v>1202</c:v>
                </c:pt>
                <c:pt idx="137">
                  <c:v>-37</c:v>
                </c:pt>
                <c:pt idx="138">
                  <c:v>708</c:v>
                </c:pt>
                <c:pt idx="139">
                  <c:v>899</c:v>
                </c:pt>
                <c:pt idx="140">
                  <c:v>1350</c:v>
                </c:pt>
                <c:pt idx="141">
                  <c:v>861</c:v>
                </c:pt>
                <c:pt idx="142">
                  <c:v>292</c:v>
                </c:pt>
                <c:pt idx="143">
                  <c:v>1676</c:v>
                </c:pt>
                <c:pt idx="144">
                  <c:v>1007</c:v>
                </c:pt>
                <c:pt idx="145">
                  <c:v>53</c:v>
                </c:pt>
                <c:pt idx="146">
                  <c:v>759</c:v>
                </c:pt>
                <c:pt idx="147">
                  <c:v>948</c:v>
                </c:pt>
                <c:pt idx="148">
                  <c:v>1510</c:v>
                </c:pt>
                <c:pt idx="149">
                  <c:v>269</c:v>
                </c:pt>
                <c:pt idx="150">
                  <c:v>1090</c:v>
                </c:pt>
                <c:pt idx="151">
                  <c:v>994</c:v>
                </c:pt>
                <c:pt idx="152">
                  <c:v>337</c:v>
                </c:pt>
                <c:pt idx="153">
                  <c:v>-123</c:v>
                </c:pt>
                <c:pt idx="154">
                  <c:v>91</c:v>
                </c:pt>
                <c:pt idx="155">
                  <c:v>514</c:v>
                </c:pt>
                <c:pt idx="156">
                  <c:v>160</c:v>
                </c:pt>
                <c:pt idx="157">
                  <c:v>317</c:v>
                </c:pt>
                <c:pt idx="158">
                  <c:v>475</c:v>
                </c:pt>
                <c:pt idx="159">
                  <c:v>319</c:v>
                </c:pt>
                <c:pt idx="160">
                  <c:v>1032</c:v>
                </c:pt>
                <c:pt idx="161">
                  <c:v>190</c:v>
                </c:pt>
                <c:pt idx="162">
                  <c:v>28</c:v>
                </c:pt>
                <c:pt idx="163">
                  <c:v>333</c:v>
                </c:pt>
                <c:pt idx="164">
                  <c:v>1100</c:v>
                </c:pt>
                <c:pt idx="165">
                  <c:v>-32</c:v>
                </c:pt>
                <c:pt idx="166">
                  <c:v>1006</c:v>
                </c:pt>
                <c:pt idx="167">
                  <c:v>1706</c:v>
                </c:pt>
                <c:pt idx="168">
                  <c:v>118</c:v>
                </c:pt>
                <c:pt idx="169">
                  <c:v>367</c:v>
                </c:pt>
                <c:pt idx="170">
                  <c:v>1484</c:v>
                </c:pt>
                <c:pt idx="171">
                  <c:v>1657</c:v>
                </c:pt>
                <c:pt idx="172">
                  <c:v>1044</c:v>
                </c:pt>
                <c:pt idx="173">
                  <c:v>349</c:v>
                </c:pt>
                <c:pt idx="174">
                  <c:v>60</c:v>
                </c:pt>
                <c:pt idx="175">
                  <c:v>885</c:v>
                </c:pt>
                <c:pt idx="176">
                  <c:v>291</c:v>
                </c:pt>
                <c:pt idx="177">
                  <c:v>573</c:v>
                </c:pt>
                <c:pt idx="178">
                  <c:v>876</c:v>
                </c:pt>
                <c:pt idx="179">
                  <c:v>1589</c:v>
                </c:pt>
                <c:pt idx="180">
                  <c:v>1460</c:v>
                </c:pt>
                <c:pt idx="181">
                  <c:v>846</c:v>
                </c:pt>
                <c:pt idx="182">
                  <c:v>901</c:v>
                </c:pt>
                <c:pt idx="183">
                  <c:v>724</c:v>
                </c:pt>
                <c:pt idx="184">
                  <c:v>1225</c:v>
                </c:pt>
                <c:pt idx="185">
                  <c:v>-203</c:v>
                </c:pt>
                <c:pt idx="186">
                  <c:v>1444</c:v>
                </c:pt>
                <c:pt idx="187">
                  <c:v>1175</c:v>
                </c:pt>
                <c:pt idx="188">
                  <c:v>1016</c:v>
                </c:pt>
                <c:pt idx="189">
                  <c:v>315</c:v>
                </c:pt>
                <c:pt idx="190">
                  <c:v>1242</c:v>
                </c:pt>
                <c:pt idx="191">
                  <c:v>1385</c:v>
                </c:pt>
                <c:pt idx="192">
                  <c:v>389</c:v>
                </c:pt>
                <c:pt idx="193">
                  <c:v>1467</c:v>
                </c:pt>
                <c:pt idx="194">
                  <c:v>209</c:v>
                </c:pt>
                <c:pt idx="195">
                  <c:v>145</c:v>
                </c:pt>
                <c:pt idx="196">
                  <c:v>1633</c:v>
                </c:pt>
                <c:pt idx="197">
                  <c:v>637</c:v>
                </c:pt>
                <c:pt idx="198">
                  <c:v>864</c:v>
                </c:pt>
                <c:pt idx="199">
                  <c:v>-337</c:v>
                </c:pt>
              </c:numCache>
            </c:numRef>
          </c:yVal>
          <c:smooth val="0"/>
          <c:extLst>
            <c:ext xmlns:c16="http://schemas.microsoft.com/office/drawing/2014/chart" uri="{C3380CC4-5D6E-409C-BE32-E72D297353CC}">
              <c16:uniqueId val="{00000000-DC6B-574A-AA22-91C03AD7D687}"/>
            </c:ext>
          </c:extLst>
        </c:ser>
        <c:dLbls>
          <c:showLegendKey val="0"/>
          <c:showVal val="0"/>
          <c:showCatName val="0"/>
          <c:showSerName val="0"/>
          <c:showPercent val="0"/>
          <c:showBubbleSize val="0"/>
        </c:dLbls>
        <c:axId val="1344657440"/>
        <c:axId val="1344659152"/>
      </c:scatterChart>
      <c:valAx>
        <c:axId val="13446574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GB"/>
                  <a:t>Ad</a:t>
                </a:r>
                <a:r>
                  <a:rPr lang="en-GB" baseline="0"/>
                  <a:t> spend</a:t>
                </a:r>
                <a:endParaRPr lang="en-GB"/>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344659152"/>
        <c:crosses val="autoZero"/>
        <c:crossBetween val="midCat"/>
      </c:valAx>
      <c:valAx>
        <c:axId val="1344659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GB"/>
                  <a:t>Follower</a:t>
                </a:r>
                <a:r>
                  <a:rPr lang="en-GB" baseline="0"/>
                  <a:t> Growth</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65744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[Project.xlsx]Platform Analysis!PivotTable14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770625494875589E-2"/>
          <c:y val="4.6352246966231747E-2"/>
          <c:w val="0.537789334126342"/>
          <c:h val="0.90115885179644617"/>
        </c:manualLayout>
      </c:layout>
      <c:barChart>
        <c:barDir val="col"/>
        <c:grouping val="clustered"/>
        <c:varyColors val="0"/>
        <c:ser>
          <c:idx val="0"/>
          <c:order val="0"/>
          <c:tx>
            <c:strRef>
              <c:f>'Platform Analysis'!$B$10</c:f>
              <c:strCache>
                <c:ptCount val="1"/>
                <c:pt idx="0">
                  <c:v>Average of Engagement_Rate</c:v>
                </c:pt>
              </c:strCache>
            </c:strRef>
          </c:tx>
          <c:spPr>
            <a:solidFill>
              <a:schemeClr val="accent1"/>
            </a:solidFill>
            <a:ln>
              <a:noFill/>
            </a:ln>
            <a:effectLst/>
          </c:spPr>
          <c:invertIfNegative val="0"/>
          <c:cat>
            <c:strRef>
              <c:f>'Platform Analysis'!$A$11:$A$14</c:f>
              <c:strCache>
                <c:ptCount val="4"/>
                <c:pt idx="0">
                  <c:v>Facebook</c:v>
                </c:pt>
                <c:pt idx="1">
                  <c:v>Instagram</c:v>
                </c:pt>
                <c:pt idx="2">
                  <c:v>Twitter</c:v>
                </c:pt>
                <c:pt idx="3">
                  <c:v>YouTube</c:v>
                </c:pt>
              </c:strCache>
            </c:strRef>
          </c:cat>
          <c:val>
            <c:numRef>
              <c:f>'Platform Analysis'!$B$11:$B$14</c:f>
              <c:numCache>
                <c:formatCode>General</c:formatCode>
                <c:ptCount val="4"/>
                <c:pt idx="0">
                  <c:v>5.6486000000000001</c:v>
                </c:pt>
                <c:pt idx="1">
                  <c:v>5.7156000000000002</c:v>
                </c:pt>
                <c:pt idx="2">
                  <c:v>5.6558000000000002</c:v>
                </c:pt>
                <c:pt idx="3">
                  <c:v>5.5587999999999997</c:v>
                </c:pt>
              </c:numCache>
            </c:numRef>
          </c:val>
          <c:extLst>
            <c:ext xmlns:c16="http://schemas.microsoft.com/office/drawing/2014/chart" uri="{C3380CC4-5D6E-409C-BE32-E72D297353CC}">
              <c16:uniqueId val="{00000000-4E12-8C46-B920-599A6BF6836E}"/>
            </c:ext>
          </c:extLst>
        </c:ser>
        <c:dLbls>
          <c:showLegendKey val="0"/>
          <c:showVal val="0"/>
          <c:showCatName val="0"/>
          <c:showSerName val="0"/>
          <c:showPercent val="0"/>
          <c:showBubbleSize val="0"/>
        </c:dLbls>
        <c:gapWidth val="219"/>
        <c:axId val="1876526880"/>
        <c:axId val="1876528608"/>
      </c:barChart>
      <c:lineChart>
        <c:grouping val="standard"/>
        <c:varyColors val="0"/>
        <c:ser>
          <c:idx val="1"/>
          <c:order val="1"/>
          <c:tx>
            <c:strRef>
              <c:f>'Platform Analysis'!$C$10</c:f>
              <c:strCache>
                <c:ptCount val="1"/>
                <c:pt idx="0">
                  <c:v>Average of Ad_Spend</c:v>
                </c:pt>
              </c:strCache>
            </c:strRef>
          </c:tx>
          <c:spPr>
            <a:ln w="28575" cap="rnd">
              <a:solidFill>
                <a:schemeClr val="accent2"/>
              </a:solidFill>
              <a:round/>
            </a:ln>
            <a:effectLst/>
          </c:spPr>
          <c:marker>
            <c:symbol val="none"/>
          </c:marker>
          <c:cat>
            <c:strRef>
              <c:f>'Platform Analysis'!$A$11:$A$14</c:f>
              <c:strCache>
                <c:ptCount val="4"/>
                <c:pt idx="0">
                  <c:v>Facebook</c:v>
                </c:pt>
                <c:pt idx="1">
                  <c:v>Instagram</c:v>
                </c:pt>
                <c:pt idx="2">
                  <c:v>Twitter</c:v>
                </c:pt>
                <c:pt idx="3">
                  <c:v>YouTube</c:v>
                </c:pt>
              </c:strCache>
            </c:strRef>
          </c:cat>
          <c:val>
            <c:numRef>
              <c:f>'Platform Analysis'!$C$11:$C$14</c:f>
              <c:numCache>
                <c:formatCode>General</c:formatCode>
                <c:ptCount val="4"/>
                <c:pt idx="0">
                  <c:v>27590.78</c:v>
                </c:pt>
                <c:pt idx="1">
                  <c:v>23287.46</c:v>
                </c:pt>
                <c:pt idx="2">
                  <c:v>21207.14</c:v>
                </c:pt>
                <c:pt idx="3">
                  <c:v>24572.94</c:v>
                </c:pt>
              </c:numCache>
            </c:numRef>
          </c:val>
          <c:smooth val="0"/>
          <c:extLst>
            <c:ext xmlns:c16="http://schemas.microsoft.com/office/drawing/2014/chart" uri="{C3380CC4-5D6E-409C-BE32-E72D297353CC}">
              <c16:uniqueId val="{00000001-4E12-8C46-B920-599A6BF6836E}"/>
            </c:ext>
          </c:extLst>
        </c:ser>
        <c:dLbls>
          <c:showLegendKey val="0"/>
          <c:showVal val="0"/>
          <c:showCatName val="0"/>
          <c:showSerName val="0"/>
          <c:showPercent val="0"/>
          <c:showBubbleSize val="0"/>
        </c:dLbls>
        <c:marker val="1"/>
        <c:smooth val="0"/>
        <c:axId val="405189647"/>
        <c:axId val="405186511"/>
      </c:lineChart>
      <c:catAx>
        <c:axId val="187652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528608"/>
        <c:crosses val="autoZero"/>
        <c:auto val="1"/>
        <c:lblAlgn val="ctr"/>
        <c:lblOffset val="100"/>
        <c:noMultiLvlLbl val="0"/>
      </c:catAx>
      <c:valAx>
        <c:axId val="1876528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 Engagement</a:t>
                </a:r>
                <a:r>
                  <a:rPr lang="en-GB" baseline="0"/>
                  <a:t> Rate</a:t>
                </a:r>
                <a:endParaRPr lang="en-GB"/>
              </a:p>
            </c:rich>
          </c:tx>
          <c:layout>
            <c:manualLayout>
              <c:xMode val="edge"/>
              <c:yMode val="edge"/>
              <c:x val="2.3109243697478993E-2"/>
              <c:y val="0.4239118021012245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526880"/>
        <c:crosses val="autoZero"/>
        <c:crossBetween val="between"/>
      </c:valAx>
      <c:valAx>
        <c:axId val="405186511"/>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Ad</a:t>
                </a:r>
                <a:r>
                  <a:rPr lang="en-GB" baseline="0"/>
                  <a:t> Spend</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189647"/>
        <c:crosses val="max"/>
        <c:crossBetween val="between"/>
      </c:valAx>
      <c:catAx>
        <c:axId val="405189647"/>
        <c:scaling>
          <c:orientation val="minMax"/>
        </c:scaling>
        <c:delete val="1"/>
        <c:axPos val="b"/>
        <c:numFmt formatCode="General" sourceLinked="1"/>
        <c:majorTickMark val="out"/>
        <c:minorTickMark val="none"/>
        <c:tickLblPos val="nextTo"/>
        <c:crossAx val="40518651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[Project.xlsx]Campaign Effectiveness!PivotTable5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79655085487196"/>
          <c:y val="4.1935483870967745E-2"/>
          <c:w val="0.51468660102247132"/>
          <c:h val="0.68989712979425954"/>
        </c:manualLayout>
      </c:layout>
      <c:barChart>
        <c:barDir val="col"/>
        <c:grouping val="clustered"/>
        <c:varyColors val="0"/>
        <c:ser>
          <c:idx val="0"/>
          <c:order val="0"/>
          <c:tx>
            <c:strRef>
              <c:f>'Campaign Effectiveness'!$F$10</c:f>
              <c:strCache>
                <c:ptCount val="1"/>
                <c:pt idx="0">
                  <c:v>Sum of Engagement_Rate</c:v>
                </c:pt>
              </c:strCache>
            </c:strRef>
          </c:tx>
          <c:spPr>
            <a:solidFill>
              <a:schemeClr val="accent1"/>
            </a:solidFill>
            <a:ln>
              <a:noFill/>
            </a:ln>
            <a:effectLst/>
          </c:spPr>
          <c:invertIfNegative val="0"/>
          <c:cat>
            <c:strRef>
              <c:f>'Campaign Effectiveness'!$E$11:$E$15</c:f>
              <c:strCache>
                <c:ptCount val="4"/>
                <c:pt idx="0">
                  <c:v>CybertruckLaunch</c:v>
                </c:pt>
                <c:pt idx="1">
                  <c:v>FSDUpdate</c:v>
                </c:pt>
                <c:pt idx="2">
                  <c:v>ModelYCampaign</c:v>
                </c:pt>
                <c:pt idx="3">
                  <c:v>Sustainability Drive</c:v>
                </c:pt>
              </c:strCache>
            </c:strRef>
          </c:cat>
          <c:val>
            <c:numRef>
              <c:f>'Campaign Effectiveness'!$F$11:$F$15</c:f>
              <c:numCache>
                <c:formatCode>General</c:formatCode>
                <c:ptCount val="4"/>
                <c:pt idx="0">
                  <c:v>131.76000000000002</c:v>
                </c:pt>
                <c:pt idx="1">
                  <c:v>38.059999999999995</c:v>
                </c:pt>
                <c:pt idx="2">
                  <c:v>83.320000000000007</c:v>
                </c:pt>
                <c:pt idx="3">
                  <c:v>90.699999999999989</c:v>
                </c:pt>
              </c:numCache>
            </c:numRef>
          </c:val>
          <c:extLst>
            <c:ext xmlns:c16="http://schemas.microsoft.com/office/drawing/2014/chart" uri="{C3380CC4-5D6E-409C-BE32-E72D297353CC}">
              <c16:uniqueId val="{00000000-B591-CA49-879F-27D7E31B758D}"/>
            </c:ext>
          </c:extLst>
        </c:ser>
        <c:dLbls>
          <c:showLegendKey val="0"/>
          <c:showVal val="0"/>
          <c:showCatName val="0"/>
          <c:showSerName val="0"/>
          <c:showPercent val="0"/>
          <c:showBubbleSize val="0"/>
        </c:dLbls>
        <c:gapWidth val="219"/>
        <c:axId val="1245018496"/>
        <c:axId val="1245020208"/>
      </c:barChart>
      <c:lineChart>
        <c:grouping val="standard"/>
        <c:varyColors val="0"/>
        <c:ser>
          <c:idx val="1"/>
          <c:order val="1"/>
          <c:tx>
            <c:strRef>
              <c:f>'Campaign Effectiveness'!$G$10</c:f>
              <c:strCache>
                <c:ptCount val="1"/>
                <c:pt idx="0">
                  <c:v>Sum of Ad_Spend</c:v>
                </c:pt>
              </c:strCache>
            </c:strRef>
          </c:tx>
          <c:spPr>
            <a:ln w="28575" cap="rnd">
              <a:solidFill>
                <a:schemeClr val="accent2"/>
              </a:solidFill>
              <a:round/>
            </a:ln>
            <a:effectLst/>
          </c:spPr>
          <c:marker>
            <c:symbol val="none"/>
          </c:marker>
          <c:cat>
            <c:strRef>
              <c:f>'Campaign Effectiveness'!$E$11:$E$15</c:f>
              <c:strCache>
                <c:ptCount val="4"/>
                <c:pt idx="0">
                  <c:v>CybertruckLaunch</c:v>
                </c:pt>
                <c:pt idx="1">
                  <c:v>FSDUpdate</c:v>
                </c:pt>
                <c:pt idx="2">
                  <c:v>ModelYCampaign</c:v>
                </c:pt>
                <c:pt idx="3">
                  <c:v>Sustainability Drive</c:v>
                </c:pt>
              </c:strCache>
            </c:strRef>
          </c:cat>
          <c:val>
            <c:numRef>
              <c:f>'Campaign Effectiveness'!$G$11:$G$15</c:f>
              <c:numCache>
                <c:formatCode>General</c:formatCode>
                <c:ptCount val="4"/>
                <c:pt idx="0">
                  <c:v>558230</c:v>
                </c:pt>
                <c:pt idx="1">
                  <c:v>151428</c:v>
                </c:pt>
                <c:pt idx="2">
                  <c:v>447611</c:v>
                </c:pt>
                <c:pt idx="3">
                  <c:v>315597</c:v>
                </c:pt>
              </c:numCache>
            </c:numRef>
          </c:val>
          <c:smooth val="0"/>
          <c:extLst>
            <c:ext xmlns:c16="http://schemas.microsoft.com/office/drawing/2014/chart" uri="{C3380CC4-5D6E-409C-BE32-E72D297353CC}">
              <c16:uniqueId val="{00000001-B591-CA49-879F-27D7E31B758D}"/>
            </c:ext>
          </c:extLst>
        </c:ser>
        <c:dLbls>
          <c:showLegendKey val="0"/>
          <c:showVal val="0"/>
          <c:showCatName val="0"/>
          <c:showSerName val="0"/>
          <c:showPercent val="0"/>
          <c:showBubbleSize val="0"/>
        </c:dLbls>
        <c:marker val="1"/>
        <c:smooth val="0"/>
        <c:axId val="427409472"/>
        <c:axId val="427406336"/>
      </c:lineChart>
      <c:catAx>
        <c:axId val="124501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020208"/>
        <c:crosses val="autoZero"/>
        <c:auto val="1"/>
        <c:lblAlgn val="ctr"/>
        <c:lblOffset val="100"/>
        <c:noMultiLvlLbl val="0"/>
      </c:catAx>
      <c:valAx>
        <c:axId val="1245020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018496"/>
        <c:crosses val="autoZero"/>
        <c:crossBetween val="between"/>
      </c:valAx>
      <c:valAx>
        <c:axId val="42740633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409472"/>
        <c:crosses val="max"/>
        <c:crossBetween val="between"/>
      </c:valAx>
      <c:catAx>
        <c:axId val="427409472"/>
        <c:scaling>
          <c:orientation val="minMax"/>
        </c:scaling>
        <c:delete val="1"/>
        <c:axPos val="b"/>
        <c:numFmt formatCode="General" sourceLinked="1"/>
        <c:majorTickMark val="out"/>
        <c:minorTickMark val="none"/>
        <c:tickLblPos val="nextTo"/>
        <c:crossAx val="42740633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[Project.xlsx]Follower Retention!PivotTable2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'Follower Retention'!$B$3</c:f>
              <c:strCache>
                <c:ptCount val="1"/>
                <c:pt idx="0">
                  <c:v>Total</c:v>
                </c:pt>
              </c:strCache>
            </c:strRef>
          </c:tx>
          <c:spPr>
            <a:ln w="28575" cap="rnd">
              <a:solidFill>
                <a:schemeClr val="accent1"/>
              </a:solidFill>
              <a:round/>
            </a:ln>
            <a:effectLst/>
          </c:spPr>
          <c:marker>
            <c:symbol val="none"/>
          </c:marker>
          <c:trendline>
            <c:spPr>
              <a:ln w="12700" cap="flat" cmpd="sng" algn="ctr">
                <a:solidFill>
                  <a:schemeClr val="accent1"/>
                </a:solidFill>
                <a:prstDash val="solid"/>
                <a:miter lim="800000"/>
              </a:ln>
              <a:effectLst/>
            </c:spPr>
            <c:trendlineType val="movingAvg"/>
            <c:period val="2"/>
            <c:dispRSqr val="0"/>
            <c:dispEq val="0"/>
          </c:trendline>
          <c:cat>
            <c:strRef>
              <c:f>'Follower Retention'!$A$4:$A$54</c:f>
              <c:strCache>
                <c:ptCount val="50"/>
                <c:pt idx="0">
                  <c:v>03/06/24 - 09/06/24</c:v>
                </c:pt>
                <c:pt idx="1">
                  <c:v>10/06/24 - 16/06/24</c:v>
                </c:pt>
                <c:pt idx="2">
                  <c:v>17/06/24 - 23/06/24</c:v>
                </c:pt>
                <c:pt idx="3">
                  <c:v>24/06/24 - 30/06/24</c:v>
                </c:pt>
                <c:pt idx="4">
                  <c:v>01/07/24 - 07/07/24</c:v>
                </c:pt>
                <c:pt idx="5">
                  <c:v>08/07/24 - 14/07/24</c:v>
                </c:pt>
                <c:pt idx="6">
                  <c:v>15/07/24 - 21/07/24</c:v>
                </c:pt>
                <c:pt idx="7">
                  <c:v>22/07/24 - 28/07/24</c:v>
                </c:pt>
                <c:pt idx="8">
                  <c:v>29/07/24 - 04/08/24</c:v>
                </c:pt>
                <c:pt idx="9">
                  <c:v>05/08/24 - 11/08/24</c:v>
                </c:pt>
                <c:pt idx="10">
                  <c:v>12/08/24 - 18/08/24</c:v>
                </c:pt>
                <c:pt idx="11">
                  <c:v>19/08/24 - 25/08/24</c:v>
                </c:pt>
                <c:pt idx="12">
                  <c:v>26/08/24 - 01/09/24</c:v>
                </c:pt>
                <c:pt idx="13">
                  <c:v>02/09/24 - 08/09/24</c:v>
                </c:pt>
                <c:pt idx="14">
                  <c:v>09/09/24 - 15/09/24</c:v>
                </c:pt>
                <c:pt idx="15">
                  <c:v>16/09/24 - 22/09/24</c:v>
                </c:pt>
                <c:pt idx="16">
                  <c:v>23/09/24 - 29/09/24</c:v>
                </c:pt>
                <c:pt idx="17">
                  <c:v>30/09/24 - 06/10/24</c:v>
                </c:pt>
                <c:pt idx="18">
                  <c:v>07/10/24 - 13/10/24</c:v>
                </c:pt>
                <c:pt idx="19">
                  <c:v>14/10/24 - 20/10/24</c:v>
                </c:pt>
                <c:pt idx="20">
                  <c:v>21/10/24 - 27/10/24</c:v>
                </c:pt>
                <c:pt idx="21">
                  <c:v>28/10/24 - 03/11/24</c:v>
                </c:pt>
                <c:pt idx="22">
                  <c:v>04/11/24 - 10/11/24</c:v>
                </c:pt>
                <c:pt idx="23">
                  <c:v>11/11/24 - 17/11/24</c:v>
                </c:pt>
                <c:pt idx="24">
                  <c:v>18/11/24 - 24/11/24</c:v>
                </c:pt>
                <c:pt idx="25">
                  <c:v>25/11/24 - 01/12/24</c:v>
                </c:pt>
                <c:pt idx="26">
                  <c:v>02/12/24 - 08/12/24</c:v>
                </c:pt>
                <c:pt idx="27">
                  <c:v>09/12/24 - 15/12/24</c:v>
                </c:pt>
                <c:pt idx="28">
                  <c:v>16/12/24 - 22/12/24</c:v>
                </c:pt>
                <c:pt idx="29">
                  <c:v>23/12/24 - 29/12/24</c:v>
                </c:pt>
                <c:pt idx="30">
                  <c:v>30/12/24 - 05/01/25</c:v>
                </c:pt>
                <c:pt idx="31">
                  <c:v>06/01/25 - 12/01/25</c:v>
                </c:pt>
                <c:pt idx="32">
                  <c:v>13/01/25 - 19/01/25</c:v>
                </c:pt>
                <c:pt idx="33">
                  <c:v>20/01/25 - 26/01/25</c:v>
                </c:pt>
                <c:pt idx="34">
                  <c:v>27/01/25 - 02/02/25</c:v>
                </c:pt>
                <c:pt idx="35">
                  <c:v>03/02/25 - 09/02/25</c:v>
                </c:pt>
                <c:pt idx="36">
                  <c:v>10/02/25 - 16/02/25</c:v>
                </c:pt>
                <c:pt idx="37">
                  <c:v>17/02/25 - 23/02/25</c:v>
                </c:pt>
                <c:pt idx="38">
                  <c:v>24/02/25 - 02/03/25</c:v>
                </c:pt>
                <c:pt idx="39">
                  <c:v>03/03/25 - 09/03/25</c:v>
                </c:pt>
                <c:pt idx="40">
                  <c:v>10/03/25 - 16/03/25</c:v>
                </c:pt>
                <c:pt idx="41">
                  <c:v>17/03/25 - 23/03/25</c:v>
                </c:pt>
                <c:pt idx="42">
                  <c:v>24/03/25 - 30/03/25</c:v>
                </c:pt>
                <c:pt idx="43">
                  <c:v>31/03/25 - 06/04/25</c:v>
                </c:pt>
                <c:pt idx="44">
                  <c:v>07/04/25 - 13/04/25</c:v>
                </c:pt>
                <c:pt idx="45">
                  <c:v>14/04/25 - 20/04/25</c:v>
                </c:pt>
                <c:pt idx="46">
                  <c:v>21/04/25 - 27/04/25</c:v>
                </c:pt>
                <c:pt idx="47">
                  <c:v>28/04/25 - 04/05/25</c:v>
                </c:pt>
                <c:pt idx="48">
                  <c:v>05/05/25 - 11/05/25</c:v>
                </c:pt>
                <c:pt idx="49">
                  <c:v>12/05/25 - 13/05/25</c:v>
                </c:pt>
              </c:strCache>
            </c:strRef>
          </c:cat>
          <c:val>
            <c:numRef>
              <c:f>'Follower Retention'!$B$4:$B$54</c:f>
              <c:numCache>
                <c:formatCode>General</c:formatCode>
                <c:ptCount val="50"/>
                <c:pt idx="0">
                  <c:v>3554</c:v>
                </c:pt>
                <c:pt idx="1">
                  <c:v>2980</c:v>
                </c:pt>
                <c:pt idx="2">
                  <c:v>3907</c:v>
                </c:pt>
                <c:pt idx="3">
                  <c:v>3011</c:v>
                </c:pt>
                <c:pt idx="4">
                  <c:v>1293</c:v>
                </c:pt>
                <c:pt idx="5">
                  <c:v>3042</c:v>
                </c:pt>
                <c:pt idx="6">
                  <c:v>2270</c:v>
                </c:pt>
                <c:pt idx="7">
                  <c:v>2753</c:v>
                </c:pt>
                <c:pt idx="8">
                  <c:v>2193</c:v>
                </c:pt>
                <c:pt idx="9">
                  <c:v>802</c:v>
                </c:pt>
                <c:pt idx="10">
                  <c:v>3728</c:v>
                </c:pt>
                <c:pt idx="11">
                  <c:v>2989</c:v>
                </c:pt>
                <c:pt idx="12">
                  <c:v>2903</c:v>
                </c:pt>
                <c:pt idx="13">
                  <c:v>2822</c:v>
                </c:pt>
                <c:pt idx="14">
                  <c:v>4360</c:v>
                </c:pt>
                <c:pt idx="15">
                  <c:v>1568</c:v>
                </c:pt>
                <c:pt idx="16">
                  <c:v>3333</c:v>
                </c:pt>
                <c:pt idx="17">
                  <c:v>3151</c:v>
                </c:pt>
                <c:pt idx="18">
                  <c:v>3759</c:v>
                </c:pt>
                <c:pt idx="19">
                  <c:v>1856</c:v>
                </c:pt>
                <c:pt idx="20">
                  <c:v>2821</c:v>
                </c:pt>
                <c:pt idx="21">
                  <c:v>2656</c:v>
                </c:pt>
                <c:pt idx="22">
                  <c:v>4584</c:v>
                </c:pt>
                <c:pt idx="23">
                  <c:v>2295</c:v>
                </c:pt>
                <c:pt idx="24">
                  <c:v>528</c:v>
                </c:pt>
                <c:pt idx="25">
                  <c:v>4008</c:v>
                </c:pt>
                <c:pt idx="26">
                  <c:v>4795</c:v>
                </c:pt>
                <c:pt idx="27">
                  <c:v>4792</c:v>
                </c:pt>
                <c:pt idx="28">
                  <c:v>5044</c:v>
                </c:pt>
                <c:pt idx="29">
                  <c:v>3914</c:v>
                </c:pt>
                <c:pt idx="30">
                  <c:v>6530</c:v>
                </c:pt>
                <c:pt idx="31">
                  <c:v>3557</c:v>
                </c:pt>
                <c:pt idx="32">
                  <c:v>2777</c:v>
                </c:pt>
                <c:pt idx="33">
                  <c:v>3614</c:v>
                </c:pt>
                <c:pt idx="34">
                  <c:v>3383</c:v>
                </c:pt>
                <c:pt idx="35">
                  <c:v>2194</c:v>
                </c:pt>
                <c:pt idx="36">
                  <c:v>5281</c:v>
                </c:pt>
                <c:pt idx="37">
                  <c:v>3693</c:v>
                </c:pt>
                <c:pt idx="38">
                  <c:v>4806</c:v>
                </c:pt>
                <c:pt idx="39">
                  <c:v>2410</c:v>
                </c:pt>
                <c:pt idx="40">
                  <c:v>3712</c:v>
                </c:pt>
                <c:pt idx="41">
                  <c:v>4042</c:v>
                </c:pt>
                <c:pt idx="42">
                  <c:v>1616</c:v>
                </c:pt>
                <c:pt idx="43">
                  <c:v>4298</c:v>
                </c:pt>
                <c:pt idx="44">
                  <c:v>2412</c:v>
                </c:pt>
                <c:pt idx="45">
                  <c:v>-137</c:v>
                </c:pt>
                <c:pt idx="46">
                  <c:v>4040</c:v>
                </c:pt>
                <c:pt idx="47">
                  <c:v>3577</c:v>
                </c:pt>
                <c:pt idx="48">
                  <c:v>4594</c:v>
                </c:pt>
                <c:pt idx="49">
                  <c:v>1995</c:v>
                </c:pt>
              </c:numCache>
            </c:numRef>
          </c:val>
          <c:smooth val="0"/>
          <c:extLst>
            <c:ext xmlns:c16="http://schemas.microsoft.com/office/drawing/2014/chart" uri="{C3380CC4-5D6E-409C-BE32-E72D297353CC}">
              <c16:uniqueId val="{00000000-0F1F-2045-AD99-F70DD6362F1B}"/>
            </c:ext>
          </c:extLst>
        </c:ser>
        <c:dLbls>
          <c:showLegendKey val="0"/>
          <c:showVal val="0"/>
          <c:showCatName val="0"/>
          <c:showSerName val="0"/>
          <c:showPercent val="0"/>
          <c:showBubbleSize val="0"/>
        </c:dLbls>
        <c:smooth val="0"/>
        <c:axId val="664149440"/>
        <c:axId val="664151152"/>
      </c:lineChart>
      <c:catAx>
        <c:axId val="66414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151152"/>
        <c:crosses val="autoZero"/>
        <c:auto val="1"/>
        <c:lblAlgn val="ctr"/>
        <c:lblOffset val="100"/>
        <c:noMultiLvlLbl val="0"/>
      </c:catAx>
      <c:valAx>
        <c:axId val="66415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14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[Project.xlsx]Follower Retention!PivotTable1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Loyalty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'Follower Retention'!$E$27</c:f>
              <c:strCache>
                <c:ptCount val="1"/>
                <c:pt idx="0">
                  <c:v>Total</c:v>
                </c:pt>
              </c:strCache>
            </c:strRef>
          </c:tx>
          <c:spPr>
            <a:solidFill>
              <a:schemeClr val="accent1"/>
            </a:solidFill>
            <a:ln>
              <a:noFill/>
            </a:ln>
            <a:effectLst/>
          </c:spPr>
          <c:invertIfNegative val="0"/>
          <c:cat>
            <c:strRef>
              <c:f>'Follower Retention'!$D$28:$D$32</c:f>
              <c:strCache>
                <c:ptCount val="4"/>
                <c:pt idx="0">
                  <c:v>CybertruckLaunch</c:v>
                </c:pt>
                <c:pt idx="1">
                  <c:v>FSDUpdate</c:v>
                </c:pt>
                <c:pt idx="2">
                  <c:v>ModelYCampaign</c:v>
                </c:pt>
                <c:pt idx="3">
                  <c:v>Sustainability Drive</c:v>
                </c:pt>
              </c:strCache>
            </c:strRef>
          </c:cat>
          <c:val>
            <c:numRef>
              <c:f>'Follower Retention'!$E$28:$E$32</c:f>
              <c:numCache>
                <c:formatCode>General</c:formatCode>
                <c:ptCount val="4"/>
                <c:pt idx="0">
                  <c:v>237.85714285714286</c:v>
                </c:pt>
                <c:pt idx="1">
                  <c:v>167.625</c:v>
                </c:pt>
                <c:pt idx="2">
                  <c:v>214.125</c:v>
                </c:pt>
                <c:pt idx="3">
                  <c:v>194.8</c:v>
                </c:pt>
              </c:numCache>
            </c:numRef>
          </c:val>
          <c:extLst>
            <c:ext xmlns:c16="http://schemas.microsoft.com/office/drawing/2014/chart" uri="{C3380CC4-5D6E-409C-BE32-E72D297353CC}">
              <c16:uniqueId val="{00000000-B354-AD44-8255-4D7ABB4240B8}"/>
            </c:ext>
          </c:extLst>
        </c:ser>
        <c:dLbls>
          <c:showLegendKey val="0"/>
          <c:showVal val="0"/>
          <c:showCatName val="0"/>
          <c:showSerName val="0"/>
          <c:showPercent val="0"/>
          <c:showBubbleSize val="0"/>
        </c:dLbls>
        <c:gapWidth val="219"/>
        <c:overlap val="-27"/>
        <c:axId val="644362624"/>
        <c:axId val="644277568"/>
      </c:barChart>
      <c:catAx>
        <c:axId val="644362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Campaign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277568"/>
        <c:crosses val="autoZero"/>
        <c:auto val="1"/>
        <c:lblAlgn val="ctr"/>
        <c:lblOffset val="100"/>
        <c:noMultiLvlLbl val="0"/>
      </c:catAx>
      <c:valAx>
        <c:axId val="6442775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aseline="0"/>
                  <a:t> Average  Unfollows</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36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160098</xdr:colOff>
      <xdr:row>1</xdr:row>
      <xdr:rowOff>62489</xdr:rowOff>
    </xdr:from>
    <xdr:to>
      <xdr:col>14</xdr:col>
      <xdr:colOff>599541</xdr:colOff>
      <xdr:row>14</xdr:row>
      <xdr:rowOff>163190</xdr:rowOff>
    </xdr:to>
    <xdr:graphicFrame macro="">
      <xdr:nvGraphicFramePr>
        <xdr:cNvPr id="5" name="Chart 4">
          <a:extLst>
            <a:ext uri="{FF2B5EF4-FFF2-40B4-BE49-F238E27FC236}">
              <a16:creationId xmlns:a16="http://schemas.microsoft.com/office/drawing/2014/main" id="{A8DDE046-4E21-5B63-D64F-E1B4F3393E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334707</xdr:colOff>
      <xdr:row>3</xdr:row>
      <xdr:rowOff>68279</xdr:rowOff>
    </xdr:from>
    <xdr:to>
      <xdr:col>20</xdr:col>
      <xdr:colOff>423334</xdr:colOff>
      <xdr:row>24</xdr:row>
      <xdr:rowOff>150488</xdr:rowOff>
    </xdr:to>
    <xdr:graphicFrame macro="">
      <xdr:nvGraphicFramePr>
        <xdr:cNvPr id="5" name="Chart 4">
          <a:extLst>
            <a:ext uri="{FF2B5EF4-FFF2-40B4-BE49-F238E27FC236}">
              <a16:creationId xmlns:a16="http://schemas.microsoft.com/office/drawing/2014/main" id="{53507A3B-5BBE-EB0E-74D7-33B22FF5F3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546100</xdr:colOff>
      <xdr:row>15</xdr:row>
      <xdr:rowOff>127000</xdr:rowOff>
    </xdr:from>
    <xdr:to>
      <xdr:col>9</xdr:col>
      <xdr:colOff>317500</xdr:colOff>
      <xdr:row>35</xdr:row>
      <xdr:rowOff>0</xdr:rowOff>
    </xdr:to>
    <xdr:graphicFrame macro="">
      <xdr:nvGraphicFramePr>
        <xdr:cNvPr id="3" name="Chart 2">
          <a:extLst>
            <a:ext uri="{FF2B5EF4-FFF2-40B4-BE49-F238E27FC236}">
              <a16:creationId xmlns:a16="http://schemas.microsoft.com/office/drawing/2014/main" id="{A1FEAB82-E757-1613-4722-2A07D156D6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139700</xdr:colOff>
      <xdr:row>19</xdr:row>
      <xdr:rowOff>139700</xdr:rowOff>
    </xdr:from>
    <xdr:to>
      <xdr:col>1</xdr:col>
      <xdr:colOff>254000</xdr:colOff>
      <xdr:row>32</xdr:row>
      <xdr:rowOff>117472</xdr:rowOff>
    </xdr:to>
    <mc:AlternateContent xmlns:mc="http://schemas.openxmlformats.org/markup-compatibility/2006" xmlns:a14="http://schemas.microsoft.com/office/drawing/2010/main">
      <mc:Choice Requires="a14">
        <xdr:graphicFrame macro="">
          <xdr:nvGraphicFramePr>
            <xdr:cNvPr id="2" name="Platform 1">
              <a:extLst>
                <a:ext uri="{FF2B5EF4-FFF2-40B4-BE49-F238E27FC236}">
                  <a16:creationId xmlns:a16="http://schemas.microsoft.com/office/drawing/2014/main" id="{92FEFD0B-542A-A9F9-6DA4-07D7B0DB68D1}"/>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139700" y="40005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529167</xdr:colOff>
      <xdr:row>0</xdr:row>
      <xdr:rowOff>0</xdr:rowOff>
    </xdr:from>
    <xdr:to>
      <xdr:col>11</xdr:col>
      <xdr:colOff>162983</xdr:colOff>
      <xdr:row>23</xdr:row>
      <xdr:rowOff>44550</xdr:rowOff>
    </xdr:to>
    <xdr:graphicFrame macro="">
      <xdr:nvGraphicFramePr>
        <xdr:cNvPr id="2" name="Chart 1">
          <a:extLst>
            <a:ext uri="{FF2B5EF4-FFF2-40B4-BE49-F238E27FC236}">
              <a16:creationId xmlns:a16="http://schemas.microsoft.com/office/drawing/2014/main" id="{3BC36449-A256-DD5C-4B76-B38B695991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312942</xdr:colOff>
      <xdr:row>0</xdr:row>
      <xdr:rowOff>158588</xdr:rowOff>
    </xdr:from>
    <xdr:to>
      <xdr:col>13</xdr:col>
      <xdr:colOff>480972</xdr:colOff>
      <xdr:row>13</xdr:row>
      <xdr:rowOff>83606</xdr:rowOff>
    </xdr:to>
    <mc:AlternateContent xmlns:mc="http://schemas.openxmlformats.org/markup-compatibility/2006" xmlns:a14="http://schemas.microsoft.com/office/drawing/2010/main">
      <mc:Choice Requires="a14">
        <xdr:graphicFrame macro="">
          <xdr:nvGraphicFramePr>
            <xdr:cNvPr id="3" name="Platform">
              <a:extLst>
                <a:ext uri="{FF2B5EF4-FFF2-40B4-BE49-F238E27FC236}">
                  <a16:creationId xmlns:a16="http://schemas.microsoft.com/office/drawing/2014/main" id="{086F9211-D39C-6234-5AD1-0FD2F480EE0D}"/>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13012942" y="158588"/>
              <a:ext cx="1827497" cy="256661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495031</xdr:colOff>
      <xdr:row>24</xdr:row>
      <xdr:rowOff>169334</xdr:rowOff>
    </xdr:from>
    <xdr:to>
      <xdr:col>12</xdr:col>
      <xdr:colOff>524932</xdr:colOff>
      <xdr:row>41</xdr:row>
      <xdr:rowOff>101600</xdr:rowOff>
    </xdr:to>
    <xdr:graphicFrame macro="">
      <xdr:nvGraphicFramePr>
        <xdr:cNvPr id="4" name="Chart 3">
          <a:extLst>
            <a:ext uri="{FF2B5EF4-FFF2-40B4-BE49-F238E27FC236}">
              <a16:creationId xmlns:a16="http://schemas.microsoft.com/office/drawing/2014/main" id="{E0DE27D0-5AA5-A0FC-05C0-859C7C5B2D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shi raj" refreshedDate="45959.222853472224" createdVersion="8" refreshedVersion="8" minRefreshableVersion="3" recordCount="300" xr:uid="{20C13B84-C5C1-C54D-9073-E1E68F129E97}">
  <cacheSource type="worksheet">
    <worksheetSource ref="A1:N301" sheet="Posts (2)"/>
  </cacheSource>
  <cacheFields count="17">
    <cacheField name="Post ID" numFmtId="0">
      <sharedItems/>
    </cacheField>
    <cacheField name="Platform" numFmtId="0">
      <sharedItems count="4">
        <s v="Instagram"/>
        <s v="Twitter"/>
        <s v="YouTube"/>
        <s v="Facebook"/>
      </sharedItems>
    </cacheField>
    <cacheField name="Date" numFmtId="14">
      <sharedItems containsSemiMixedTypes="0" containsNonDate="0" containsDate="1" containsString="0" minDate="2024-06-01T00:00:00" maxDate="2025-05-15T00:00:00"/>
    </cacheField>
    <cacheField name="Content Type" numFmtId="0">
      <sharedItems count="6">
        <s v="Story"/>
        <s v="Reel"/>
        <s v="Video"/>
        <s v="Carousel"/>
        <s v="Image"/>
        <s v="Text"/>
      </sharedItems>
    </cacheField>
    <cacheField name="Post Text" numFmtId="0">
      <sharedItems/>
    </cacheField>
    <cacheField name="Likes" numFmtId="0">
      <sharedItems containsSemiMixedTypes="0" containsString="0" containsNumber="1" containsInteger="1" minValue="53" maxValue="4941"/>
    </cacheField>
    <cacheField name="Shares" numFmtId="0">
      <sharedItems containsSemiMixedTypes="0" containsString="0" containsNumber="1" containsInteger="1" minValue="10" maxValue="983"/>
    </cacheField>
    <cacheField name="Comments" numFmtId="0">
      <sharedItems containsSemiMixedTypes="0" containsString="0" containsNumber="1" containsInteger="1" minValue="7" maxValue="500"/>
    </cacheField>
    <cacheField name="Impressions" numFmtId="0">
      <sharedItems containsSemiMixedTypes="0" containsString="0" containsNumber="1" containsInteger="1" minValue="588" maxValue="98100"/>
    </cacheField>
    <cacheField name="Reach" numFmtId="0">
      <sharedItems containsSemiMixedTypes="0" containsString="0" containsNumber="1" containsInteger="1" minValue="7" maxValue="97772"/>
    </cacheField>
    <cacheField name="Clicks" numFmtId="0">
      <sharedItems containsSemiMixedTypes="0" containsString="0" containsNumber="1" containsInteger="1" minValue="10" maxValue="300"/>
    </cacheField>
    <cacheField name="Engagement Rate" numFmtId="9">
      <sharedItems containsSemiMixedTypes="0" containsString="0" containsNumber="1" minValue="5.2551586421122697E-2" maxValue="1.8129251700680271"/>
    </cacheField>
    <cacheField name="Hashtags Used" numFmtId="0">
      <sharedItems/>
    </cacheField>
    <cacheField name="Campaign_Name" numFmtId="0">
      <sharedItems containsBlank="1" count="5">
        <m/>
        <s v="SustainabilityDrive"/>
        <s v="FSDUpdate"/>
        <s v="ModelYCampaign"/>
        <s v="CybertruckLaunch"/>
      </sharedItems>
    </cacheField>
    <cacheField name="Engagement" numFmtId="0" formula="AVERAGE(Likes)+AVERAGE(Shares)+AVERAGE(Comments)" databaseField="0"/>
    <cacheField name="Field1" numFmtId="0" formula=" 0" databaseField="0"/>
    <cacheField name="Total" numFmtId="0" formula="Likes+Shares+Comments"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shi raj" refreshedDate="45959.428460648145" createdVersion="8" refreshedVersion="8" minRefreshableVersion="3" recordCount="1038" xr:uid="{A7B1E3FC-438D-A84C-8D38-91451E99A30E}">
  <cacheSource type="worksheet">
    <worksheetSource name="Posts"/>
  </cacheSource>
  <cacheFields count="14">
    <cacheField name="Post ID" numFmtId="0">
      <sharedItems containsBlank="1" count="301">
        <s v="P001"/>
        <s v="P002"/>
        <s v="P003"/>
        <s v="P004"/>
        <s v="P005"/>
        <s v="P006"/>
        <s v="P007"/>
        <s v="P008"/>
        <s v="P009"/>
        <s v="P010"/>
        <s v="P011"/>
        <s v="P012"/>
        <s v="P013"/>
        <s v="P014"/>
        <s v="P015"/>
        <s v="P016"/>
        <s v="P017"/>
        <s v="P018"/>
        <s v="P019"/>
        <s v="P020"/>
        <s v="P021"/>
        <s v="P022"/>
        <s v="P023"/>
        <s v="P024"/>
        <s v="P025"/>
        <s v="P026"/>
        <s v="P027"/>
        <s v="P028"/>
        <s v="P029"/>
        <s v="P030"/>
        <s v="P031"/>
        <s v="P032"/>
        <s v="P033"/>
        <s v="P034"/>
        <s v="P035"/>
        <s v="P036"/>
        <s v="P037"/>
        <s v="P038"/>
        <s v="P039"/>
        <s v="P040"/>
        <s v="P041"/>
        <s v="P042"/>
        <s v="P043"/>
        <s v="P044"/>
        <s v="P045"/>
        <s v="P046"/>
        <s v="P047"/>
        <s v="P048"/>
        <s v="P049"/>
        <s v="P050"/>
        <s v="P051"/>
        <s v="P052"/>
        <s v="P053"/>
        <s v="P054"/>
        <s v="P055"/>
        <s v="P056"/>
        <s v="P057"/>
        <s v="P058"/>
        <s v="P059"/>
        <s v="P060"/>
        <s v="P061"/>
        <s v="P062"/>
        <s v="P063"/>
        <s v="P064"/>
        <s v="P065"/>
        <s v="P066"/>
        <s v="P067"/>
        <s v="P068"/>
        <s v="P069"/>
        <s v="P070"/>
        <s v="P071"/>
        <s v="P072"/>
        <s v="P073"/>
        <s v="P074"/>
        <s v="P075"/>
        <s v="P076"/>
        <s v="P077"/>
        <s v="P078"/>
        <s v="P079"/>
        <s v="P080"/>
        <s v="P081"/>
        <s v="P082"/>
        <s v="P083"/>
        <s v="P084"/>
        <s v="P085"/>
        <s v="P086"/>
        <s v="P087"/>
        <s v="P088"/>
        <s v="P089"/>
        <s v="P090"/>
        <s v="P091"/>
        <s v="P092"/>
        <s v="P093"/>
        <s v="P094"/>
        <s v="P095"/>
        <s v="P096"/>
        <s v="P097"/>
        <s v="P098"/>
        <s v="P099"/>
        <s v="P100"/>
        <s v="P101"/>
        <s v="P102"/>
        <s v="P103"/>
        <s v="P104"/>
        <s v="P105"/>
        <s v="P106"/>
        <s v="P107"/>
        <s v="P108"/>
        <s v="P109"/>
        <s v="P110"/>
        <s v="P111"/>
        <s v="P112"/>
        <s v="P113"/>
        <s v="P114"/>
        <s v="P115"/>
        <s v="P116"/>
        <s v="P117"/>
        <s v="P118"/>
        <s v="P119"/>
        <s v="P120"/>
        <s v="P121"/>
        <s v="P122"/>
        <s v="P123"/>
        <s v="P124"/>
        <s v="P125"/>
        <s v="P126"/>
        <s v="P127"/>
        <s v="P128"/>
        <s v="P129"/>
        <s v="P130"/>
        <s v="P131"/>
        <s v="P132"/>
        <s v="P133"/>
        <s v="P134"/>
        <s v="P135"/>
        <s v="P136"/>
        <s v="P137"/>
        <s v="P138"/>
        <s v="P139"/>
        <s v="P140"/>
        <s v="P141"/>
        <s v="P142"/>
        <s v="P143"/>
        <s v="P144"/>
        <s v="P145"/>
        <s v="P146"/>
        <s v="P147"/>
        <s v="P148"/>
        <s v="P149"/>
        <s v="P150"/>
        <s v="P151"/>
        <s v="P152"/>
        <s v="P153"/>
        <s v="P154"/>
        <s v="P155"/>
        <s v="P156"/>
        <s v="P157"/>
        <s v="P158"/>
        <s v="P159"/>
        <s v="P160"/>
        <s v="P161"/>
        <s v="P162"/>
        <s v="P163"/>
        <s v="P164"/>
        <s v="P165"/>
        <s v="P166"/>
        <s v="P167"/>
        <s v="P168"/>
        <s v="P169"/>
        <s v="P170"/>
        <s v="P171"/>
        <s v="P172"/>
        <s v="P173"/>
        <s v="P174"/>
        <s v="P175"/>
        <s v="P176"/>
        <s v="P177"/>
        <s v="P178"/>
        <s v="P179"/>
        <s v="P180"/>
        <s v="P181"/>
        <s v="P182"/>
        <s v="P183"/>
        <s v="P184"/>
        <s v="P185"/>
        <s v="P186"/>
        <s v="P187"/>
        <s v="P188"/>
        <s v="P189"/>
        <s v="P190"/>
        <s v="P191"/>
        <s v="P192"/>
        <s v="P193"/>
        <s v="P194"/>
        <s v="P195"/>
        <s v="P196"/>
        <s v="P197"/>
        <s v="P198"/>
        <s v="P199"/>
        <s v="P200"/>
        <s v="P201"/>
        <s v="P202"/>
        <s v="P203"/>
        <s v="P204"/>
        <s v="P205"/>
        <s v="P206"/>
        <s v="P207"/>
        <s v="P208"/>
        <s v="P209"/>
        <s v="P210"/>
        <s v="P211"/>
        <s v="P212"/>
        <s v="P213"/>
        <s v="P214"/>
        <s v="P215"/>
        <s v="P216"/>
        <s v="P217"/>
        <s v="P218"/>
        <s v="P219"/>
        <s v="P220"/>
        <s v="P221"/>
        <s v="P222"/>
        <s v="P223"/>
        <s v="P224"/>
        <s v="P225"/>
        <s v="P226"/>
        <s v="P227"/>
        <s v="P228"/>
        <s v="P229"/>
        <s v="P230"/>
        <s v="P231"/>
        <s v="P232"/>
        <s v="P233"/>
        <s v="P234"/>
        <s v="P235"/>
        <s v="P236"/>
        <s v="P237"/>
        <s v="P238"/>
        <s v="P239"/>
        <s v="P240"/>
        <s v="P241"/>
        <s v="P242"/>
        <s v="P243"/>
        <s v="P244"/>
        <s v="P245"/>
        <s v="P246"/>
        <s v="P247"/>
        <s v="P248"/>
        <s v="P249"/>
        <s v="P250"/>
        <s v="P251"/>
        <s v="P252"/>
        <s v="P253"/>
        <s v="P254"/>
        <s v="P255"/>
        <s v="P256"/>
        <s v="P257"/>
        <s v="P258"/>
        <s v="P259"/>
        <s v="P260"/>
        <s v="P261"/>
        <s v="P262"/>
        <s v="P263"/>
        <s v="P264"/>
        <s v="P265"/>
        <s v="P266"/>
        <s v="P267"/>
        <s v="P268"/>
        <s v="P269"/>
        <s v="P270"/>
        <s v="P271"/>
        <s v="P272"/>
        <s v="P273"/>
        <s v="P274"/>
        <s v="P275"/>
        <s v="P276"/>
        <s v="P277"/>
        <s v="P278"/>
        <s v="P279"/>
        <s v="P280"/>
        <s v="P281"/>
        <s v="P282"/>
        <s v="P283"/>
        <s v="P284"/>
        <s v="P285"/>
        <s v="P286"/>
        <s v="P287"/>
        <s v="P288"/>
        <s v="P289"/>
        <s v="P290"/>
        <s v="P291"/>
        <s v="P292"/>
        <s v="P293"/>
        <s v="P294"/>
        <s v="P295"/>
        <s v="P296"/>
        <s v="P297"/>
        <s v="P298"/>
        <s v="P299"/>
        <s v="P300"/>
        <m/>
      </sharedItems>
    </cacheField>
    <cacheField name="Platform" numFmtId="0">
      <sharedItems containsBlank="1"/>
    </cacheField>
    <cacheField name="Date" numFmtId="14">
      <sharedItems containsNonDate="0" containsDate="1" containsString="0" containsBlank="1" minDate="2024-06-01T00:00:00" maxDate="2025-05-15T00:00:00"/>
    </cacheField>
    <cacheField name="Content Type" numFmtId="0">
      <sharedItems containsBlank="1"/>
    </cacheField>
    <cacheField name="Post Text" numFmtId="0">
      <sharedItems containsBlank="1"/>
    </cacheField>
    <cacheField name="Likes" numFmtId="0">
      <sharedItems containsString="0" containsBlank="1" containsNumber="1" containsInteger="1" minValue="53" maxValue="4941"/>
    </cacheField>
    <cacheField name="Shares" numFmtId="0">
      <sharedItems containsString="0" containsBlank="1" containsNumber="1" containsInteger="1" minValue="10" maxValue="983"/>
    </cacheField>
    <cacheField name="Comments" numFmtId="0">
      <sharedItems containsString="0" containsBlank="1" containsNumber="1" containsInteger="1" minValue="7" maxValue="500"/>
    </cacheField>
    <cacheField name="Impressions" numFmtId="0">
      <sharedItems containsString="0" containsBlank="1" containsNumber="1" containsInteger="1" minValue="588" maxValue="98100"/>
    </cacheField>
    <cacheField name="Reach" numFmtId="0">
      <sharedItems containsString="0" containsBlank="1" containsNumber="1" containsInteger="1" minValue="7" maxValue="97772"/>
    </cacheField>
    <cacheField name="Clicks" numFmtId="0">
      <sharedItems containsString="0" containsBlank="1" containsNumber="1" containsInteger="1" minValue="10" maxValue="300"/>
    </cacheField>
    <cacheField name="Engagement Rate" numFmtId="9">
      <sharedItems containsMixedTypes="1" containsNumber="1" minValue="5.2551586421122697E-2" maxValue="1.8129251700680271"/>
    </cacheField>
    <cacheField name="Hashtags Used" numFmtId="0">
      <sharedItems containsBlank="1" count="7">
        <s v="#FutureOfDriving"/>
        <s v="#AnytimeIsTeslaTime"/>
        <s v="#TeslaCoInnovation"/>
        <s v="#BetterWithTesla"/>
        <s v="#EVRevolution"/>
        <s v="#SmoothLikeNitroTesla"/>
        <m/>
      </sharedItems>
    </cacheField>
    <cacheField name="Campaign_Name"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shi raj" refreshedDate="45960.253476504629" createdVersion="8" refreshedVersion="8" minRefreshableVersion="3" recordCount="200" xr:uid="{112D955A-7F6F-1F46-AA1E-F3D32492D865}">
  <cacheSource type="worksheet">
    <worksheetSource ref="A1:G201" sheet="Engagement Summary"/>
  </cacheSource>
  <cacheFields count="8">
    <cacheField name="Week_Start_Date" numFmtId="14">
      <sharedItems containsSemiMixedTypes="0" containsNonDate="0" containsDate="1" containsString="0" minDate="2024-06-03T00:00:00" maxDate="2025-05-13T00:00:00"/>
    </cacheField>
    <cacheField name="Platform" numFmtId="0">
      <sharedItems count="4">
        <s v="Facebook"/>
        <s v="Instagram"/>
        <s v="Twitter"/>
        <s v="YouTube"/>
      </sharedItems>
    </cacheField>
    <cacheField name="New_Followers" numFmtId="0">
      <sharedItems containsSemiMixedTypes="0" containsString="0" containsNumber="1" containsInteger="1" minValue="115" maxValue="1980"/>
    </cacheField>
    <cacheField name="Unfollows" numFmtId="0">
      <sharedItems containsSemiMixedTypes="0" containsString="0" containsNumber="1" containsInteger="1" minValue="20" maxValue="498"/>
    </cacheField>
    <cacheField name="Total_Followers" numFmtId="0">
      <sharedItems containsSemiMixedTypes="0" containsString="0" containsNumber="1" containsInteger="1" minValue="11435" maxValue="496982"/>
    </cacheField>
    <cacheField name="Engagement_Rate" numFmtId="0">
      <sharedItems containsSemiMixedTypes="0" containsString="0" containsNumber="1" minValue="1.53" maxValue="9.48"/>
    </cacheField>
    <cacheField name="Ad_Spend" numFmtId="0">
      <sharedItems containsSemiMixedTypes="0" containsString="0" containsNumber="1" containsInteger="1" minValue="1083" maxValue="49772"/>
    </cacheField>
    <cacheField name="Growth" numFmtId="0" formula="New_Followers-Unfollows" databaseField="0"/>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shi raj" refreshedDate="45960.455811458334" createdVersion="8" refreshedVersion="8" minRefreshableVersion="3" recordCount="200" xr:uid="{43AA84D6-1CB4-FA42-9778-9CBFC2544FF7}">
  <cacheSource type="worksheet">
    <worksheetSource ref="A1:I201" sheet="Engagement Summary"/>
  </cacheSource>
  <cacheFields count="10">
    <cacheField name="Week_Start_Date" numFmtId="14">
      <sharedItems containsSemiMixedTypes="0" containsNonDate="0" containsDate="1" containsString="0" minDate="2024-06-03T00:00:00" maxDate="2025-05-13T00:00:00" count="50">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sharedItems>
      <fieldGroup par="9"/>
    </cacheField>
    <cacheField name="Platform" numFmtId="0">
      <sharedItems count="4">
        <s v="Facebook"/>
        <s v="Instagram"/>
        <s v="Twitter"/>
        <s v="YouTube"/>
      </sharedItems>
    </cacheField>
    <cacheField name="New_Followers" numFmtId="0">
      <sharedItems containsSemiMixedTypes="0" containsString="0" containsNumber="1" containsInteger="1" minValue="115" maxValue="1980"/>
    </cacheField>
    <cacheField name="Unfollows" numFmtId="0">
      <sharedItems containsSemiMixedTypes="0" containsString="0" containsNumber="1" containsInteger="1" minValue="20" maxValue="498"/>
    </cacheField>
    <cacheField name="Total_Followers" numFmtId="0">
      <sharedItems containsSemiMixedTypes="0" containsString="0" containsNumber="1" containsInteger="1" minValue="11435" maxValue="496982"/>
    </cacheField>
    <cacheField name="Engagement_Rate" numFmtId="0">
      <sharedItems containsSemiMixedTypes="0" containsString="0" containsNumber="1" minValue="1.53" maxValue="9.48"/>
    </cacheField>
    <cacheField name="Ad_Spend" numFmtId="0">
      <sharedItems containsSemiMixedTypes="0" containsString="0" containsNumber="1" containsInteger="1" minValue="1083" maxValue="49772"/>
    </cacheField>
    <cacheField name="Campaign" numFmtId="0">
      <sharedItems count="9">
        <s v="Before CybertruckLaunch"/>
        <s v="Before ModelYCampaign"/>
        <s v="CybertruckLaunch"/>
        <s v="ModelYCampaign"/>
        <s v="Before FSDUpdate"/>
        <s v="FSDUpdate"/>
        <s v="Before SustainabilityDrive"/>
        <s v="Sustainability Drive"/>
        <e v="#N/A"/>
      </sharedItems>
    </cacheField>
    <cacheField name="Follower Growth" numFmtId="0">
      <sharedItems containsSemiMixedTypes="0" containsString="0" containsNumber="1" containsInteger="1" minValue="-337" maxValue="1881"/>
    </cacheField>
    <cacheField name="Days (Week_Start_Date)" numFmtId="0" databaseField="0">
      <fieldGroup base="0">
        <rangePr groupBy="days" startDate="2024-06-03T00:00:00" endDate="2025-05-13T00:00:00" groupInterval="7"/>
        <groupItems count="52">
          <s v="&lt;03/06/24"/>
          <s v="03/06/24 - 09/06/24"/>
          <s v="10/06/24 - 16/06/24"/>
          <s v="17/06/24 - 23/06/24"/>
          <s v="24/06/24 - 30/06/24"/>
          <s v="01/07/24 - 07/07/24"/>
          <s v="08/07/24 - 14/07/24"/>
          <s v="15/07/24 - 21/07/24"/>
          <s v="22/07/24 - 28/07/24"/>
          <s v="29/07/24 - 04/08/24"/>
          <s v="05/08/24 - 11/08/24"/>
          <s v="12/08/24 - 18/08/24"/>
          <s v="19/08/24 - 25/08/24"/>
          <s v="26/08/24 - 01/09/24"/>
          <s v="02/09/24 - 08/09/24"/>
          <s v="09/09/24 - 15/09/24"/>
          <s v="16/09/24 - 22/09/24"/>
          <s v="23/09/24 - 29/09/24"/>
          <s v="30/09/24 - 06/10/24"/>
          <s v="07/10/24 - 13/10/24"/>
          <s v="14/10/24 - 20/10/24"/>
          <s v="21/10/24 - 27/10/24"/>
          <s v="28/10/24 - 03/11/24"/>
          <s v="04/11/24 - 10/11/24"/>
          <s v="11/11/24 - 17/11/24"/>
          <s v="18/11/24 - 24/11/24"/>
          <s v="25/11/24 - 01/12/24"/>
          <s v="02/12/24 - 08/12/24"/>
          <s v="09/12/24 - 15/12/24"/>
          <s v="16/12/24 - 22/12/24"/>
          <s v="23/12/24 - 29/12/24"/>
          <s v="30/12/24 - 05/01/25"/>
          <s v="06/01/25 - 12/01/25"/>
          <s v="13/01/25 - 19/01/25"/>
          <s v="20/01/25 - 26/01/25"/>
          <s v="27/01/25 - 02/02/25"/>
          <s v="03/02/25 - 09/02/25"/>
          <s v="10/02/25 - 16/02/25"/>
          <s v="17/02/25 - 23/02/25"/>
          <s v="24/02/25 - 02/03/25"/>
          <s v="03/03/25 - 09/03/25"/>
          <s v="10/03/25 - 16/03/25"/>
          <s v="17/03/25 - 23/03/25"/>
          <s v="24/03/25 - 30/03/25"/>
          <s v="31/03/25 - 06/04/25"/>
          <s v="07/04/25 - 13/04/25"/>
          <s v="14/04/25 - 20/04/25"/>
          <s v="21/04/25 - 27/04/25"/>
          <s v="28/04/25 - 04/05/25"/>
          <s v="05/05/25 - 11/05/25"/>
          <s v="12/05/25 - 13/05/25"/>
          <s v="&gt;13/05/25"/>
        </groupItems>
      </fieldGroup>
    </cacheField>
  </cacheFields>
  <extLst>
    <ext xmlns:x14="http://schemas.microsoft.com/office/spreadsheetml/2009/9/main" uri="{725AE2AE-9491-48be-B2B4-4EB974FC3084}">
      <x14:pivotCacheDefinition pivotCacheId="6337112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P220"/>
    <x v="0"/>
    <d v="2024-06-02T00:00:00"/>
    <x v="0"/>
    <s v="Check out our latest story on instagram!"/>
    <n v="84"/>
    <n v="897"/>
    <n v="85"/>
    <n v="588"/>
    <n v="8"/>
    <n v="12"/>
    <n v="1.8129251700680271"/>
    <s v="#EVRevolution"/>
    <x v="0"/>
  </r>
  <r>
    <s v="P058"/>
    <x v="0"/>
    <d v="2025-04-15T00:00:00"/>
    <x v="1"/>
    <s v="Check out our latest reel on instagram!"/>
    <n v="103"/>
    <n v="770"/>
    <n v="19"/>
    <n v="1030"/>
    <n v="410"/>
    <n v="262"/>
    <n v="0.86601941747572819"/>
    <s v="#TeslaCoInnovation"/>
    <x v="1"/>
  </r>
  <r>
    <s v="P232"/>
    <x v="1"/>
    <d v="2025-04-29T00:00:00"/>
    <x v="0"/>
    <s v="Check out our latest story on twitter!"/>
    <n v="249"/>
    <n v="592"/>
    <n v="230"/>
    <n v="1494"/>
    <n v="1044"/>
    <n v="201"/>
    <n v="0.7168674698795181"/>
    <s v="#EVRevolution"/>
    <x v="1"/>
  </r>
  <r>
    <s v="P178"/>
    <x v="0"/>
    <d v="2024-11-07T00:00:00"/>
    <x v="2"/>
    <s v="Check out our latest video on instagram!"/>
    <n v="129"/>
    <n v="643"/>
    <n v="136"/>
    <n v="1290"/>
    <n v="839"/>
    <n v="238"/>
    <n v="0.70387596899224802"/>
    <s v="#TeslaCoInnovation"/>
    <x v="1"/>
  </r>
  <r>
    <s v="P175"/>
    <x v="0"/>
    <d v="2025-01-17T00:00:00"/>
    <x v="1"/>
    <s v="Check out our latest reel on instagram!"/>
    <n v="142"/>
    <n v="784"/>
    <n v="183"/>
    <n v="1704"/>
    <n v="995"/>
    <n v="154"/>
    <n v="0.6508215962441315"/>
    <s v="#FutureOfDriving"/>
    <x v="1"/>
  </r>
  <r>
    <s v="P062"/>
    <x v="1"/>
    <d v="2024-11-22T00:00:00"/>
    <x v="3"/>
    <s v="Check out our latest carousel on twitter!"/>
    <n v="53"/>
    <n v="81"/>
    <n v="379"/>
    <n v="954"/>
    <n v="7"/>
    <n v="148"/>
    <n v="0.53773584905660377"/>
    <s v="#TeslaCoInnovation"/>
    <x v="2"/>
  </r>
  <r>
    <s v="P264"/>
    <x v="1"/>
    <d v="2025-01-30T00:00:00"/>
    <x v="4"/>
    <s v="Check out our latest image on twitter!"/>
    <n v="59"/>
    <n v="163"/>
    <n v="93"/>
    <n v="590"/>
    <n v="475"/>
    <n v="293"/>
    <n v="0.53389830508474578"/>
    <s v="#TeslaCoInnovation"/>
    <x v="3"/>
  </r>
  <r>
    <s v="P143"/>
    <x v="2"/>
    <d v="2024-10-02T00:00:00"/>
    <x v="3"/>
    <s v="Check out our latest carousel on youtube!"/>
    <n v="80"/>
    <n v="362"/>
    <n v="80"/>
    <n v="1040"/>
    <n v="349"/>
    <n v="117"/>
    <n v="0.50192307692307692"/>
    <s v="#TeslaCoInnovation"/>
    <x v="2"/>
  </r>
  <r>
    <s v="P210"/>
    <x v="2"/>
    <d v="2025-02-19T00:00:00"/>
    <x v="4"/>
    <s v="Check out our latest image on youtube!"/>
    <n v="257"/>
    <n v="966"/>
    <n v="398"/>
    <n v="3341"/>
    <n v="2753"/>
    <n v="287"/>
    <n v="0.48518407662376534"/>
    <s v="#FutureOfDriving"/>
    <x v="4"/>
  </r>
  <r>
    <s v="P070"/>
    <x v="3"/>
    <d v="2025-04-02T00:00:00"/>
    <x v="2"/>
    <s v="Check out our latest video on facebook!"/>
    <n v="199"/>
    <n v="772"/>
    <n v="400"/>
    <n v="3582"/>
    <n v="2988"/>
    <n v="43"/>
    <n v="0.38274706867671693"/>
    <s v="#TeslaCoInnovation"/>
    <x v="0"/>
  </r>
  <r>
    <s v="P214"/>
    <x v="0"/>
    <d v="2024-12-23T00:00:00"/>
    <x v="4"/>
    <s v="Check out our latest image on instagram!"/>
    <n v="521"/>
    <n v="746"/>
    <n v="315"/>
    <n v="4168"/>
    <n v="3399"/>
    <n v="282"/>
    <n v="0.37955854126679461"/>
    <s v="#FutureOfDriving"/>
    <x v="3"/>
  </r>
  <r>
    <s v="P053"/>
    <x v="2"/>
    <d v="2025-02-24T00:00:00"/>
    <x v="3"/>
    <s v="Check out our latest carousel on youtube!"/>
    <n v="804"/>
    <n v="639"/>
    <n v="43"/>
    <n v="4020"/>
    <n v="3144"/>
    <n v="11"/>
    <n v="0.36965174129353234"/>
    <s v="#EVRevolution,#BetterWithTesla"/>
    <x v="0"/>
  </r>
  <r>
    <s v="P102"/>
    <x v="1"/>
    <d v="2024-09-18T00:00:00"/>
    <x v="1"/>
    <s v="Check out our latest reel on twitter!"/>
    <n v="1000"/>
    <n v="978"/>
    <n v="162"/>
    <n v="6000"/>
    <n v="5221"/>
    <n v="223"/>
    <n v="0.35666666666666669"/>
    <s v="#EVRevolution"/>
    <x v="3"/>
  </r>
  <r>
    <s v="P124"/>
    <x v="2"/>
    <d v="2025-04-06T00:00:00"/>
    <x v="3"/>
    <s v="Check out our latest carousel on youtube!"/>
    <n v="736"/>
    <n v="771"/>
    <n v="225"/>
    <n v="5152"/>
    <n v="4706"/>
    <n v="19"/>
    <n v="0.33618012422360249"/>
    <s v="#EVRevolution"/>
    <x v="4"/>
  </r>
  <r>
    <s v="P121"/>
    <x v="0"/>
    <d v="2024-07-29T00:00:00"/>
    <x v="0"/>
    <s v="Check out our latest story on instagram!"/>
    <n v="498"/>
    <n v="701"/>
    <n v="412"/>
    <n v="4980"/>
    <n v="4185"/>
    <n v="185"/>
    <n v="0.32349397590361445"/>
    <s v="#FutureOfDriving"/>
    <x v="0"/>
  </r>
  <r>
    <s v="P224"/>
    <x v="3"/>
    <d v="2025-05-13T00:00:00"/>
    <x v="4"/>
    <s v="Check out our latest image on facebook!"/>
    <n v="602"/>
    <n v="594"/>
    <n v="156"/>
    <n v="4214"/>
    <n v="3363"/>
    <n v="164"/>
    <n v="0.32083531086853345"/>
    <s v="#TeslaCoInnovation"/>
    <x v="2"/>
  </r>
  <r>
    <s v="P154"/>
    <x v="0"/>
    <d v="2024-10-09T00:00:00"/>
    <x v="3"/>
    <s v="Check out our latest carousel on instagram!"/>
    <n v="985"/>
    <n v="932"/>
    <n v="287"/>
    <n v="6895"/>
    <n v="6757"/>
    <n v="64"/>
    <n v="0.31965192168237855"/>
    <s v="#FutureOfDriving"/>
    <x v="1"/>
  </r>
  <r>
    <s v="P119"/>
    <x v="0"/>
    <d v="2025-02-07T00:00:00"/>
    <x v="1"/>
    <s v="Check out our latest reel on instagram!"/>
    <n v="1970"/>
    <n v="675"/>
    <n v="478"/>
    <n v="9850"/>
    <n v="8924"/>
    <n v="117"/>
    <n v="0.31705583756345179"/>
    <s v="#FutureOfDriving"/>
    <x v="0"/>
  </r>
  <r>
    <s v="P287"/>
    <x v="0"/>
    <d v="2024-08-15T00:00:00"/>
    <x v="1"/>
    <s v="Check out our latest reel on instagram!"/>
    <n v="1164"/>
    <n v="616"/>
    <n v="324"/>
    <n v="6984"/>
    <n v="6636"/>
    <n v="82"/>
    <n v="0.30126002290950743"/>
    <s v="#EVRevolution"/>
    <x v="4"/>
  </r>
  <r>
    <s v="P204"/>
    <x v="0"/>
    <d v="2025-01-01T00:00:00"/>
    <x v="3"/>
    <s v="Check out our latest carousel on instagram!"/>
    <n v="2234"/>
    <n v="653"/>
    <n v="432"/>
    <n v="11170"/>
    <n v="10569"/>
    <n v="198"/>
    <n v="0.29713518352730528"/>
    <s v="#FutureOfDriving"/>
    <x v="2"/>
  </r>
  <r>
    <s v="P066"/>
    <x v="1"/>
    <d v="2024-07-26T00:00:00"/>
    <x v="3"/>
    <s v="Check out our latest carousel on twitter!"/>
    <n v="432"/>
    <n v="171"/>
    <n v="280"/>
    <n v="3024"/>
    <n v="2285"/>
    <n v="184"/>
    <n v="0.29199735449735448"/>
    <s v="#EVRevolution"/>
    <x v="4"/>
  </r>
  <r>
    <s v="P183"/>
    <x v="0"/>
    <d v="2024-12-17T00:00:00"/>
    <x v="0"/>
    <s v="Check out our latest story on instagram!"/>
    <n v="360"/>
    <n v="590"/>
    <n v="393"/>
    <n v="4680"/>
    <n v="4322"/>
    <n v="208"/>
    <n v="0.28696581196581195"/>
    <s v="#FutureOfDriving"/>
    <x v="3"/>
  </r>
  <r>
    <s v="P031"/>
    <x v="0"/>
    <d v="2024-12-16T00:00:00"/>
    <x v="5"/>
    <s v="Check out our latest text on instagram!"/>
    <n v="438"/>
    <n v="153"/>
    <n v="275"/>
    <n v="3066"/>
    <n v="2701"/>
    <n v="282"/>
    <n v="0.28245270711024134"/>
    <s v="#TeslaCoInnovation"/>
    <x v="3"/>
  </r>
  <r>
    <s v="P093"/>
    <x v="0"/>
    <d v="2024-12-11T00:00:00"/>
    <x v="2"/>
    <s v="Check out our latest video on instagram!"/>
    <n v="1431"/>
    <n v="951"/>
    <n v="26"/>
    <n v="8586"/>
    <n v="8396"/>
    <n v="150"/>
    <n v="0.28045655718611695"/>
    <s v="#EVRevolution"/>
    <x v="2"/>
  </r>
  <r>
    <s v="P263"/>
    <x v="0"/>
    <d v="2024-08-20T00:00:00"/>
    <x v="1"/>
    <s v="Check out our latest reel on instagram!"/>
    <n v="2603"/>
    <n v="690"/>
    <n v="205"/>
    <n v="13015"/>
    <n v="12130"/>
    <n v="20"/>
    <n v="0.26876680752977333"/>
    <s v="#FutureOfDriving"/>
    <x v="3"/>
  </r>
  <r>
    <s v="P248"/>
    <x v="3"/>
    <d v="2025-02-02T00:00:00"/>
    <x v="0"/>
    <s v="Check out our latest story on facebook!"/>
    <n v="886"/>
    <n v="126"/>
    <n v="153"/>
    <n v="4430"/>
    <n v="4037"/>
    <n v="212"/>
    <n v="0.26297968397291194"/>
    <s v="#EVRevolution"/>
    <x v="0"/>
  </r>
  <r>
    <s v="P244"/>
    <x v="2"/>
    <d v="2024-10-25T00:00:00"/>
    <x v="2"/>
    <s v="Check out our latest video on youtube!"/>
    <n v="4661"/>
    <n v="935"/>
    <n v="433"/>
    <n v="23305"/>
    <n v="22583"/>
    <n v="63"/>
    <n v="0.25869984981763572"/>
    <s v="#FutureOfDriving"/>
    <x v="2"/>
  </r>
  <r>
    <s v="P259"/>
    <x v="3"/>
    <d v="2025-02-10T00:00:00"/>
    <x v="5"/>
    <s v="Check out our latest text on facebook!"/>
    <n v="562"/>
    <n v="158"/>
    <n v="149"/>
    <n v="3372"/>
    <n v="2940"/>
    <n v="93"/>
    <n v="0.25771055753262156"/>
    <s v="#TeslaCoInnovation"/>
    <x v="4"/>
  </r>
  <r>
    <s v="P219"/>
    <x v="1"/>
    <d v="2025-01-28T00:00:00"/>
    <x v="1"/>
    <s v="Check out our latest reel on twitter!"/>
    <n v="1188"/>
    <n v="470"/>
    <n v="174"/>
    <n v="7128"/>
    <n v="6145"/>
    <n v="270"/>
    <n v="0.25701459034792368"/>
    <s v="#TeslaCoInnovation"/>
    <x v="1"/>
  </r>
  <r>
    <s v="P226"/>
    <x v="0"/>
    <d v="2024-08-07T00:00:00"/>
    <x v="3"/>
    <s v="Check out our latest carousel on instagram!"/>
    <n v="1741"/>
    <n v="164"/>
    <n v="318"/>
    <n v="8705"/>
    <n v="8272"/>
    <n v="121"/>
    <n v="0.25537047673750718"/>
    <s v="#TeslaCoInnovation"/>
    <x v="0"/>
  </r>
  <r>
    <s v="P265"/>
    <x v="1"/>
    <d v="2025-02-20T00:00:00"/>
    <x v="3"/>
    <s v="Check out our latest carousel on twitter!"/>
    <n v="1877"/>
    <n v="745"/>
    <n v="225"/>
    <n v="11262"/>
    <n v="10967"/>
    <n v="41"/>
    <n v="0.25279701651571657"/>
    <s v="#EVRevolution"/>
    <x v="1"/>
  </r>
  <r>
    <s v="P239"/>
    <x v="2"/>
    <d v="2025-02-24T00:00:00"/>
    <x v="5"/>
    <s v="Check out our latest text on youtube!"/>
    <n v="4188"/>
    <n v="942"/>
    <n v="118"/>
    <n v="20940"/>
    <n v="20471"/>
    <n v="102"/>
    <n v="0.25062082139446035"/>
    <s v="#FutureOfDriving"/>
    <x v="0"/>
  </r>
  <r>
    <s v="P277"/>
    <x v="3"/>
    <d v="2025-04-06T00:00:00"/>
    <x v="4"/>
    <s v="Check out our latest image on facebook!"/>
    <n v="4236"/>
    <n v="711"/>
    <n v="298"/>
    <n v="21180"/>
    <n v="20516"/>
    <n v="238"/>
    <n v="0.24763928234183191"/>
    <s v="#FutureOfDriving"/>
    <x v="4"/>
  </r>
  <r>
    <s v="P297"/>
    <x v="1"/>
    <d v="2024-12-24T00:00:00"/>
    <x v="5"/>
    <s v="Check out our latest text on twitter!"/>
    <n v="2166"/>
    <n v="354"/>
    <n v="117"/>
    <n v="10830"/>
    <n v="10245"/>
    <n v="24"/>
    <n v="0.24349030470914126"/>
    <s v="#EVRevolution"/>
    <x v="1"/>
  </r>
  <r>
    <s v="P181"/>
    <x v="2"/>
    <d v="2025-03-21T00:00:00"/>
    <x v="4"/>
    <s v="Check out our latest image on youtube!"/>
    <n v="606"/>
    <n v="789"/>
    <n v="470"/>
    <n v="7878"/>
    <n v="7389"/>
    <n v="239"/>
    <n v="0.23673521198273673"/>
    <s v="#EVRevolution"/>
    <x v="2"/>
  </r>
  <r>
    <s v="P246"/>
    <x v="3"/>
    <d v="2024-10-11T00:00:00"/>
    <x v="4"/>
    <s v="Check out our latest image on facebook!"/>
    <n v="400"/>
    <n v="680"/>
    <n v="434"/>
    <n v="6400"/>
    <n v="5472"/>
    <n v="160"/>
    <n v="0.23656250000000001"/>
    <s v="#FutureOfDriving"/>
    <x v="3"/>
  </r>
  <r>
    <s v="P123"/>
    <x v="0"/>
    <d v="2024-06-14T00:00:00"/>
    <x v="0"/>
    <s v="Check out our latest story on instagram!"/>
    <n v="4363"/>
    <n v="649"/>
    <n v="140"/>
    <n v="21815"/>
    <n v="21481"/>
    <n v="157"/>
    <n v="0.23616777446710979"/>
    <s v="#EVRevolution"/>
    <x v="4"/>
  </r>
  <r>
    <s v="P120"/>
    <x v="3"/>
    <d v="2024-10-21T00:00:00"/>
    <x v="0"/>
    <s v="Check out our latest story on facebook!"/>
    <n v="780"/>
    <n v="928"/>
    <n v="301"/>
    <n v="8580"/>
    <n v="8081"/>
    <n v="91"/>
    <n v="0.23414918414918415"/>
    <s v="#EVRevolution"/>
    <x v="2"/>
  </r>
  <r>
    <s v="P141"/>
    <x v="1"/>
    <d v="2024-08-31T00:00:00"/>
    <x v="4"/>
    <s v="Check out our latest image on twitter!"/>
    <n v="3170"/>
    <n v="857"/>
    <n v="379"/>
    <n v="19020"/>
    <n v="18559"/>
    <n v="240"/>
    <n v="0.2316508937960042"/>
    <s v="#FutureOfDriving"/>
    <x v="0"/>
  </r>
  <r>
    <s v="P163"/>
    <x v="0"/>
    <d v="2025-04-08T00:00:00"/>
    <x v="4"/>
    <s v="Check out our latest image on instagram!"/>
    <n v="4501"/>
    <n v="375"/>
    <n v="323"/>
    <n v="22505"/>
    <n v="21836"/>
    <n v="132"/>
    <n v="0.23101532992668297"/>
    <s v="#TeslaCoInnovation"/>
    <x v="3"/>
  </r>
  <r>
    <s v="P269"/>
    <x v="0"/>
    <d v="2024-11-05T00:00:00"/>
    <x v="2"/>
    <s v="Check out our latest video on instagram!"/>
    <n v="4561"/>
    <n v="51"/>
    <n v="441"/>
    <n v="22805"/>
    <n v="21890"/>
    <n v="45"/>
    <n v="0.22157421618066214"/>
    <s v="#TeslaCoInnovation"/>
    <x v="3"/>
  </r>
  <r>
    <s v="P042"/>
    <x v="2"/>
    <d v="2025-03-05T00:00:00"/>
    <x v="1"/>
    <s v="Check out our latest reel on youtube!"/>
    <n v="1543"/>
    <n v="820"/>
    <n v="333"/>
    <n v="12344"/>
    <n v="11496"/>
    <n v="241"/>
    <n v="0.21840570317563188"/>
    <s v="#EVRevolution"/>
    <x v="0"/>
  </r>
  <r>
    <s v="P043"/>
    <x v="0"/>
    <d v="2024-12-14T00:00:00"/>
    <x v="3"/>
    <s v="Check out our latest carousel on instagram!"/>
    <n v="2174"/>
    <n v="658"/>
    <n v="15"/>
    <n v="13044"/>
    <n v="12206"/>
    <n v="137"/>
    <n v="0.21826126954921804"/>
    <s v="#TeslaCoInnovation"/>
    <x v="2"/>
  </r>
  <r>
    <s v="P159"/>
    <x v="3"/>
    <d v="2024-11-25T00:00:00"/>
    <x v="0"/>
    <s v="Check out our latest story on facebook!"/>
    <n v="2120"/>
    <n v="158"/>
    <n v="488"/>
    <n v="12720"/>
    <n v="12085"/>
    <n v="17"/>
    <n v="0.21745283018867925"/>
    <s v="#FutureOfDriving"/>
    <x v="3"/>
  </r>
  <r>
    <s v="P146"/>
    <x v="2"/>
    <d v="2024-06-05T00:00:00"/>
    <x v="1"/>
    <s v="Check out our latest reel on youtube!"/>
    <n v="3065"/>
    <n v="772"/>
    <n v="142"/>
    <n v="18390"/>
    <n v="17875"/>
    <n v="200"/>
    <n v="0.21636759108210984"/>
    <s v="#EVRevolution,#AnytimeIsTeslaTime"/>
    <x v="0"/>
  </r>
  <r>
    <s v="P029"/>
    <x v="0"/>
    <d v="2025-01-31T00:00:00"/>
    <x v="3"/>
    <s v="Check out our latest carousel on instagram!"/>
    <n v="2566"/>
    <n v="118"/>
    <n v="37"/>
    <n v="12830"/>
    <n v="12264"/>
    <n v="221"/>
    <n v="0.21208106001558846"/>
    <s v="#FutureOfDriving"/>
    <x v="2"/>
  </r>
  <r>
    <s v="P137"/>
    <x v="3"/>
    <d v="2024-07-31T00:00:00"/>
    <x v="2"/>
    <s v="Check out our latest video on facebook!"/>
    <n v="3008"/>
    <n v="94"/>
    <n v="37"/>
    <n v="15040"/>
    <n v="14639"/>
    <n v="277"/>
    <n v="0.20871010638297871"/>
    <s v="#FutureOfDriving"/>
    <x v="0"/>
  </r>
  <r>
    <s v="P087"/>
    <x v="1"/>
    <d v="2024-06-06T00:00:00"/>
    <x v="2"/>
    <s v="Check out our latest video on twitter!"/>
    <n v="1436"/>
    <n v="765"/>
    <n v="496"/>
    <n v="12924"/>
    <n v="12701"/>
    <n v="197"/>
    <n v="0.20868152274837512"/>
    <s v="#FutureOfDriving"/>
    <x v="2"/>
  </r>
  <r>
    <s v="P271"/>
    <x v="0"/>
    <d v="2024-10-17T00:00:00"/>
    <x v="2"/>
    <s v="Check out our latest video on instagram!"/>
    <n v="3575"/>
    <n v="749"/>
    <n v="111"/>
    <n v="21450"/>
    <n v="20785"/>
    <n v="195"/>
    <n v="0.20675990675990677"/>
    <s v="#EVRevolution"/>
    <x v="3"/>
  </r>
  <r>
    <s v="P077"/>
    <x v="3"/>
    <d v="2025-03-04T00:00:00"/>
    <x v="0"/>
    <s v="Check out our latest story on facebook!"/>
    <n v="1249"/>
    <n v="116"/>
    <n v="420"/>
    <n v="8743"/>
    <n v="8538"/>
    <n v="63"/>
    <n v="0.20416333066453163"/>
    <s v="#TeslaCoInnovation"/>
    <x v="0"/>
  </r>
  <r>
    <s v="P136"/>
    <x v="0"/>
    <d v="2024-07-11T00:00:00"/>
    <x v="5"/>
    <s v="Check out our latest text on instagram!"/>
    <n v="3134"/>
    <n v="888"/>
    <n v="444"/>
    <n v="21938"/>
    <n v="21337"/>
    <n v="130"/>
    <n v="0.20357370772176134"/>
    <s v="#EVRevolution"/>
    <x v="1"/>
  </r>
  <r>
    <s v="P258"/>
    <x v="0"/>
    <d v="2024-08-05T00:00:00"/>
    <x v="0"/>
    <s v="Check out our latest story on instagram!"/>
    <n v="3601"/>
    <n v="695"/>
    <n v="75"/>
    <n v="21606"/>
    <n v="21454"/>
    <n v="172"/>
    <n v="0.2023049153013052"/>
    <s v="#EVRevolution"/>
    <x v="3"/>
  </r>
  <r>
    <s v="P276"/>
    <x v="1"/>
    <d v="2024-06-07T00:00:00"/>
    <x v="3"/>
    <s v="Check out our latest carousel on twitter!"/>
    <n v="1556"/>
    <n v="195"/>
    <n v="131"/>
    <n v="9336"/>
    <n v="8875"/>
    <n v="137"/>
    <n v="0.2015852613538989"/>
    <s v="#TeslaCoInnovation"/>
    <x v="3"/>
  </r>
  <r>
    <s v="P148"/>
    <x v="0"/>
    <d v="2025-04-15T00:00:00"/>
    <x v="2"/>
    <s v="Check out our latest video on instagram!"/>
    <n v="4133"/>
    <n v="466"/>
    <n v="327"/>
    <n v="24798"/>
    <n v="24620"/>
    <n v="176"/>
    <n v="0.19864505202032423"/>
    <s v="#EVRevolution"/>
    <x v="1"/>
  </r>
  <r>
    <s v="P198"/>
    <x v="1"/>
    <d v="2024-09-14T00:00:00"/>
    <x v="4"/>
    <s v="Check out our latest image on twitter!"/>
    <n v="1048"/>
    <n v="374"/>
    <n v="450"/>
    <n v="9432"/>
    <n v="8882"/>
    <n v="158"/>
    <n v="0.19847328244274809"/>
    <s v="#TeslaCoInnovation"/>
    <x v="2"/>
  </r>
  <r>
    <s v="P152"/>
    <x v="3"/>
    <d v="2025-04-22T00:00:00"/>
    <x v="4"/>
    <s v="Check out our latest image on facebook!"/>
    <n v="4804"/>
    <n v="550"/>
    <n v="270"/>
    <n v="28824"/>
    <n v="28370"/>
    <n v="47"/>
    <n v="0.19511518179295032"/>
    <s v="#EVRevolution"/>
    <x v="1"/>
  </r>
  <r>
    <s v="P286"/>
    <x v="2"/>
    <d v="2024-09-25T00:00:00"/>
    <x v="2"/>
    <s v="Check out our latest video on youtube!"/>
    <n v="3389"/>
    <n v="344"/>
    <n v="229"/>
    <n v="20334"/>
    <n v="19443"/>
    <n v="228"/>
    <n v="0.19484607062063539"/>
    <s v="#FutureOfDriving"/>
    <x v="2"/>
  </r>
  <r>
    <s v="P068"/>
    <x v="0"/>
    <d v="2024-12-08T00:00:00"/>
    <x v="0"/>
    <s v="Check out our latest story on instagram!"/>
    <n v="2610"/>
    <n v="126"/>
    <n v="288"/>
    <n v="15660"/>
    <n v="15145"/>
    <n v="73"/>
    <n v="0.19310344827586207"/>
    <s v="#EVRevolution"/>
    <x v="0"/>
  </r>
  <r>
    <s v="P085"/>
    <x v="0"/>
    <d v="2025-04-19T00:00:00"/>
    <x v="4"/>
    <s v="Check out our latest image on instagram!"/>
    <n v="4177"/>
    <n v="569"/>
    <n v="55"/>
    <n v="25062"/>
    <n v="24847"/>
    <n v="230"/>
    <n v="0.19156491900087783"/>
    <s v="#FutureOfDriving"/>
    <x v="4"/>
  </r>
  <r>
    <s v="P032"/>
    <x v="1"/>
    <d v="2024-07-31T00:00:00"/>
    <x v="3"/>
    <s v="Check out our latest carousel on twitter!"/>
    <n v="2278"/>
    <n v="10"/>
    <n v="321"/>
    <n v="13668"/>
    <n v="12676"/>
    <n v="275"/>
    <n v="0.19088381621305239"/>
    <s v="#EVRevolution"/>
    <x v="4"/>
  </r>
  <r>
    <s v="P218"/>
    <x v="3"/>
    <d v="2024-06-11T00:00:00"/>
    <x v="3"/>
    <s v="Check out our latest carousel on facebook!"/>
    <n v="1869"/>
    <n v="453"/>
    <n v="490"/>
    <n v="14952"/>
    <n v="14309"/>
    <n v="275"/>
    <n v="0.18806848582129482"/>
    <s v="#TeslaCoInnovation"/>
    <x v="1"/>
  </r>
  <r>
    <s v="P211"/>
    <x v="1"/>
    <d v="2024-07-18T00:00:00"/>
    <x v="3"/>
    <s v="Check out our latest carousel on twitter!"/>
    <n v="2120"/>
    <n v="38"/>
    <n v="212"/>
    <n v="12720"/>
    <n v="12564"/>
    <n v="21"/>
    <n v="0.18632075471698112"/>
    <s v="#FutureOfDriving"/>
    <x v="1"/>
  </r>
  <r>
    <s v="P242"/>
    <x v="3"/>
    <d v="2024-07-07T00:00:00"/>
    <x v="1"/>
    <s v="Check out our latest reel on facebook!"/>
    <n v="4767"/>
    <n v="190"/>
    <n v="340"/>
    <n v="28602"/>
    <n v="28044"/>
    <n v="210"/>
    <n v="0.18519683938186141"/>
    <s v="#EVRevolution"/>
    <x v="2"/>
  </r>
  <r>
    <s v="P041"/>
    <x v="0"/>
    <d v="2025-03-08T00:00:00"/>
    <x v="1"/>
    <s v="Check out our latest reel on instagram!"/>
    <n v="456"/>
    <n v="629"/>
    <n v="428"/>
    <n v="8208"/>
    <n v="7377"/>
    <n v="205"/>
    <n v="0.18433235867446393"/>
    <s v="#FutureOfDriving"/>
    <x v="1"/>
  </r>
  <r>
    <s v="P294"/>
    <x v="3"/>
    <d v="2024-06-19T00:00:00"/>
    <x v="3"/>
    <s v="Check out our latest carousel on facebook!"/>
    <n v="4731"/>
    <n v="173"/>
    <n v="276"/>
    <n v="28386"/>
    <n v="28185"/>
    <n v="89"/>
    <n v="0.18248432325794406"/>
    <s v="#EVRevolution"/>
    <x v="2"/>
  </r>
  <r>
    <s v="P006"/>
    <x v="3"/>
    <d v="2024-10-31T00:00:00"/>
    <x v="3"/>
    <s v="Check out our latest carousel on facebook!"/>
    <n v="2945"/>
    <n v="930"/>
    <n v="355"/>
    <n v="23560"/>
    <n v="23275"/>
    <n v="256"/>
    <n v="0.17954159592529711"/>
    <s v="#TeslaCoInnovation"/>
    <x v="3"/>
  </r>
  <r>
    <s v="P153"/>
    <x v="1"/>
    <d v="2025-01-01T00:00:00"/>
    <x v="2"/>
    <s v="Check out our latest video on twitter!"/>
    <n v="754"/>
    <n v="197"/>
    <n v="257"/>
    <n v="6786"/>
    <n v="6221"/>
    <n v="212"/>
    <n v="0.17801355732390214"/>
    <s v="#TeslaCoInnovation"/>
    <x v="2"/>
  </r>
  <r>
    <s v="P037"/>
    <x v="3"/>
    <d v="2025-01-06T00:00:00"/>
    <x v="3"/>
    <s v="Check out our latest carousel on facebook!"/>
    <n v="3024"/>
    <n v="925"/>
    <n v="350"/>
    <n v="24192"/>
    <n v="23518"/>
    <n v="36"/>
    <n v="0.17770337301587302"/>
    <s v="#EVRevolution"/>
    <x v="3"/>
  </r>
  <r>
    <s v="P241"/>
    <x v="3"/>
    <d v="2025-01-18T00:00:00"/>
    <x v="0"/>
    <s v="Check out our latest story on facebook!"/>
    <n v="4321"/>
    <n v="874"/>
    <n v="172"/>
    <n v="30247"/>
    <n v="29254"/>
    <n v="122"/>
    <n v="0.17743908486792079"/>
    <s v="#TeslaCoInnovation"/>
    <x v="1"/>
  </r>
  <r>
    <s v="P112"/>
    <x v="1"/>
    <d v="2024-10-05T00:00:00"/>
    <x v="0"/>
    <s v="Check out our latest story on twitter!"/>
    <n v="1957"/>
    <n v="877"/>
    <n v="238"/>
    <n v="17613"/>
    <n v="16865"/>
    <n v="297"/>
    <n v="0.17441662408448305"/>
    <s v="#FutureOfDriving"/>
    <x v="2"/>
  </r>
  <r>
    <s v="P129"/>
    <x v="1"/>
    <d v="2024-07-21T00:00:00"/>
    <x v="5"/>
    <s v="Check out our latest text on twitter!"/>
    <n v="2147"/>
    <n v="430"/>
    <n v="393"/>
    <n v="17176"/>
    <n v="16483"/>
    <n v="170"/>
    <n v="0.17291569632044715"/>
    <s v="#TeslaCoInnovation"/>
    <x v="0"/>
  </r>
  <r>
    <s v="P028"/>
    <x v="0"/>
    <d v="2025-03-04T00:00:00"/>
    <x v="2"/>
    <s v="Check out our latest video on instagram!"/>
    <n v="432"/>
    <n v="624"/>
    <n v="123"/>
    <n v="6912"/>
    <n v="6259"/>
    <n v="79"/>
    <n v="0.17057291666666666"/>
    <s v="#FutureOfDriving"/>
    <x v="1"/>
  </r>
  <r>
    <s v="P046"/>
    <x v="1"/>
    <d v="2025-05-02T00:00:00"/>
    <x v="2"/>
    <s v="Check out our latest video on twitter!"/>
    <n v="1108"/>
    <n v="177"/>
    <n v="212"/>
    <n v="8864"/>
    <n v="8710"/>
    <n v="97"/>
    <n v="0.16888537906137185"/>
    <s v="#TeslaCoInnovation"/>
    <x v="1"/>
  </r>
  <r>
    <s v="P089"/>
    <x v="1"/>
    <d v="2025-01-10T00:00:00"/>
    <x v="4"/>
    <s v="Check out our latest image on twitter!"/>
    <n v="2214"/>
    <n v="249"/>
    <n v="152"/>
    <n v="15498"/>
    <n v="14800"/>
    <n v="180"/>
    <n v="0.16873144921925409"/>
    <s v="#EVRevolution"/>
    <x v="0"/>
  </r>
  <r>
    <s v="P094"/>
    <x v="0"/>
    <d v="2024-11-07T00:00:00"/>
    <x v="4"/>
    <s v="Check out our latest image on instagram!"/>
    <n v="2647"/>
    <n v="304"/>
    <n v="170"/>
    <n v="18529"/>
    <n v="17841"/>
    <n v="46"/>
    <n v="0.16843866371633656"/>
    <s v="#FutureOfDriving"/>
    <x v="2"/>
  </r>
  <r>
    <s v="P116"/>
    <x v="2"/>
    <d v="2025-03-18T00:00:00"/>
    <x v="1"/>
    <s v="Check out our latest reel on youtube!"/>
    <n v="3704"/>
    <n v="186"/>
    <n v="458"/>
    <n v="25928"/>
    <n v="25081"/>
    <n v="131"/>
    <n v="0.16769515581610614"/>
    <s v="#TeslaCoInnovation"/>
    <x v="0"/>
  </r>
  <r>
    <s v="P275"/>
    <x v="3"/>
    <d v="2024-08-05T00:00:00"/>
    <x v="1"/>
    <s v="Check out our latest reel on facebook!"/>
    <n v="1741"/>
    <n v="831"/>
    <n v="345"/>
    <n v="17410"/>
    <n v="16844"/>
    <n v="58"/>
    <n v="0.16754738655944859"/>
    <s v="#EVRevolution"/>
    <x v="2"/>
  </r>
  <r>
    <s v="P109"/>
    <x v="1"/>
    <d v="2024-08-08T00:00:00"/>
    <x v="0"/>
    <s v="Check out our latest story on twitter!"/>
    <n v="3649"/>
    <n v="215"/>
    <n v="413"/>
    <n v="25543"/>
    <n v="24963"/>
    <n v="167"/>
    <n v="0.16744313510550835"/>
    <s v="#FutureOfDriving"/>
    <x v="2"/>
  </r>
  <r>
    <s v="P047"/>
    <x v="1"/>
    <d v="2025-02-24T00:00:00"/>
    <x v="3"/>
    <s v="Check out our latest carousel on twitter!"/>
    <n v="2704"/>
    <n v="752"/>
    <n v="153"/>
    <n v="21632"/>
    <n v="20792"/>
    <n v="127"/>
    <n v="0.16683616863905326"/>
    <s v="#FutureOfDriving"/>
    <x v="0"/>
  </r>
  <r>
    <s v="P295"/>
    <x v="1"/>
    <d v="2025-05-06T00:00:00"/>
    <x v="4"/>
    <s v="Check out our latest image on twitter!"/>
    <n v="1952"/>
    <n v="344"/>
    <n v="287"/>
    <n v="15616"/>
    <n v="15403"/>
    <n v="235"/>
    <n v="0.16540727459016394"/>
    <s v="#FutureOfDriving,#TeslaCoInnovation,#AnytimeIsTeslaTime"/>
    <x v="3"/>
  </r>
  <r>
    <s v="P054"/>
    <x v="2"/>
    <d v="2025-03-13T00:00:00"/>
    <x v="3"/>
    <s v="Check out our latest carousel on youtube!"/>
    <n v="1686"/>
    <n v="904"/>
    <n v="472"/>
    <n v="18546"/>
    <n v="18171"/>
    <n v="52"/>
    <n v="0.16510298716704411"/>
    <s v="#FutureOfDriving"/>
    <x v="3"/>
  </r>
  <r>
    <s v="P060"/>
    <x v="0"/>
    <d v="2025-01-28T00:00:00"/>
    <x v="2"/>
    <s v="Check out our latest video on instagram!"/>
    <n v="904"/>
    <n v="973"/>
    <n v="63"/>
    <n v="11752"/>
    <n v="11580"/>
    <n v="84"/>
    <n v="0.1650782845473111"/>
    <s v="#EVRevolution,#TeslaCoInnovation,#AnytimeIsTeslaTime"/>
    <x v="2"/>
  </r>
  <r>
    <s v="P083"/>
    <x v="2"/>
    <d v="2024-10-15T00:00:00"/>
    <x v="2"/>
    <s v="Check out our latest video on youtube!"/>
    <n v="1094"/>
    <n v="472"/>
    <n v="21"/>
    <n v="9846"/>
    <n v="9609"/>
    <n v="112"/>
    <n v="0.16118220597196831"/>
    <s v="#EVRevolution"/>
    <x v="0"/>
  </r>
  <r>
    <s v="P138"/>
    <x v="1"/>
    <d v="2025-03-29T00:00:00"/>
    <x v="4"/>
    <s v="Check out our latest image on twitter!"/>
    <n v="305"/>
    <n v="187"/>
    <n v="243"/>
    <n v="4575"/>
    <n v="3704"/>
    <n v="234"/>
    <n v="0.16065573770491803"/>
    <s v="#FutureOfDriving"/>
    <x v="2"/>
  </r>
  <r>
    <s v="P221"/>
    <x v="3"/>
    <d v="2025-03-23T00:00:00"/>
    <x v="2"/>
    <s v="Check out our latest video on facebook!"/>
    <n v="4453"/>
    <n v="111"/>
    <n v="420"/>
    <n v="31171"/>
    <n v="30565"/>
    <n v="23"/>
    <n v="0.15989220750056141"/>
    <s v="#TeslaCoInnovation"/>
    <x v="0"/>
  </r>
  <r>
    <s v="P252"/>
    <x v="3"/>
    <d v="2025-04-28T00:00:00"/>
    <x v="3"/>
    <s v="Check out our latest carousel on facebook!"/>
    <n v="2089"/>
    <n v="476"/>
    <n v="69"/>
    <n v="16712"/>
    <n v="16309"/>
    <n v="64"/>
    <n v="0.15761129727142173"/>
    <s v="#FutureOfDriving"/>
    <x v="2"/>
  </r>
  <r>
    <s v="P052"/>
    <x v="3"/>
    <d v="2025-01-03T00:00:00"/>
    <x v="4"/>
    <s v="Check out our latest image on facebook!"/>
    <n v="947"/>
    <n v="338"/>
    <n v="350"/>
    <n v="10417"/>
    <n v="9730"/>
    <n v="34"/>
    <n v="0.1569549774407219"/>
    <s v="#TeslaCoInnovation"/>
    <x v="1"/>
  </r>
  <r>
    <s v="P140"/>
    <x v="3"/>
    <d v="2024-07-15T00:00:00"/>
    <x v="4"/>
    <s v="Check out our latest image on facebook!"/>
    <n v="2291"/>
    <n v="78"/>
    <n v="485"/>
    <n v="18328"/>
    <n v="18101"/>
    <n v="10"/>
    <n v="0.15571802706241816"/>
    <s v="#EVRevolution,#SmoothLikeNitroTesla"/>
    <x v="3"/>
  </r>
  <r>
    <s v="P165"/>
    <x v="1"/>
    <d v="2024-12-11T00:00:00"/>
    <x v="5"/>
    <s v="Check out our latest text on twitter!"/>
    <n v="3239"/>
    <n v="43"/>
    <n v="211"/>
    <n v="22673"/>
    <n v="22171"/>
    <n v="230"/>
    <n v="0.15405989502933004"/>
    <s v="#TeslaCoInnovation"/>
    <x v="3"/>
  </r>
  <r>
    <s v="P164"/>
    <x v="2"/>
    <d v="2025-02-27T00:00:00"/>
    <x v="5"/>
    <s v="Check out our latest text on youtube!"/>
    <n v="4934"/>
    <n v="971"/>
    <n v="156"/>
    <n v="39472"/>
    <n v="39025"/>
    <n v="169"/>
    <n v="0.15355188488042157"/>
    <s v="#TeslaCoInnovation,#AnytimeIsTeslaTime"/>
    <x v="1"/>
  </r>
  <r>
    <s v="P262"/>
    <x v="2"/>
    <d v="2025-01-18T00:00:00"/>
    <x v="4"/>
    <s v="Check out our latest image on youtube!"/>
    <n v="1206"/>
    <n v="238"/>
    <n v="36"/>
    <n v="9648"/>
    <n v="9417"/>
    <n v="237"/>
    <n v="0.15339966832504145"/>
    <s v="#TeslaCoInnovation"/>
    <x v="0"/>
  </r>
  <r>
    <s v="P147"/>
    <x v="0"/>
    <d v="2024-10-21T00:00:00"/>
    <x v="1"/>
    <s v="Check out our latest reel on instagram!"/>
    <n v="3256"/>
    <n v="459"/>
    <n v="266"/>
    <n v="26048"/>
    <n v="25529"/>
    <n v="143"/>
    <n v="0.15283323095823095"/>
    <s v="#TeslaCoInnovation"/>
    <x v="3"/>
  </r>
  <r>
    <s v="P004"/>
    <x v="0"/>
    <d v="2024-08-12T00:00:00"/>
    <x v="0"/>
    <s v="Check out our latest story on instagram!"/>
    <n v="2404"/>
    <n v="363"/>
    <n v="138"/>
    <n v="19232"/>
    <n v="18636"/>
    <n v="128"/>
    <n v="0.15105033277870217"/>
    <s v="#EVRevolution"/>
    <x v="1"/>
  </r>
  <r>
    <s v="P014"/>
    <x v="3"/>
    <d v="2025-02-16T00:00:00"/>
    <x v="0"/>
    <s v="Check out our latest story on facebook!"/>
    <n v="4242"/>
    <n v="555"/>
    <n v="131"/>
    <n v="33936"/>
    <n v="33802"/>
    <n v="265"/>
    <n v="0.14521452145214522"/>
    <s v="#FutureOfDriving"/>
    <x v="0"/>
  </r>
  <r>
    <s v="P192"/>
    <x v="0"/>
    <d v="2024-11-29T00:00:00"/>
    <x v="2"/>
    <s v="Check out our latest video on instagram!"/>
    <n v="1176"/>
    <n v="464"/>
    <n v="394"/>
    <n v="14112"/>
    <n v="13588"/>
    <n v="272"/>
    <n v="0.1441326530612245"/>
    <s v="#EVRevolution"/>
    <x v="0"/>
  </r>
  <r>
    <s v="P173"/>
    <x v="1"/>
    <d v="2024-12-05T00:00:00"/>
    <x v="2"/>
    <s v="Check out our latest video on twitter!"/>
    <n v="1330"/>
    <n v="925"/>
    <n v="35"/>
    <n v="15960"/>
    <n v="15379"/>
    <n v="229"/>
    <n v="0.14348370927318296"/>
    <s v="#FutureOfDriving"/>
    <x v="2"/>
  </r>
  <r>
    <s v="P166"/>
    <x v="1"/>
    <d v="2025-02-16T00:00:00"/>
    <x v="1"/>
    <s v="Check out our latest reel on twitter!"/>
    <n v="1076"/>
    <n v="313"/>
    <n v="306"/>
    <n v="11836"/>
    <n v="11596"/>
    <n v="104"/>
    <n v="0.14320716458262928"/>
    <s v="#FutureOfDriving"/>
    <x v="4"/>
  </r>
  <r>
    <s v="P207"/>
    <x v="1"/>
    <d v="2024-12-29T00:00:00"/>
    <x v="3"/>
    <s v="Check out our latest carousel on twitter!"/>
    <n v="4274"/>
    <n v="340"/>
    <n v="281"/>
    <n v="34192"/>
    <n v="33446"/>
    <n v="129"/>
    <n v="0.14316214319138981"/>
    <s v="#TeslaCoInnovation,#SmoothLikeNitroTesla"/>
    <x v="2"/>
  </r>
  <r>
    <s v="P061"/>
    <x v="1"/>
    <d v="2024-09-05T00:00:00"/>
    <x v="2"/>
    <s v="Check out our latest video on twitter!"/>
    <n v="4886"/>
    <n v="983"/>
    <n v="409"/>
    <n v="43974"/>
    <n v="43239"/>
    <n v="65"/>
    <n v="0.14276618001546368"/>
    <s v="#TeslaCoInnovation"/>
    <x v="4"/>
  </r>
  <r>
    <s v="P125"/>
    <x v="1"/>
    <d v="2024-09-08T00:00:00"/>
    <x v="3"/>
    <s v="Check out our latest carousel on twitter!"/>
    <n v="3811"/>
    <n v="866"/>
    <n v="216"/>
    <n v="34299"/>
    <n v="34088"/>
    <n v="233"/>
    <n v="0.14265722032712325"/>
    <s v="#TeslaCoInnovation"/>
    <x v="1"/>
  </r>
  <r>
    <s v="P272"/>
    <x v="0"/>
    <d v="2025-03-27T00:00:00"/>
    <x v="5"/>
    <s v="Check out our latest text on instagram!"/>
    <n v="4941"/>
    <n v="414"/>
    <n v="266"/>
    <n v="39528"/>
    <n v="39154"/>
    <n v="217"/>
    <n v="0.14220299534507186"/>
    <s v="#TeslaCoInnovation"/>
    <x v="2"/>
  </r>
  <r>
    <s v="P040"/>
    <x v="1"/>
    <d v="2025-03-07T00:00:00"/>
    <x v="4"/>
    <s v="Check out our latest image on twitter!"/>
    <n v="4750"/>
    <n v="151"/>
    <n v="415"/>
    <n v="38000"/>
    <n v="37792"/>
    <n v="299"/>
    <n v="0.13989473684210527"/>
    <s v="#EVRevolution"/>
    <x v="1"/>
  </r>
  <r>
    <s v="P299"/>
    <x v="3"/>
    <d v="2024-08-26T00:00:00"/>
    <x v="4"/>
    <s v="Check out our latest image on facebook!"/>
    <n v="2581"/>
    <n v="517"/>
    <n v="117"/>
    <n v="23229"/>
    <n v="22331"/>
    <n v="70"/>
    <n v="0.13840458048129492"/>
    <s v="#FutureOfDriving"/>
    <x v="2"/>
  </r>
  <r>
    <s v="P174"/>
    <x v="3"/>
    <d v="2024-06-22T00:00:00"/>
    <x v="5"/>
    <s v="Check out our latest text on facebook!"/>
    <n v="3828"/>
    <n v="148"/>
    <n v="253"/>
    <n v="30624"/>
    <n v="30229"/>
    <n v="235"/>
    <n v="0.13809430512016718"/>
    <s v="#EVRevolution"/>
    <x v="0"/>
  </r>
  <r>
    <s v="P104"/>
    <x v="2"/>
    <d v="2025-03-23T00:00:00"/>
    <x v="0"/>
    <s v="Check out our latest story on youtube!"/>
    <n v="3655"/>
    <n v="568"/>
    <n v="286"/>
    <n v="32895"/>
    <n v="32015"/>
    <n v="199"/>
    <n v="0.13707250341997265"/>
    <s v="#TeslaCoInnovation"/>
    <x v="2"/>
  </r>
  <r>
    <s v="P195"/>
    <x v="0"/>
    <d v="2024-08-15T00:00:00"/>
    <x v="3"/>
    <s v="Check out our latest carousel on instagram!"/>
    <n v="914"/>
    <n v="464"/>
    <n v="246"/>
    <n v="11882"/>
    <n v="11500"/>
    <n v="282"/>
    <n v="0.13667732704931829"/>
    <s v="#FutureOfDriving,#TeslaCoInnovation,#AnytimeIsTeslaTime"/>
    <x v="1"/>
  </r>
  <r>
    <s v="P184"/>
    <x v="1"/>
    <d v="2024-07-28T00:00:00"/>
    <x v="4"/>
    <s v="Check out our latest image on twitter!"/>
    <n v="3215"/>
    <n v="960"/>
    <n v="202"/>
    <n v="32150"/>
    <n v="31404"/>
    <n v="251"/>
    <n v="0.13614307931570763"/>
    <s v="#EVRevolution"/>
    <x v="4"/>
  </r>
  <r>
    <s v="P092"/>
    <x v="1"/>
    <d v="2024-10-21T00:00:00"/>
    <x v="0"/>
    <s v="Check out our latest story on twitter!"/>
    <n v="3801"/>
    <n v="967"/>
    <n v="401"/>
    <n v="38010"/>
    <n v="37625"/>
    <n v="236"/>
    <n v="0.13599052880820836"/>
    <s v="#FutureOfDriving"/>
    <x v="2"/>
  </r>
  <r>
    <s v="P088"/>
    <x v="3"/>
    <d v="2024-07-07T00:00:00"/>
    <x v="0"/>
    <s v="Check out our latest story on facebook!"/>
    <n v="302"/>
    <n v="47"/>
    <n v="430"/>
    <n v="5738"/>
    <n v="4890"/>
    <n v="25"/>
    <n v="0.13576158940397351"/>
    <s v="#TeslaCoInnovation"/>
    <x v="1"/>
  </r>
  <r>
    <s v="P285"/>
    <x v="2"/>
    <d v="2024-07-18T00:00:00"/>
    <x v="5"/>
    <s v="Check out our latest text on youtube!"/>
    <n v="4021"/>
    <n v="794"/>
    <n v="77"/>
    <n v="36189"/>
    <n v="35505"/>
    <n v="174"/>
    <n v="0.13517919809886983"/>
    <s v="#EVRevolution"/>
    <x v="0"/>
  </r>
  <r>
    <s v="P050"/>
    <x v="2"/>
    <d v="2024-07-03T00:00:00"/>
    <x v="0"/>
    <s v="Check out our latest story on youtube!"/>
    <n v="2754"/>
    <n v="130"/>
    <n v="90"/>
    <n v="22032"/>
    <n v="21288"/>
    <n v="112"/>
    <n v="0.13498547567175018"/>
    <s v="#TeslaCoInnovation"/>
    <x v="2"/>
  </r>
  <r>
    <s v="P132"/>
    <x v="0"/>
    <d v="2025-03-04T00:00:00"/>
    <x v="0"/>
    <s v="Check out our latest story on instagram!"/>
    <n v="1947"/>
    <n v="842"/>
    <n v="101"/>
    <n v="21417"/>
    <n v="20967"/>
    <n v="186"/>
    <n v="0.13493953401503478"/>
    <s v="#FutureOfDriving"/>
    <x v="3"/>
  </r>
  <r>
    <s v="P229"/>
    <x v="0"/>
    <d v="2024-07-03T00:00:00"/>
    <x v="3"/>
    <s v="Check out our latest carousel on instagram!"/>
    <n v="4799"/>
    <n v="694"/>
    <n v="289"/>
    <n v="43191"/>
    <n v="42228"/>
    <n v="118"/>
    <n v="0.13387048227640017"/>
    <s v="#TeslaCoInnovation"/>
    <x v="0"/>
  </r>
  <r>
    <s v="P074"/>
    <x v="2"/>
    <d v="2024-10-28T00:00:00"/>
    <x v="1"/>
    <s v="Check out our latest reel on youtube!"/>
    <n v="1855"/>
    <n v="200"/>
    <n v="174"/>
    <n v="16695"/>
    <n v="16330"/>
    <n v="123"/>
    <n v="0.13351302785265048"/>
    <s v="#TeslaCoInnovation"/>
    <x v="2"/>
  </r>
  <r>
    <s v="P254"/>
    <x v="1"/>
    <d v="2025-01-14T00:00:00"/>
    <x v="4"/>
    <s v="Check out our latest image on twitter!"/>
    <n v="2692"/>
    <n v="115"/>
    <n v="64"/>
    <n v="21536"/>
    <n v="21120"/>
    <n v="224"/>
    <n v="0.13331166419019316"/>
    <s v="#FutureOfDriving"/>
    <x v="3"/>
  </r>
  <r>
    <s v="P131"/>
    <x v="0"/>
    <d v="2024-10-21T00:00:00"/>
    <x v="1"/>
    <s v="Check out our latest reel on instagram!"/>
    <n v="4840"/>
    <n v="658"/>
    <n v="211"/>
    <n v="43560"/>
    <n v="43225"/>
    <n v="57"/>
    <n v="0.13106060606060607"/>
    <s v="#FutureOfDriving"/>
    <x v="2"/>
  </r>
  <r>
    <s v="P236"/>
    <x v="3"/>
    <d v="2024-08-19T00:00:00"/>
    <x v="5"/>
    <s v="Check out our latest text on facebook!"/>
    <n v="1257"/>
    <n v="19"/>
    <n v="351"/>
    <n v="12570"/>
    <n v="11660"/>
    <n v="194"/>
    <n v="0.12943516308671441"/>
    <s v="#FutureOfDriving,#AnytimeIsTeslaTime,#EVRevolution"/>
    <x v="3"/>
  </r>
  <r>
    <s v="P114"/>
    <x v="1"/>
    <d v="2024-11-14T00:00:00"/>
    <x v="0"/>
    <s v="Check out our latest story on twitter!"/>
    <n v="4000"/>
    <n v="689"/>
    <n v="488"/>
    <n v="40000"/>
    <n v="39569"/>
    <n v="44"/>
    <n v="0.12942500000000001"/>
    <s v="#FutureOfDriving"/>
    <x v="4"/>
  </r>
  <r>
    <s v="P056"/>
    <x v="3"/>
    <d v="2024-12-18T00:00:00"/>
    <x v="3"/>
    <s v="Check out our latest carousel on facebook!"/>
    <n v="2946"/>
    <n v="498"/>
    <n v="367"/>
    <n v="29460"/>
    <n v="28527"/>
    <n v="60"/>
    <n v="0.12936184657162253"/>
    <s v="#FutureOfDriving"/>
    <x v="2"/>
  </r>
  <r>
    <s v="P105"/>
    <x v="0"/>
    <d v="2024-06-14T00:00:00"/>
    <x v="3"/>
    <s v="Check out our latest carousel on instagram!"/>
    <n v="498"/>
    <n v="38"/>
    <n v="42"/>
    <n v="4482"/>
    <n v="3647"/>
    <n v="32"/>
    <n v="0.12896028558679162"/>
    <s v="#FutureOfDriving"/>
    <x v="4"/>
  </r>
  <r>
    <s v="P012"/>
    <x v="3"/>
    <d v="2024-07-21T00:00:00"/>
    <x v="1"/>
    <s v="Check out our latest reel on facebook!"/>
    <n v="1946"/>
    <n v="686"/>
    <n v="377"/>
    <n v="23352"/>
    <n v="22982"/>
    <n v="213"/>
    <n v="0.12885405960945528"/>
    <s v="#FutureOfDriving"/>
    <x v="2"/>
  </r>
  <r>
    <s v="P235"/>
    <x v="3"/>
    <d v="2024-12-22T00:00:00"/>
    <x v="4"/>
    <s v="Check out our latest image on facebook!"/>
    <n v="3196"/>
    <n v="941"/>
    <n v="376"/>
    <n v="35156"/>
    <n v="34444"/>
    <n v="241"/>
    <n v="0.1283706906360223"/>
    <s v="#TeslaCoInnovation"/>
    <x v="2"/>
  </r>
  <r>
    <s v="P033"/>
    <x v="3"/>
    <d v="2024-08-21T00:00:00"/>
    <x v="4"/>
    <s v="Check out our latest image on facebook!"/>
    <n v="1407"/>
    <n v="400"/>
    <n v="351"/>
    <n v="16884"/>
    <n v="15954"/>
    <n v="113"/>
    <n v="0.12781331438047855"/>
    <s v="#TeslaCoInnovation"/>
    <x v="4"/>
  </r>
  <r>
    <s v="P038"/>
    <x v="2"/>
    <d v="2025-02-17T00:00:00"/>
    <x v="1"/>
    <s v="Check out our latest reel on youtube!"/>
    <n v="3138"/>
    <n v="123"/>
    <n v="291"/>
    <n v="28242"/>
    <n v="27550"/>
    <n v="87"/>
    <n v="0.12577012959422137"/>
    <s v="#TeslaCoInnovation"/>
    <x v="1"/>
  </r>
  <r>
    <s v="P196"/>
    <x v="0"/>
    <d v="2024-12-19T00:00:00"/>
    <x v="5"/>
    <s v="Check out our latest text on instagram!"/>
    <n v="1813"/>
    <n v="623"/>
    <n v="72"/>
    <n v="19943"/>
    <n v="18959"/>
    <n v="85"/>
    <n v="0.12575841147269717"/>
    <s v="#EVRevolution"/>
    <x v="2"/>
  </r>
  <r>
    <s v="P128"/>
    <x v="1"/>
    <d v="2025-01-10T00:00:00"/>
    <x v="4"/>
    <s v="Check out our latest image on twitter!"/>
    <n v="3092"/>
    <n v="106"/>
    <n v="291"/>
    <n v="27828"/>
    <n v="27217"/>
    <n v="102"/>
    <n v="0.12537731780940059"/>
    <s v="#FutureOfDriving"/>
    <x v="0"/>
  </r>
  <r>
    <s v="P169"/>
    <x v="2"/>
    <d v="2024-12-03T00:00:00"/>
    <x v="2"/>
    <s v="Check out our latest video on youtube!"/>
    <n v="3809"/>
    <n v="273"/>
    <n v="200"/>
    <n v="34281"/>
    <n v="33534"/>
    <n v="83"/>
    <n v="0.12490884163239112"/>
    <s v="#EVRevolution"/>
    <x v="4"/>
  </r>
  <r>
    <s v="P293"/>
    <x v="3"/>
    <d v="2025-05-14T00:00:00"/>
    <x v="5"/>
    <s v="Check out our latest text on facebook!"/>
    <n v="2634"/>
    <n v="726"/>
    <n v="241"/>
    <n v="28974"/>
    <n v="28102"/>
    <n v="277"/>
    <n v="0.12428384068475185"/>
    <s v="#EVRevolution"/>
    <x v="4"/>
  </r>
  <r>
    <s v="P292"/>
    <x v="3"/>
    <d v="2024-11-17T00:00:00"/>
    <x v="5"/>
    <s v="Check out our latest text on facebook!"/>
    <n v="880"/>
    <n v="297"/>
    <n v="345"/>
    <n v="12320"/>
    <n v="11978"/>
    <n v="238"/>
    <n v="0.12353896103896105"/>
    <s v="#TeslaCoInnovation,#AnytimeIsTeslaTime"/>
    <x v="0"/>
  </r>
  <r>
    <s v="P212"/>
    <x v="2"/>
    <d v="2025-03-03T00:00:00"/>
    <x v="2"/>
    <s v="Check out our latest video on youtube!"/>
    <n v="3874"/>
    <n v="884"/>
    <n v="19"/>
    <n v="38740"/>
    <n v="38552"/>
    <n v="219"/>
    <n v="0.123309241094476"/>
    <s v="#TeslaCoInnovation"/>
    <x v="3"/>
  </r>
  <r>
    <s v="P110"/>
    <x v="0"/>
    <d v="2024-07-29T00:00:00"/>
    <x v="1"/>
    <s v="Check out our latest reel on instagram!"/>
    <n v="3523"/>
    <n v="753"/>
    <n v="482"/>
    <n v="38753"/>
    <n v="38579"/>
    <n v="270"/>
    <n v="0.12277759141227776"/>
    <s v="#EVRevolution"/>
    <x v="3"/>
  </r>
  <r>
    <s v="P245"/>
    <x v="3"/>
    <d v="2025-01-12T00:00:00"/>
    <x v="1"/>
    <s v="Check out our latest reel on facebook!"/>
    <n v="4134"/>
    <n v="824"/>
    <n v="99"/>
    <n v="41340"/>
    <n v="41050"/>
    <n v="177"/>
    <n v="0.12232704402515723"/>
    <s v="#EVRevolution"/>
    <x v="4"/>
  </r>
  <r>
    <s v="P075"/>
    <x v="0"/>
    <d v="2024-08-01T00:00:00"/>
    <x v="1"/>
    <s v="Check out our latest reel on instagram!"/>
    <n v="1674"/>
    <n v="929"/>
    <n v="37"/>
    <n v="21762"/>
    <n v="20998"/>
    <n v="255"/>
    <n v="0.12131237937689551"/>
    <s v="#TeslaCoInnovation"/>
    <x v="1"/>
  </r>
  <r>
    <s v="P255"/>
    <x v="3"/>
    <d v="2025-04-03T00:00:00"/>
    <x v="0"/>
    <s v="Check out our latest story on facebook!"/>
    <n v="3767"/>
    <n v="514"/>
    <n v="238"/>
    <n v="37670"/>
    <n v="36807"/>
    <n v="226"/>
    <n v="0.11996283514733209"/>
    <s v="#FutureOfDriving"/>
    <x v="1"/>
  </r>
  <r>
    <s v="P071"/>
    <x v="2"/>
    <d v="2024-09-02T00:00:00"/>
    <x v="3"/>
    <s v="Check out our latest carousel on youtube!"/>
    <n v="2551"/>
    <n v="915"/>
    <n v="205"/>
    <n v="30612"/>
    <n v="30360"/>
    <n v="227"/>
    <n v="0.1199202926956749"/>
    <s v="#TeslaCoInnovation"/>
    <x v="3"/>
  </r>
  <r>
    <s v="P065"/>
    <x v="0"/>
    <d v="2025-03-28T00:00:00"/>
    <x v="0"/>
    <s v="Check out our latest story on instagram!"/>
    <n v="1881"/>
    <n v="501"/>
    <n v="99"/>
    <n v="20691"/>
    <n v="19987"/>
    <n v="289"/>
    <n v="0.11990720603160794"/>
    <s v="#EVRevolution"/>
    <x v="0"/>
  </r>
  <r>
    <s v="P247"/>
    <x v="3"/>
    <d v="2024-08-27T00:00:00"/>
    <x v="1"/>
    <s v="Check out our latest reel on facebook!"/>
    <n v="3960"/>
    <n v="266"/>
    <n v="8"/>
    <n v="35640"/>
    <n v="34850"/>
    <n v="208"/>
    <n v="0.11879910213243547"/>
    <s v="#FutureOfDriving,#EVRevolution,#BetterWithTesla"/>
    <x v="0"/>
  </r>
  <r>
    <s v="P035"/>
    <x v="0"/>
    <d v="2024-11-30T00:00:00"/>
    <x v="2"/>
    <s v="Check out our latest video on instagram!"/>
    <n v="3775"/>
    <n v="16"/>
    <n v="239"/>
    <n v="33975"/>
    <n v="33310"/>
    <n v="271"/>
    <n v="0.11861662987490802"/>
    <s v="#FutureOfDriving"/>
    <x v="3"/>
  </r>
  <r>
    <s v="P117"/>
    <x v="1"/>
    <d v="2024-11-04T00:00:00"/>
    <x v="4"/>
    <s v="Check out our latest image on twitter!"/>
    <n v="1606"/>
    <n v="451"/>
    <n v="405"/>
    <n v="20878"/>
    <n v="20190"/>
    <n v="219"/>
    <n v="0.11792317271769326"/>
    <s v="#EVRevolution"/>
    <x v="1"/>
  </r>
  <r>
    <s v="P251"/>
    <x v="0"/>
    <d v="2025-03-27T00:00:00"/>
    <x v="3"/>
    <s v="Check out our latest carousel on instagram!"/>
    <n v="1377"/>
    <n v="796"/>
    <n v="387"/>
    <n v="22032"/>
    <n v="21869"/>
    <n v="189"/>
    <n v="0.11619462599854757"/>
    <s v="#FutureOfDriving"/>
    <x v="0"/>
  </r>
  <r>
    <s v="P011"/>
    <x v="0"/>
    <d v="2025-02-02T00:00:00"/>
    <x v="0"/>
    <s v="Check out our latest story on instagram!"/>
    <n v="1792"/>
    <n v="614"/>
    <n v="497"/>
    <n v="25088"/>
    <n v="24675"/>
    <n v="65"/>
    <n v="0.11571269132653061"/>
    <s v="#FutureOfDriving"/>
    <x v="1"/>
  </r>
  <r>
    <s v="P161"/>
    <x v="1"/>
    <d v="2025-02-19T00:00:00"/>
    <x v="5"/>
    <s v="Check out our latest text on twitter!"/>
    <n v="4671"/>
    <n v="876"/>
    <n v="366"/>
    <n v="51381"/>
    <n v="50565"/>
    <n v="245"/>
    <n v="0.11508145034156594"/>
    <s v="#TeslaCoInnovation"/>
    <x v="1"/>
  </r>
  <r>
    <s v="P155"/>
    <x v="2"/>
    <d v="2024-12-21T00:00:00"/>
    <x v="4"/>
    <s v="Check out our latest image on youtube!"/>
    <n v="2283"/>
    <n v="210"/>
    <n v="130"/>
    <n v="22830"/>
    <n v="22617"/>
    <n v="143"/>
    <n v="0.11489268506351293"/>
    <s v="#FutureOfDriving"/>
    <x v="3"/>
  </r>
  <r>
    <s v="P284"/>
    <x v="1"/>
    <d v="2024-09-17T00:00:00"/>
    <x v="5"/>
    <s v="Check out our latest text on twitter!"/>
    <n v="571"/>
    <n v="190"/>
    <n v="352"/>
    <n v="9707"/>
    <n v="9418"/>
    <n v="231"/>
    <n v="0.11465952405480581"/>
    <s v="#TeslaCoInnovation"/>
    <x v="1"/>
  </r>
  <r>
    <s v="P113"/>
    <x v="1"/>
    <d v="2024-10-02T00:00:00"/>
    <x v="3"/>
    <s v="Check out our latest carousel on twitter!"/>
    <n v="4419"/>
    <n v="236"/>
    <n v="369"/>
    <n v="44190"/>
    <n v="43582"/>
    <n v="10"/>
    <n v="0.11369088028965829"/>
    <s v="#EVRevolution"/>
    <x v="4"/>
  </r>
  <r>
    <s v="P158"/>
    <x v="0"/>
    <d v="2024-08-11T00:00:00"/>
    <x v="0"/>
    <s v="Check out our latest story on instagram!"/>
    <n v="1762"/>
    <n v="405"/>
    <n v="423"/>
    <n v="22906"/>
    <n v="21925"/>
    <n v="25"/>
    <n v="0.11307081114118571"/>
    <s v="#TeslaCoInnovation"/>
    <x v="4"/>
  </r>
  <r>
    <s v="P098"/>
    <x v="1"/>
    <d v="2024-06-10T00:00:00"/>
    <x v="0"/>
    <s v="Check out our latest story on twitter!"/>
    <n v="1575"/>
    <n v="771"/>
    <n v="486"/>
    <n v="25200"/>
    <n v="24826"/>
    <n v="17"/>
    <n v="0.11238095238095239"/>
    <s v="#FutureOfDriving"/>
    <x v="1"/>
  </r>
  <r>
    <s v="P227"/>
    <x v="0"/>
    <d v="2024-06-12T00:00:00"/>
    <x v="5"/>
    <s v="Check out our latest text on instagram!"/>
    <n v="246"/>
    <n v="149"/>
    <n v="130"/>
    <n v="4674"/>
    <n v="4390"/>
    <n v="217"/>
    <n v="0.11232349165596919"/>
    <s v="#FutureOfDriving"/>
    <x v="2"/>
  </r>
  <r>
    <s v="P222"/>
    <x v="3"/>
    <d v="2024-10-08T00:00:00"/>
    <x v="1"/>
    <s v="Check out our latest reel on facebook!"/>
    <n v="1814"/>
    <n v="653"/>
    <n v="363"/>
    <n v="25396"/>
    <n v="25286"/>
    <n v="39"/>
    <n v="0.11143487163332809"/>
    <s v="#FutureOfDriving,#SmoothLikeNitroTesla"/>
    <x v="4"/>
  </r>
  <r>
    <s v="P278"/>
    <x v="1"/>
    <d v="2024-11-26T00:00:00"/>
    <x v="5"/>
    <s v="Check out our latest text on twitter!"/>
    <n v="4516"/>
    <n v="836"/>
    <n v="169"/>
    <n v="49676"/>
    <n v="49257"/>
    <n v="282"/>
    <n v="0.11114018842096787"/>
    <s v="#EVRevolution"/>
    <x v="1"/>
  </r>
  <r>
    <s v="P151"/>
    <x v="0"/>
    <d v="2024-07-26T00:00:00"/>
    <x v="4"/>
    <s v="Check out our latest image on instagram!"/>
    <n v="3559"/>
    <n v="59"/>
    <n v="289"/>
    <n v="35590"/>
    <n v="35105"/>
    <n v="122"/>
    <n v="0.10977802753582468"/>
    <s v="#EVRevolution"/>
    <x v="4"/>
  </r>
  <r>
    <s v="P156"/>
    <x v="3"/>
    <d v="2024-10-22T00:00:00"/>
    <x v="3"/>
    <s v="Check out our latest carousel on facebook!"/>
    <n v="3352"/>
    <n v="941"/>
    <n v="482"/>
    <n v="43576"/>
    <n v="43338"/>
    <n v="240"/>
    <n v="0.1095786671562328"/>
    <s v="#FutureOfDriving"/>
    <x v="3"/>
  </r>
  <r>
    <s v="P157"/>
    <x v="2"/>
    <d v="2024-07-23T00:00:00"/>
    <x v="0"/>
    <s v="Check out our latest story on youtube!"/>
    <n v="4775"/>
    <n v="173"/>
    <n v="206"/>
    <n v="47750"/>
    <n v="47544"/>
    <n v="187"/>
    <n v="0.10793717277486911"/>
    <s v="#FutureOfDriving"/>
    <x v="3"/>
  </r>
  <r>
    <s v="P206"/>
    <x v="1"/>
    <d v="2024-06-24T00:00:00"/>
    <x v="5"/>
    <s v="Check out our latest text on twitter!"/>
    <n v="941"/>
    <n v="121"/>
    <n v="458"/>
    <n v="14115"/>
    <n v="13838"/>
    <n v="87"/>
    <n v="0.10768685795253277"/>
    <s v="#EVRevolution"/>
    <x v="4"/>
  </r>
  <r>
    <s v="P282"/>
    <x v="0"/>
    <d v="2024-10-03T00:00:00"/>
    <x v="2"/>
    <s v="Check out our latest video on instagram!"/>
    <n v="1488"/>
    <n v="417"/>
    <n v="168"/>
    <n v="19344"/>
    <n v="18395"/>
    <n v="30"/>
    <n v="0.1071650124069479"/>
    <s v="#FutureOfDriving"/>
    <x v="2"/>
  </r>
  <r>
    <s v="P049"/>
    <x v="1"/>
    <d v="2024-06-10T00:00:00"/>
    <x v="0"/>
    <s v="Check out our latest story on twitter!"/>
    <n v="2164"/>
    <n v="549"/>
    <n v="274"/>
    <n v="28132"/>
    <n v="27361"/>
    <n v="177"/>
    <n v="0.10617801791554102"/>
    <s v="#TeslaCoInnovation"/>
    <x v="1"/>
  </r>
  <r>
    <s v="P205"/>
    <x v="1"/>
    <d v="2025-04-24T00:00:00"/>
    <x v="2"/>
    <s v="Check out our latest video on twitter!"/>
    <n v="3820"/>
    <n v="697"/>
    <n v="268"/>
    <n v="45840"/>
    <n v="45631"/>
    <n v="171"/>
    <n v="0.1043848167539267"/>
    <s v="#TeslaCoInnovation,#SmoothLikeNitroTesla"/>
    <x v="1"/>
  </r>
  <r>
    <s v="P008"/>
    <x v="2"/>
    <d v="2024-07-13T00:00:00"/>
    <x v="4"/>
    <s v="Check out our latest image on youtube!"/>
    <n v="3929"/>
    <n v="262"/>
    <n v="278"/>
    <n v="43219"/>
    <n v="42841"/>
    <n v="39"/>
    <n v="0.10340359564080613"/>
    <s v="#EVRevolution"/>
    <x v="1"/>
  </r>
  <r>
    <s v="P096"/>
    <x v="1"/>
    <d v="2024-09-10T00:00:00"/>
    <x v="4"/>
    <s v="Check out our latest image on twitter!"/>
    <n v="1238"/>
    <n v="366"/>
    <n v="444"/>
    <n v="19808"/>
    <n v="19334"/>
    <n v="123"/>
    <n v="0.10339256865912763"/>
    <s v="#FutureOfDriving"/>
    <x v="0"/>
  </r>
  <r>
    <s v="P018"/>
    <x v="0"/>
    <d v="2024-08-19T00:00:00"/>
    <x v="1"/>
    <s v="Check out our latest reel on instagram!"/>
    <n v="3000"/>
    <n v="382"/>
    <n v="325"/>
    <n v="36000"/>
    <n v="35819"/>
    <n v="19"/>
    <n v="0.10297222222222223"/>
    <s v="#FutureOfDriving"/>
    <x v="4"/>
  </r>
  <r>
    <s v="P182"/>
    <x v="3"/>
    <d v="2024-07-31T00:00:00"/>
    <x v="4"/>
    <s v="Check out our latest image on facebook!"/>
    <n v="4689"/>
    <n v="134"/>
    <n v="403"/>
    <n v="51579"/>
    <n v="50924"/>
    <n v="173"/>
    <n v="0.10132030477519921"/>
    <s v="#TeslaCoInnovation"/>
    <x v="1"/>
  </r>
  <r>
    <s v="P266"/>
    <x v="3"/>
    <d v="2024-11-25T00:00:00"/>
    <x v="0"/>
    <s v="Check out our latest story on facebook!"/>
    <n v="4182"/>
    <n v="640"/>
    <n v="240"/>
    <n v="50184"/>
    <n v="49351"/>
    <n v="10"/>
    <n v="0.10086880280567512"/>
    <s v="#TeslaCoInnovation"/>
    <x v="2"/>
  </r>
  <r>
    <s v="P019"/>
    <x v="0"/>
    <d v="2024-06-23T00:00:00"/>
    <x v="2"/>
    <s v="Check out our latest video on instagram!"/>
    <n v="1071"/>
    <n v="519"/>
    <n v="22"/>
    <n v="16065"/>
    <n v="15865"/>
    <n v="103"/>
    <n v="0.10034235916588857"/>
    <s v="#TeslaCoInnovation"/>
    <x v="1"/>
  </r>
  <r>
    <s v="P108"/>
    <x v="1"/>
    <d v="2025-03-25T00:00:00"/>
    <x v="2"/>
    <s v="Check out our latest video on twitter!"/>
    <n v="4050"/>
    <n v="871"/>
    <n v="347"/>
    <n v="52650"/>
    <n v="51755"/>
    <n v="209"/>
    <n v="0.10005698005698006"/>
    <s v="#TeslaCoInnovation"/>
    <x v="3"/>
  </r>
  <r>
    <s v="P126"/>
    <x v="0"/>
    <d v="2025-03-28T00:00:00"/>
    <x v="3"/>
    <s v="Check out our latest carousel on instagram!"/>
    <n v="4158"/>
    <n v="167"/>
    <n v="241"/>
    <n v="45738"/>
    <n v="45183"/>
    <n v="142"/>
    <n v="9.9829463465827106E-2"/>
    <s v="#FutureOfDriving"/>
    <x v="0"/>
  </r>
  <r>
    <s v="P103"/>
    <x v="3"/>
    <d v="2024-06-11T00:00:00"/>
    <x v="4"/>
    <s v="Check out our latest image on facebook!"/>
    <n v="3689"/>
    <n v="48"/>
    <n v="306"/>
    <n v="40579"/>
    <n v="39588"/>
    <n v="212"/>
    <n v="9.9632815002833983E-2"/>
    <s v="#EVRevolution"/>
    <x v="3"/>
  </r>
  <r>
    <s v="P191"/>
    <x v="2"/>
    <d v="2024-12-03T00:00:00"/>
    <x v="0"/>
    <s v="Check out our latest story on youtube!"/>
    <n v="4285"/>
    <n v="886"/>
    <n v="376"/>
    <n v="55705"/>
    <n v="55556"/>
    <n v="51"/>
    <n v="9.9578134817341346E-2"/>
    <s v="#FutureOfDriving"/>
    <x v="2"/>
  </r>
  <r>
    <s v="P193"/>
    <x v="1"/>
    <d v="2024-09-11T00:00:00"/>
    <x v="4"/>
    <s v="Check out our latest image on twitter!"/>
    <n v="4858"/>
    <n v="317"/>
    <n v="129"/>
    <n v="53438"/>
    <n v="52687"/>
    <n v="223"/>
    <n v="9.9255211647142488E-2"/>
    <s v="#EVRevolution"/>
    <x v="2"/>
  </r>
  <r>
    <s v="P167"/>
    <x v="0"/>
    <d v="2024-11-28T00:00:00"/>
    <x v="5"/>
    <s v="Check out our latest text on instagram!"/>
    <n v="4771"/>
    <n v="818"/>
    <n v="56"/>
    <n v="57252"/>
    <n v="56378"/>
    <n v="150"/>
    <n v="9.859917557465242E-2"/>
    <s v="#FutureOfDriving"/>
    <x v="0"/>
  </r>
  <r>
    <s v="P044"/>
    <x v="1"/>
    <d v="2025-03-02T00:00:00"/>
    <x v="4"/>
    <s v="Check out our latest image on twitter!"/>
    <n v="2358"/>
    <n v="784"/>
    <n v="344"/>
    <n v="35370"/>
    <n v="34475"/>
    <n v="216"/>
    <n v="9.8558100084817649E-2"/>
    <s v="#TeslaCoInnovation"/>
    <x v="0"/>
  </r>
  <r>
    <s v="P171"/>
    <x v="2"/>
    <d v="2024-12-31T00:00:00"/>
    <x v="2"/>
    <s v="Check out our latest video on youtube!"/>
    <n v="1018"/>
    <n v="447"/>
    <n v="332"/>
    <n v="18324"/>
    <n v="18164"/>
    <n v="38"/>
    <n v="9.8068107400130972E-2"/>
    <s v="#FutureOfDriving"/>
    <x v="3"/>
  </r>
  <r>
    <s v="P273"/>
    <x v="2"/>
    <d v="2024-10-12T00:00:00"/>
    <x v="0"/>
    <s v="Check out our latest story on youtube!"/>
    <n v="3641"/>
    <n v="226"/>
    <n v="46"/>
    <n v="40051"/>
    <n v="39319"/>
    <n v="296"/>
    <n v="9.7700431949264685E-2"/>
    <s v="#EVRevolution"/>
    <x v="1"/>
  </r>
  <r>
    <s v="P243"/>
    <x v="1"/>
    <d v="2025-03-06T00:00:00"/>
    <x v="4"/>
    <s v="Check out our latest image on twitter!"/>
    <n v="3592"/>
    <n v="911"/>
    <n v="375"/>
    <n v="50288"/>
    <n v="49490"/>
    <n v="32"/>
    <n v="9.7001272669424113E-2"/>
    <s v="#FutureOfDriving"/>
    <x v="1"/>
  </r>
  <r>
    <s v="P185"/>
    <x v="0"/>
    <d v="2025-01-11T00:00:00"/>
    <x v="3"/>
    <s v="Check out our latest carousel on instagram!"/>
    <n v="4523"/>
    <n v="61"/>
    <n v="157"/>
    <n v="49753"/>
    <n v="49329"/>
    <n v="71"/>
    <n v="9.5290736237010829E-2"/>
    <s v="#EVRevolution"/>
    <x v="0"/>
  </r>
  <r>
    <s v="P081"/>
    <x v="0"/>
    <d v="2024-10-19T00:00:00"/>
    <x v="0"/>
    <s v="Check out our latest story on instagram!"/>
    <n v="1816"/>
    <n v="29"/>
    <n v="41"/>
    <n v="19976"/>
    <n v="19262"/>
    <n v="283"/>
    <n v="9.4413295955146179E-2"/>
    <s v="#TeslaCoInnovation"/>
    <x v="2"/>
  </r>
  <r>
    <s v="P017"/>
    <x v="3"/>
    <d v="2025-05-05T00:00:00"/>
    <x v="5"/>
    <s v="Check out our latest text on facebook!"/>
    <n v="4441"/>
    <n v="511"/>
    <n v="70"/>
    <n v="53292"/>
    <n v="53082"/>
    <n v="159"/>
    <n v="9.4235532537716729E-2"/>
    <s v="#EVRevolution"/>
    <x v="1"/>
  </r>
  <r>
    <s v="P139"/>
    <x v="2"/>
    <d v="2024-10-29T00:00:00"/>
    <x v="5"/>
    <s v="Check out our latest text on youtube!"/>
    <n v="2746"/>
    <n v="156"/>
    <n v="203"/>
    <n v="32952"/>
    <n v="32147"/>
    <n v="147"/>
    <n v="9.422796795338674E-2"/>
    <s v="#EVRevolution"/>
    <x v="4"/>
  </r>
  <r>
    <s v="P069"/>
    <x v="1"/>
    <d v="2025-03-08T00:00:00"/>
    <x v="5"/>
    <s v="Check out our latest text on twitter!"/>
    <n v="1292"/>
    <n v="626"/>
    <n v="496"/>
    <n v="25840"/>
    <n v="24916"/>
    <n v="149"/>
    <n v="9.3421052631578946E-2"/>
    <s v="#FutureOfDriving"/>
    <x v="2"/>
  </r>
  <r>
    <s v="P059"/>
    <x v="0"/>
    <d v="2024-06-22T00:00:00"/>
    <x v="5"/>
    <s v="Check out our latest text on instagram!"/>
    <n v="2180"/>
    <n v="263"/>
    <n v="387"/>
    <n v="30520"/>
    <n v="30059"/>
    <n v="174"/>
    <n v="9.2726081258191345E-2"/>
    <s v="#EVRevolution"/>
    <x v="0"/>
  </r>
  <r>
    <s v="P100"/>
    <x v="2"/>
    <d v="2025-02-10T00:00:00"/>
    <x v="2"/>
    <s v="Check out our latest video on youtube!"/>
    <n v="1766"/>
    <n v="92"/>
    <n v="424"/>
    <n v="24724"/>
    <n v="24333"/>
    <n v="52"/>
    <n v="9.2298980747451867E-2"/>
    <s v="#EVRevolution"/>
    <x v="0"/>
  </r>
  <r>
    <s v="P055"/>
    <x v="3"/>
    <d v="2024-06-17T00:00:00"/>
    <x v="4"/>
    <s v="Check out our latest image on facebook!"/>
    <n v="1226"/>
    <n v="119"/>
    <n v="7"/>
    <n v="14712"/>
    <n v="14049"/>
    <n v="123"/>
    <n v="9.1897770527460579E-2"/>
    <s v="#EVRevolution"/>
    <x v="1"/>
  </r>
  <r>
    <s v="P177"/>
    <x v="0"/>
    <d v="2024-07-10T00:00:00"/>
    <x v="3"/>
    <s v="Check out our latest carousel on instagram!"/>
    <n v="3099"/>
    <n v="694"/>
    <n v="171"/>
    <n v="43386"/>
    <n v="42921"/>
    <n v="52"/>
    <n v="9.1365878393951966E-2"/>
    <s v="#TeslaCoInnovation"/>
    <x v="2"/>
  </r>
  <r>
    <s v="P160"/>
    <x v="1"/>
    <d v="2024-08-24T00:00:00"/>
    <x v="2"/>
    <s v="Check out our latest video on twitter!"/>
    <n v="1082"/>
    <n v="209"/>
    <n v="484"/>
    <n v="19476"/>
    <n v="18654"/>
    <n v="20"/>
    <n v="9.1137810638734856E-2"/>
    <s v="#TeslaCoInnovation"/>
    <x v="0"/>
  </r>
  <r>
    <s v="P001"/>
    <x v="1"/>
    <d v="2024-12-23T00:00:00"/>
    <x v="1"/>
    <s v="Check out our latest reel on twitter!"/>
    <n v="1461"/>
    <n v="184"/>
    <n v="344"/>
    <n v="21915"/>
    <n v="21675"/>
    <n v="15"/>
    <n v="9.0759753593429152E-2"/>
    <s v="#FutureOfDriving,#AnytimeIsTeslaTime"/>
    <x v="4"/>
  </r>
  <r>
    <s v="P201"/>
    <x v="1"/>
    <d v="2025-01-15T00:00:00"/>
    <x v="1"/>
    <s v="Check out our latest reel on twitter!"/>
    <n v="802"/>
    <n v="262"/>
    <n v="244"/>
    <n v="14436"/>
    <n v="14280"/>
    <n v="49"/>
    <n v="9.0606816292601824E-2"/>
    <s v="#EVRevolution"/>
    <x v="4"/>
  </r>
  <r>
    <s v="P180"/>
    <x v="2"/>
    <d v="2024-12-03T00:00:00"/>
    <x v="5"/>
    <s v="Check out our latest text on youtube!"/>
    <n v="3711"/>
    <n v="352"/>
    <n v="290"/>
    <n v="48243"/>
    <n v="47579"/>
    <n v="11"/>
    <n v="9.023070704558174E-2"/>
    <s v="#TeslaCoInnovation"/>
    <x v="4"/>
  </r>
  <r>
    <s v="P026"/>
    <x v="2"/>
    <d v="2025-04-05T00:00:00"/>
    <x v="1"/>
    <s v="Check out our latest reel on youtube!"/>
    <n v="3009"/>
    <n v="413"/>
    <n v="358"/>
    <n v="42126"/>
    <n v="41309"/>
    <n v="211"/>
    <n v="8.9730807577268201E-2"/>
    <s v="#FutureOfDriving"/>
    <x v="3"/>
  </r>
  <r>
    <s v="P130"/>
    <x v="2"/>
    <d v="2024-09-29T00:00:00"/>
    <x v="1"/>
    <s v="Check out our latest reel on youtube!"/>
    <n v="2936"/>
    <n v="439"/>
    <n v="44"/>
    <n v="38168"/>
    <n v="37571"/>
    <n v="22"/>
    <n v="8.9577656675749323E-2"/>
    <s v="#EVRevolution"/>
    <x v="1"/>
  </r>
  <r>
    <s v="P079"/>
    <x v="0"/>
    <d v="2024-10-09T00:00:00"/>
    <x v="3"/>
    <s v="Check out our latest carousel on instagram!"/>
    <n v="3068"/>
    <n v="137"/>
    <n v="329"/>
    <n v="39884"/>
    <n v="39404"/>
    <n v="266"/>
    <n v="8.860696018453515E-2"/>
    <s v="#EVRevolution"/>
    <x v="3"/>
  </r>
  <r>
    <s v="P072"/>
    <x v="2"/>
    <d v="2025-03-03T00:00:00"/>
    <x v="1"/>
    <s v="Check out our latest reel on youtube!"/>
    <n v="296"/>
    <n v="60"/>
    <n v="141"/>
    <n v="5624"/>
    <n v="5239"/>
    <n v="88"/>
    <n v="8.837126600284495E-2"/>
    <s v="#EVRevolution"/>
    <x v="3"/>
  </r>
  <r>
    <s v="P009"/>
    <x v="3"/>
    <d v="2024-08-30T00:00:00"/>
    <x v="5"/>
    <s v="Check out our latest text on facebook!"/>
    <n v="3784"/>
    <n v="808"/>
    <n v="404"/>
    <n v="56760"/>
    <n v="56343"/>
    <n v="131"/>
    <n v="8.8019732205778717E-2"/>
    <s v="#TeslaCoInnovation"/>
    <x v="3"/>
  </r>
  <r>
    <s v="P260"/>
    <x v="0"/>
    <d v="2025-02-12T00:00:00"/>
    <x v="0"/>
    <s v="Check out our latest story on instagram!"/>
    <n v="4332"/>
    <n v="771"/>
    <n v="219"/>
    <n v="60648"/>
    <n v="60397"/>
    <n v="10"/>
    <n v="8.7752275425405618E-2"/>
    <s v="#TeslaCoInnovation,#EVRevolution,#BetterWithTesla"/>
    <x v="2"/>
  </r>
  <r>
    <s v="P249"/>
    <x v="1"/>
    <d v="2024-07-18T00:00:00"/>
    <x v="4"/>
    <s v="Check out our latest image on twitter!"/>
    <n v="827"/>
    <n v="77"/>
    <n v="402"/>
    <n v="14886"/>
    <n v="14129"/>
    <n v="254"/>
    <n v="8.7733440816874911E-2"/>
    <s v="#EVRevolution"/>
    <x v="3"/>
  </r>
  <r>
    <s v="P097"/>
    <x v="0"/>
    <d v="2024-08-13T00:00:00"/>
    <x v="4"/>
    <s v="Check out our latest image on instagram!"/>
    <n v="4739"/>
    <n v="527"/>
    <n v="135"/>
    <n v="61607"/>
    <n v="61333"/>
    <n v="36"/>
    <n v="8.7668609086629767E-2"/>
    <s v="#TeslaCoInnovation,#AnytimeIsTeslaTime"/>
    <x v="3"/>
  </r>
  <r>
    <s v="P253"/>
    <x v="1"/>
    <d v="2024-08-03T00:00:00"/>
    <x v="1"/>
    <s v="Check out our latest reel on twitter!"/>
    <n v="3791"/>
    <n v="593"/>
    <n v="228"/>
    <n v="53074"/>
    <n v="52613"/>
    <n v="205"/>
    <n v="8.6897539284772202E-2"/>
    <s v="#EVRevolution"/>
    <x v="0"/>
  </r>
  <r>
    <s v="P084"/>
    <x v="3"/>
    <d v="2024-12-09T00:00:00"/>
    <x v="4"/>
    <s v="Check out our latest image on facebook!"/>
    <n v="1841"/>
    <n v="851"/>
    <n v="342"/>
    <n v="34979"/>
    <n v="34154"/>
    <n v="255"/>
    <n v="8.6737756939878216E-2"/>
    <s v="#FutureOfDriving"/>
    <x v="1"/>
  </r>
  <r>
    <s v="P162"/>
    <x v="3"/>
    <d v="2025-04-01T00:00:00"/>
    <x v="0"/>
    <s v="Check out our latest story on facebook!"/>
    <n v="3430"/>
    <n v="566"/>
    <n v="164"/>
    <n v="48020"/>
    <n v="47305"/>
    <n v="120"/>
    <n v="8.6630570595585168E-2"/>
    <s v="#FutureOfDriving"/>
    <x v="0"/>
  </r>
  <r>
    <s v="P208"/>
    <x v="2"/>
    <d v="2024-06-24T00:00:00"/>
    <x v="2"/>
    <s v="Check out our latest video on youtube!"/>
    <n v="2949"/>
    <n v="476"/>
    <n v="403"/>
    <n v="44235"/>
    <n v="43705"/>
    <n v="135"/>
    <n v="8.6537809426924378E-2"/>
    <s v="#TeslaCoInnovation"/>
    <x v="3"/>
  </r>
  <r>
    <s v="P240"/>
    <x v="1"/>
    <d v="2024-08-26T00:00:00"/>
    <x v="3"/>
    <s v="Check out our latest carousel on twitter!"/>
    <n v="929"/>
    <n v="192"/>
    <n v="322"/>
    <n v="16722"/>
    <n v="15996"/>
    <n v="145"/>
    <n v="8.6293505561535699E-2"/>
    <s v="#EVRevolution,#TeslaCoInnovation,#AnytimeIsTeslaTime"/>
    <x v="2"/>
  </r>
  <r>
    <s v="P231"/>
    <x v="0"/>
    <d v="2025-05-01T00:00:00"/>
    <x v="5"/>
    <s v="Check out our latest text on instagram!"/>
    <n v="1430"/>
    <n v="376"/>
    <n v="33"/>
    <n v="21450"/>
    <n v="20509"/>
    <n v="251"/>
    <n v="8.5734265734265735E-2"/>
    <s v="#FutureOfDriving"/>
    <x v="4"/>
  </r>
  <r>
    <s v="P106"/>
    <x v="0"/>
    <d v="2025-02-04T00:00:00"/>
    <x v="4"/>
    <s v="Check out our latest image on instagram!"/>
    <n v="4619"/>
    <n v="821"/>
    <n v="499"/>
    <n v="69285"/>
    <n v="69141"/>
    <n v="298"/>
    <n v="8.5718409468138843E-2"/>
    <s v="#TeslaCoInnovation"/>
    <x v="1"/>
  </r>
  <r>
    <s v="P082"/>
    <x v="0"/>
    <d v="2024-07-24T00:00:00"/>
    <x v="4"/>
    <s v="Check out our latest image on instagram!"/>
    <n v="725"/>
    <n v="88"/>
    <n v="428"/>
    <n v="14500"/>
    <n v="13637"/>
    <n v="200"/>
    <n v="8.558620689655172E-2"/>
    <s v="#FutureOfDriving,#TeslaCoInnovation,#AnytimeIsTeslaTime"/>
    <x v="2"/>
  </r>
  <r>
    <s v="P199"/>
    <x v="2"/>
    <d v="2024-11-30T00:00:00"/>
    <x v="3"/>
    <s v="Check out our latest carousel on youtube!"/>
    <n v="2509"/>
    <n v="324"/>
    <n v="171"/>
    <n v="35126"/>
    <n v="34685"/>
    <n v="277"/>
    <n v="8.5520696919660646E-2"/>
    <s v="#TeslaCoInnovation"/>
    <x v="3"/>
  </r>
  <r>
    <s v="P188"/>
    <x v="2"/>
    <d v="2024-06-06T00:00:00"/>
    <x v="1"/>
    <s v="Check out our latest reel on youtube!"/>
    <n v="2728"/>
    <n v="533"/>
    <n v="215"/>
    <n v="40920"/>
    <n v="40816"/>
    <n v="137"/>
    <n v="8.4946236559139784E-2"/>
    <s v="#FutureOfDriving"/>
    <x v="3"/>
  </r>
  <r>
    <s v="P186"/>
    <x v="3"/>
    <d v="2024-08-24T00:00:00"/>
    <x v="3"/>
    <s v="Check out our latest carousel on facebook!"/>
    <n v="4292"/>
    <n v="51"/>
    <n v="392"/>
    <n v="55796"/>
    <n v="54826"/>
    <n v="264"/>
    <n v="8.4862714173059003E-2"/>
    <s v="#EVRevolution"/>
    <x v="2"/>
  </r>
  <r>
    <s v="P194"/>
    <x v="2"/>
    <d v="2024-10-02T00:00:00"/>
    <x v="0"/>
    <s v="Check out our latest story on youtube!"/>
    <n v="4350"/>
    <n v="771"/>
    <n v="7"/>
    <n v="60900"/>
    <n v="60592"/>
    <n v="195"/>
    <n v="8.4203612479474554E-2"/>
    <s v="#EVRevolution"/>
    <x v="4"/>
  </r>
  <r>
    <s v="P268"/>
    <x v="0"/>
    <d v="2025-04-13T00:00:00"/>
    <x v="1"/>
    <s v="Check out our latest reel on instagram!"/>
    <n v="4579"/>
    <n v="125"/>
    <n v="300"/>
    <n v="59527"/>
    <n v="59400"/>
    <n v="269"/>
    <n v="8.4062694239588759E-2"/>
    <s v="#EVRevolution"/>
    <x v="4"/>
  </r>
  <r>
    <s v="P290"/>
    <x v="0"/>
    <d v="2024-12-20T00:00:00"/>
    <x v="3"/>
    <s v="Check out our latest carousel on instagram!"/>
    <n v="2107"/>
    <n v="550"/>
    <n v="349"/>
    <n v="35819"/>
    <n v="35340"/>
    <n v="191"/>
    <n v="8.3921940869371006E-2"/>
    <s v="#EVRevolution"/>
    <x v="1"/>
  </r>
  <r>
    <s v="P187"/>
    <x v="1"/>
    <d v="2024-12-22T00:00:00"/>
    <x v="1"/>
    <s v="Check out our latest reel on twitter!"/>
    <n v="1644"/>
    <n v="546"/>
    <n v="150"/>
    <n v="27948"/>
    <n v="27184"/>
    <n v="300"/>
    <n v="8.3726921425504502E-2"/>
    <s v="#EVRevolution"/>
    <x v="2"/>
  </r>
  <r>
    <s v="P300"/>
    <x v="1"/>
    <d v="2024-08-31T00:00:00"/>
    <x v="3"/>
    <s v="Check out our latest carousel on twitter!"/>
    <n v="4494"/>
    <n v="717"/>
    <n v="45"/>
    <n v="62916"/>
    <n v="62688"/>
    <n v="191"/>
    <n v="8.3539958039290485E-2"/>
    <s v="#TeslaCoInnovation,#EVRevolution,#BetterWithTesla"/>
    <x v="4"/>
  </r>
  <r>
    <s v="P280"/>
    <x v="2"/>
    <d v="2024-10-21T00:00:00"/>
    <x v="2"/>
    <s v="Check out our latest video on youtube!"/>
    <n v="4275"/>
    <n v="680"/>
    <n v="385"/>
    <n v="64125"/>
    <n v="63650"/>
    <n v="104"/>
    <n v="8.3274853801169585E-2"/>
    <s v="#EVRevolution,#TeslaCoInnovation,#AnytimeIsTeslaTime"/>
    <x v="1"/>
  </r>
  <r>
    <s v="P261"/>
    <x v="0"/>
    <d v="2024-10-27T00:00:00"/>
    <x v="4"/>
    <s v="Check out our latest image on instagram!"/>
    <n v="4853"/>
    <n v="837"/>
    <n v="340"/>
    <n v="72795"/>
    <n v="72237"/>
    <n v="170"/>
    <n v="8.2835359571399134E-2"/>
    <s v="#EVRevolution"/>
    <x v="4"/>
  </r>
  <r>
    <s v="P209"/>
    <x v="1"/>
    <d v="2025-03-19T00:00:00"/>
    <x v="2"/>
    <s v="Check out our latest video on twitter!"/>
    <n v="3160"/>
    <n v="204"/>
    <n v="297"/>
    <n v="44240"/>
    <n v="43666"/>
    <n v="49"/>
    <n v="8.2753164556962022E-2"/>
    <s v="#FutureOfDriving,#AnytimeIsTeslaTime"/>
    <x v="1"/>
  </r>
  <r>
    <s v="P213"/>
    <x v="3"/>
    <d v="2025-05-01T00:00:00"/>
    <x v="3"/>
    <s v="Check out our latest carousel on facebook!"/>
    <n v="2696"/>
    <n v="628"/>
    <n v="443"/>
    <n v="45832"/>
    <n v="45632"/>
    <n v="248"/>
    <n v="8.21914819340199E-2"/>
    <s v="#EVRevolution"/>
    <x v="1"/>
  </r>
  <r>
    <s v="P202"/>
    <x v="3"/>
    <d v="2024-06-02T00:00:00"/>
    <x v="4"/>
    <s v="Check out our latest image on facebook!"/>
    <n v="1871"/>
    <n v="252"/>
    <n v="335"/>
    <n v="29936"/>
    <n v="29576"/>
    <n v="288"/>
    <n v="8.2108498129342594E-2"/>
    <s v="#EVRevolution"/>
    <x v="2"/>
  </r>
  <r>
    <s v="P078"/>
    <x v="1"/>
    <d v="2024-06-17T00:00:00"/>
    <x v="4"/>
    <s v="Check out our latest image on twitter!"/>
    <n v="954"/>
    <n v="324"/>
    <n v="288"/>
    <n v="19080"/>
    <n v="18859"/>
    <n v="21"/>
    <n v="8.2075471698113203E-2"/>
    <s v="#FutureOfDriving"/>
    <x v="1"/>
  </r>
  <r>
    <s v="P064"/>
    <x v="3"/>
    <d v="2024-08-17T00:00:00"/>
    <x v="4"/>
    <s v="Check out our latest image on facebook!"/>
    <n v="2878"/>
    <n v="248"/>
    <n v="416"/>
    <n v="43170"/>
    <n v="42667"/>
    <n v="75"/>
    <n v="8.2047718322909427E-2"/>
    <s v="#FutureOfDriving"/>
    <x v="2"/>
  </r>
  <r>
    <s v="P228"/>
    <x v="0"/>
    <d v="2024-07-01T00:00:00"/>
    <x v="0"/>
    <s v="Check out our latest story on instagram!"/>
    <n v="4808"/>
    <n v="772"/>
    <n v="320"/>
    <n v="72120"/>
    <n v="71696"/>
    <n v="195"/>
    <n v="8.1808097615085965E-2"/>
    <s v="#EVRevolution"/>
    <x v="4"/>
  </r>
  <r>
    <s v="P076"/>
    <x v="1"/>
    <d v="2024-11-07T00:00:00"/>
    <x v="0"/>
    <s v="Check out our latest story on twitter!"/>
    <n v="1121"/>
    <n v="135"/>
    <n v="18"/>
    <n v="15694"/>
    <n v="14957"/>
    <n v="99"/>
    <n v="8.1177520071364848E-2"/>
    <s v="#TeslaCoInnovation"/>
    <x v="1"/>
  </r>
  <r>
    <s v="P057"/>
    <x v="1"/>
    <d v="2024-10-21T00:00:00"/>
    <x v="2"/>
    <s v="Check out our latest video on twitter!"/>
    <n v="2825"/>
    <n v="535"/>
    <n v="295"/>
    <n v="45200"/>
    <n v="44739"/>
    <n v="169"/>
    <n v="8.0862831858407078E-2"/>
    <s v="#TeslaCoInnovation"/>
    <x v="4"/>
  </r>
  <r>
    <s v="P122"/>
    <x v="0"/>
    <d v="2024-10-02T00:00:00"/>
    <x v="5"/>
    <s v="Check out our latest text on instagram!"/>
    <n v="3432"/>
    <n v="869"/>
    <n v="123"/>
    <n v="54912"/>
    <n v="53916"/>
    <n v="264"/>
    <n v="8.0565268065268064E-2"/>
    <s v="#EVRevolution"/>
    <x v="3"/>
  </r>
  <r>
    <s v="P022"/>
    <x v="3"/>
    <d v="2025-02-27T00:00:00"/>
    <x v="5"/>
    <s v="Check out our latest text on facebook!"/>
    <n v="1570"/>
    <n v="187"/>
    <n v="260"/>
    <n v="25120"/>
    <n v="24613"/>
    <n v="133"/>
    <n v="8.0294585987261149E-2"/>
    <s v="#TeslaCoInnovation"/>
    <x v="1"/>
  </r>
  <r>
    <s v="P118"/>
    <x v="3"/>
    <d v="2024-11-04T00:00:00"/>
    <x v="4"/>
    <s v="Check out our latest image on facebook!"/>
    <n v="4551"/>
    <n v="714"/>
    <n v="207"/>
    <n v="68265"/>
    <n v="67754"/>
    <n v="57"/>
    <n v="8.0158206987475278E-2"/>
    <s v="#FutureOfDriving"/>
    <x v="2"/>
  </r>
  <r>
    <s v="P257"/>
    <x v="3"/>
    <d v="2025-04-06T00:00:00"/>
    <x v="4"/>
    <s v="Check out our latest image on facebook!"/>
    <n v="3090"/>
    <n v="697"/>
    <n v="164"/>
    <n v="49440"/>
    <n v="48524"/>
    <n v="25"/>
    <n v="7.9915048543689318E-2"/>
    <s v="#EVRevolution,#EVRevolution,#BetterWithTesla"/>
    <x v="3"/>
  </r>
  <r>
    <s v="P091"/>
    <x v="3"/>
    <d v="2025-03-24T00:00:00"/>
    <x v="4"/>
    <s v="Check out our latest image on facebook!"/>
    <n v="1263"/>
    <n v="397"/>
    <n v="357"/>
    <n v="25260"/>
    <n v="24615"/>
    <n v="137"/>
    <n v="7.984956452889945E-2"/>
    <s v="#EVRevolution"/>
    <x v="1"/>
  </r>
  <r>
    <s v="P274"/>
    <x v="1"/>
    <d v="2025-01-01T00:00:00"/>
    <x v="3"/>
    <s v="Check out our latest carousel on twitter!"/>
    <n v="3535"/>
    <n v="494"/>
    <n v="152"/>
    <n v="53025"/>
    <n v="52791"/>
    <n v="44"/>
    <n v="7.8849599245638849E-2"/>
    <s v="#TeslaCoInnovation"/>
    <x v="1"/>
  </r>
  <r>
    <s v="P051"/>
    <x v="3"/>
    <d v="2024-06-13T00:00:00"/>
    <x v="3"/>
    <s v="Check out our latest carousel on facebook!"/>
    <n v="2200"/>
    <n v="504"/>
    <n v="239"/>
    <n v="37400"/>
    <n v="36938"/>
    <n v="225"/>
    <n v="7.8689839572192513E-2"/>
    <s v="#FutureOfDriving"/>
    <x v="3"/>
  </r>
  <r>
    <s v="P080"/>
    <x v="0"/>
    <d v="2024-06-13T00:00:00"/>
    <x v="0"/>
    <s v="Check out our latest story on instagram!"/>
    <n v="2103"/>
    <n v="892"/>
    <n v="103"/>
    <n v="39957"/>
    <n v="39466"/>
    <n v="28"/>
    <n v="7.7533348349475686E-2"/>
    <s v="#FutureOfDriving"/>
    <x v="0"/>
  </r>
  <r>
    <s v="P230"/>
    <x v="3"/>
    <d v="2024-07-15T00:00:00"/>
    <x v="1"/>
    <s v="Check out our latest reel on facebook!"/>
    <n v="3663"/>
    <n v="17"/>
    <n v="295"/>
    <n v="51282"/>
    <n v="50567"/>
    <n v="84"/>
    <n v="7.7512577512577507E-2"/>
    <s v="#EVRevolution"/>
    <x v="2"/>
  </r>
  <r>
    <s v="P149"/>
    <x v="1"/>
    <d v="2024-06-16T00:00:00"/>
    <x v="2"/>
    <s v="Check out our latest video on twitter!"/>
    <n v="1702"/>
    <n v="750"/>
    <n v="179"/>
    <n v="34040"/>
    <n v="33174"/>
    <n v="76"/>
    <n v="7.7291421856639245E-2"/>
    <s v="#EVRevolution"/>
    <x v="4"/>
  </r>
  <r>
    <s v="P021"/>
    <x v="0"/>
    <d v="2025-01-04T00:00:00"/>
    <x v="1"/>
    <s v="Check out our latest reel on instagram!"/>
    <n v="4838"/>
    <n v="640"/>
    <n v="128"/>
    <n v="72570"/>
    <n v="72396"/>
    <n v="83"/>
    <n v="7.7249552156538517E-2"/>
    <s v="#FutureOfDriving"/>
    <x v="1"/>
  </r>
  <r>
    <s v="P023"/>
    <x v="3"/>
    <d v="2024-11-06T00:00:00"/>
    <x v="2"/>
    <s v="Check out our latest video on facebook!"/>
    <n v="1606"/>
    <n v="547"/>
    <n v="316"/>
    <n v="32120"/>
    <n v="31736"/>
    <n v="225"/>
    <n v="7.6867995018679955E-2"/>
    <s v="#TeslaCoInnovation,#AnytimeIsTeslaTime"/>
    <x v="3"/>
  </r>
  <r>
    <s v="P036"/>
    <x v="0"/>
    <d v="2025-04-19T00:00:00"/>
    <x v="0"/>
    <s v="Check out our latest story on instagram!"/>
    <n v="4518"/>
    <n v="285"/>
    <n v="383"/>
    <n v="67770"/>
    <n v="67621"/>
    <n v="31"/>
    <n v="7.6523535487678915E-2"/>
    <s v="#EVRevolution"/>
    <x v="3"/>
  </r>
  <r>
    <s v="P002"/>
    <x v="1"/>
    <d v="2025-04-03T00:00:00"/>
    <x v="5"/>
    <s v="Check out our latest text on twitter!"/>
    <n v="4054"/>
    <n v="389"/>
    <n v="493"/>
    <n v="64864"/>
    <n v="64383"/>
    <n v="117"/>
    <n v="7.6097681302417369E-2"/>
    <s v="#TeslaCoInnovation,#BetterWithTesla"/>
    <x v="3"/>
  </r>
  <r>
    <s v="P234"/>
    <x v="3"/>
    <d v="2024-06-01T00:00:00"/>
    <x v="5"/>
    <s v="Check out our latest text on facebook!"/>
    <n v="1272"/>
    <n v="465"/>
    <n v="99"/>
    <n v="24168"/>
    <n v="23719"/>
    <n v="42"/>
    <n v="7.5968222442899705E-2"/>
    <s v="#TeslaCoInnovation"/>
    <x v="0"/>
  </r>
  <r>
    <s v="P013"/>
    <x v="2"/>
    <d v="2024-11-18T00:00:00"/>
    <x v="3"/>
    <s v="Check out our latest carousel on youtube!"/>
    <n v="1171"/>
    <n v="286"/>
    <n v="231"/>
    <n v="22249"/>
    <n v="21282"/>
    <n v="114"/>
    <n v="7.5868578363072495E-2"/>
    <s v="#EVRevolution"/>
    <x v="4"/>
  </r>
  <r>
    <s v="P016"/>
    <x v="3"/>
    <d v="2024-08-26T00:00:00"/>
    <x v="5"/>
    <s v="Check out our latest text on facebook!"/>
    <n v="3452"/>
    <n v="377"/>
    <n v="360"/>
    <n v="55232"/>
    <n v="55075"/>
    <n v="87"/>
    <n v="7.5843713789107758E-2"/>
    <s v="#FutureOfDriving"/>
    <x v="2"/>
  </r>
  <r>
    <s v="P179"/>
    <x v="3"/>
    <d v="2024-07-15T00:00:00"/>
    <x v="3"/>
    <s v="Check out our latest carousel on facebook!"/>
    <n v="3796"/>
    <n v="667"/>
    <n v="395"/>
    <n v="64532"/>
    <n v="63550"/>
    <n v="292"/>
    <n v="7.5280481001673588E-2"/>
    <s v="#TeslaCoInnovation"/>
    <x v="0"/>
  </r>
  <r>
    <s v="P045"/>
    <x v="3"/>
    <d v="2024-11-01T00:00:00"/>
    <x v="2"/>
    <s v="Check out our latest video on facebook!"/>
    <n v="3371"/>
    <n v="106"/>
    <n v="327"/>
    <n v="50565"/>
    <n v="49816"/>
    <n v="176"/>
    <n v="7.5229902106199939E-2"/>
    <s v="#FutureOfDriving"/>
    <x v="4"/>
  </r>
  <r>
    <s v="P168"/>
    <x v="3"/>
    <d v="2024-11-12T00:00:00"/>
    <x v="5"/>
    <s v="Check out our latest text on facebook!"/>
    <n v="2418"/>
    <n v="754"/>
    <n v="54"/>
    <n v="43524"/>
    <n v="42743"/>
    <n v="182"/>
    <n v="7.412002573292896E-2"/>
    <s v="#EVRevolution"/>
    <x v="4"/>
  </r>
  <r>
    <s v="P111"/>
    <x v="2"/>
    <d v="2024-11-23T00:00:00"/>
    <x v="4"/>
    <s v="Check out our latest image on youtube!"/>
    <n v="2719"/>
    <n v="17"/>
    <n v="285"/>
    <n v="40785"/>
    <n v="40281"/>
    <n v="40"/>
    <n v="7.4071349760941527E-2"/>
    <s v="#TeslaCoInnovation"/>
    <x v="3"/>
  </r>
  <r>
    <s v="P101"/>
    <x v="2"/>
    <d v="2024-10-18T00:00:00"/>
    <x v="2"/>
    <s v="Check out our latest video on youtube!"/>
    <n v="4450"/>
    <n v="983"/>
    <n v="143"/>
    <n v="75650"/>
    <n v="75008"/>
    <n v="12"/>
    <n v="7.3707865168539333E-2"/>
    <s v="#FutureOfDriving"/>
    <x v="2"/>
  </r>
  <r>
    <s v="P048"/>
    <x v="1"/>
    <d v="2025-03-11T00:00:00"/>
    <x v="0"/>
    <s v="Check out our latest story on twitter!"/>
    <n v="1950"/>
    <n v="295"/>
    <n v="478"/>
    <n v="37050"/>
    <n v="36272"/>
    <n v="119"/>
    <n v="7.349527665317139E-2"/>
    <s v="#TeslaCoInnovation"/>
    <x v="0"/>
  </r>
  <r>
    <s v="P250"/>
    <x v="3"/>
    <d v="2024-06-22T00:00:00"/>
    <x v="1"/>
    <s v="Check out our latest reel on facebook!"/>
    <n v="3813"/>
    <n v="935"/>
    <n v="274"/>
    <n v="68634"/>
    <n v="68488"/>
    <n v="251"/>
    <n v="7.3170731707317069E-2"/>
    <s v="#FutureOfDriving"/>
    <x v="0"/>
  </r>
  <r>
    <s v="P289"/>
    <x v="3"/>
    <d v="2024-11-28T00:00:00"/>
    <x v="3"/>
    <s v="Check out our latest carousel on facebook!"/>
    <n v="2751"/>
    <n v="33"/>
    <n v="430"/>
    <n v="44016"/>
    <n v="43415"/>
    <n v="129"/>
    <n v="7.3018902217375503E-2"/>
    <s v="#FutureOfDriving"/>
    <x v="0"/>
  </r>
  <r>
    <s v="P233"/>
    <x v="3"/>
    <d v="2025-03-08T00:00:00"/>
    <x v="4"/>
    <s v="Check out our latest image on facebook!"/>
    <n v="2382"/>
    <n v="265"/>
    <n v="134"/>
    <n v="38112"/>
    <n v="37437"/>
    <n v="249"/>
    <n v="7.2969143576826198E-2"/>
    <s v="#FutureOfDriving"/>
    <x v="1"/>
  </r>
  <r>
    <s v="P172"/>
    <x v="3"/>
    <d v="2024-08-14T00:00:00"/>
    <x v="3"/>
    <s v="Check out our latest carousel on facebook!"/>
    <n v="3073"/>
    <n v="553"/>
    <n v="174"/>
    <n v="52241"/>
    <n v="51605"/>
    <n v="246"/>
    <n v="7.2739802071170159E-2"/>
    <s v="#EVRevolution"/>
    <x v="2"/>
  </r>
  <r>
    <s v="P238"/>
    <x v="1"/>
    <d v="2024-07-16T00:00:00"/>
    <x v="5"/>
    <s v="Check out our latest text on twitter!"/>
    <n v="4725"/>
    <n v="400"/>
    <n v="362"/>
    <n v="75600"/>
    <n v="74927"/>
    <n v="43"/>
    <n v="7.2579365079365077E-2"/>
    <s v="#FutureOfDriving"/>
    <x v="1"/>
  </r>
  <r>
    <s v="P189"/>
    <x v="3"/>
    <d v="2025-03-24T00:00:00"/>
    <x v="1"/>
    <s v="Check out our latest reel on facebook!"/>
    <n v="3360"/>
    <n v="525"/>
    <n v="500"/>
    <n v="60480"/>
    <n v="59610"/>
    <n v="192"/>
    <n v="7.2503306878306875E-2"/>
    <s v="#TeslaCoInnovation"/>
    <x v="4"/>
  </r>
  <r>
    <s v="P039"/>
    <x v="3"/>
    <d v="2024-11-25T00:00:00"/>
    <x v="4"/>
    <s v="Check out our latest image on facebook!"/>
    <n v="3564"/>
    <n v="629"/>
    <n v="177"/>
    <n v="60588"/>
    <n v="59627"/>
    <n v="92"/>
    <n v="7.2126493695121141E-2"/>
    <s v="#TeslaCoInnovation"/>
    <x v="0"/>
  </r>
  <r>
    <s v="P215"/>
    <x v="3"/>
    <d v="2025-05-06T00:00:00"/>
    <x v="4"/>
    <s v="Check out our latest image on facebook!"/>
    <n v="4872"/>
    <n v="925"/>
    <n v="176"/>
    <n v="82824"/>
    <n v="82543"/>
    <n v="89"/>
    <n v="7.2116777745580993E-2"/>
    <s v="#EVRevolution"/>
    <x v="3"/>
  </r>
  <r>
    <s v="P024"/>
    <x v="3"/>
    <d v="2025-01-23T00:00:00"/>
    <x v="2"/>
    <s v="Check out our latest video on facebook!"/>
    <n v="3961"/>
    <n v="761"/>
    <n v="131"/>
    <n v="67337"/>
    <n v="66615"/>
    <n v="161"/>
    <n v="7.2070332803659209E-2"/>
    <s v="#FutureOfDriving"/>
    <x v="2"/>
  </r>
  <r>
    <s v="P099"/>
    <x v="2"/>
    <d v="2024-07-02T00:00:00"/>
    <x v="3"/>
    <s v="Check out our latest carousel on youtube!"/>
    <n v="4171"/>
    <n v="548"/>
    <n v="86"/>
    <n v="66736"/>
    <n v="66634"/>
    <n v="173"/>
    <n v="7.2000119875329657E-2"/>
    <s v="#FutureOfDriving"/>
    <x v="2"/>
  </r>
  <r>
    <s v="P010"/>
    <x v="3"/>
    <d v="2025-03-11T00:00:00"/>
    <x v="4"/>
    <s v="Check out our latest image on facebook!"/>
    <n v="4241"/>
    <n v="902"/>
    <n v="47"/>
    <n v="72097"/>
    <n v="71598"/>
    <n v="167"/>
    <n v="7.198635172059864E-2"/>
    <s v="#TeslaCoInnovation"/>
    <x v="3"/>
  </r>
  <r>
    <s v="P291"/>
    <x v="3"/>
    <d v="2024-11-06T00:00:00"/>
    <x v="2"/>
    <s v="Check out our latest video on facebook!"/>
    <n v="4663"/>
    <n v="145"/>
    <n v="225"/>
    <n v="69945"/>
    <n v="69596"/>
    <n v="35"/>
    <n v="7.1956537279290869E-2"/>
    <s v="#EVRevolution"/>
    <x v="1"/>
  </r>
  <r>
    <s v="P133"/>
    <x v="3"/>
    <d v="2025-02-06T00:00:00"/>
    <x v="4"/>
    <s v="Check out our latest image on facebook!"/>
    <n v="2072"/>
    <n v="532"/>
    <n v="71"/>
    <n v="37296"/>
    <n v="36467"/>
    <n v="25"/>
    <n v="7.172350922350923E-2"/>
    <s v="#TeslaCoInnovation"/>
    <x v="1"/>
  </r>
  <r>
    <s v="P027"/>
    <x v="2"/>
    <d v="2024-09-17T00:00:00"/>
    <x v="5"/>
    <s v="Check out our latest text on youtube!"/>
    <n v="2076"/>
    <n v="195"/>
    <n v="104"/>
    <n v="33216"/>
    <n v="32244"/>
    <n v="51"/>
    <n v="7.1501685934489398E-2"/>
    <s v="#FutureOfDriving"/>
    <x v="1"/>
  </r>
  <r>
    <s v="P134"/>
    <x v="1"/>
    <d v="2025-04-24T00:00:00"/>
    <x v="1"/>
    <s v="Check out our latest reel on twitter!"/>
    <n v="3731"/>
    <n v="115"/>
    <n v="135"/>
    <n v="55965"/>
    <n v="55436"/>
    <n v="103"/>
    <n v="7.1133744304476013E-2"/>
    <s v="#TeslaCoInnovation"/>
    <x v="4"/>
  </r>
  <r>
    <s v="P090"/>
    <x v="0"/>
    <d v="2024-06-03T00:00:00"/>
    <x v="4"/>
    <s v="Check out our latest image on instagram!"/>
    <n v="3861"/>
    <n v="960"/>
    <n v="101"/>
    <n v="69498"/>
    <n v="68817"/>
    <n v="297"/>
    <n v="7.0822181933293038E-2"/>
    <s v="#TeslaCoInnovation"/>
    <x v="1"/>
  </r>
  <r>
    <s v="P034"/>
    <x v="3"/>
    <d v="2025-03-26T00:00:00"/>
    <x v="5"/>
    <s v="Check out our latest text on facebook!"/>
    <n v="1652"/>
    <n v="89"/>
    <n v="357"/>
    <n v="29736"/>
    <n v="28771"/>
    <n v="215"/>
    <n v="7.055421038471886E-2"/>
    <s v="#TeslaCoInnovation"/>
    <x v="2"/>
  </r>
  <r>
    <s v="P007"/>
    <x v="1"/>
    <d v="2024-06-24T00:00:00"/>
    <x v="3"/>
    <s v="Check out our latest carousel on twitter!"/>
    <n v="3860"/>
    <n v="201"/>
    <n v="279"/>
    <n v="61760"/>
    <n v="61660"/>
    <n v="235"/>
    <n v="7.0272020725388601E-2"/>
    <s v="#TeslaCoInnovation"/>
    <x v="3"/>
  </r>
  <r>
    <s v="P142"/>
    <x v="2"/>
    <d v="2025-03-25T00:00:00"/>
    <x v="0"/>
    <s v="Check out our latest story on youtube!"/>
    <n v="2070"/>
    <n v="275"/>
    <n v="386"/>
    <n v="39330"/>
    <n v="38627"/>
    <n v="114"/>
    <n v="6.9438087973557078E-2"/>
    <s v="#FutureOfDriving"/>
    <x v="1"/>
  </r>
  <r>
    <s v="P127"/>
    <x v="3"/>
    <d v="2025-01-27T00:00:00"/>
    <x v="1"/>
    <s v="Check out our latest reel on facebook!"/>
    <n v="3452"/>
    <n v="652"/>
    <n v="442"/>
    <n v="65588"/>
    <n v="65049"/>
    <n v="158"/>
    <n v="6.9311459413307311E-2"/>
    <s v="#FutureOfDriving"/>
    <x v="2"/>
  </r>
  <r>
    <s v="P170"/>
    <x v="1"/>
    <d v="2025-04-28T00:00:00"/>
    <x v="5"/>
    <s v="Check out our latest text on twitter!"/>
    <n v="3577"/>
    <n v="596"/>
    <n v="493"/>
    <n v="67963"/>
    <n v="67839"/>
    <n v="53"/>
    <n v="6.8655003457763777E-2"/>
    <s v="#TeslaCoInnovation"/>
    <x v="2"/>
  </r>
  <r>
    <s v="P095"/>
    <x v="0"/>
    <d v="2024-11-08T00:00:00"/>
    <x v="5"/>
    <s v="Check out our latest text on instagram!"/>
    <n v="3182"/>
    <n v="559"/>
    <n v="160"/>
    <n v="57276"/>
    <n v="56890"/>
    <n v="163"/>
    <n v="6.8108806480899509E-2"/>
    <s v="#FutureOfDriving"/>
    <x v="1"/>
  </r>
  <r>
    <s v="P288"/>
    <x v="2"/>
    <d v="2025-04-17T00:00:00"/>
    <x v="3"/>
    <s v="Check out our latest carousel on youtube!"/>
    <n v="4780"/>
    <n v="691"/>
    <n v="380"/>
    <n v="86040"/>
    <n v="85743"/>
    <n v="262"/>
    <n v="6.800325430032543E-2"/>
    <s v="#FutureOfDriving"/>
    <x v="2"/>
  </r>
  <r>
    <s v="P237"/>
    <x v="0"/>
    <d v="2024-10-22T00:00:00"/>
    <x v="0"/>
    <s v="Check out our latest story on instagram!"/>
    <n v="3770"/>
    <n v="917"/>
    <n v="129"/>
    <n v="71630"/>
    <n v="71322"/>
    <n v="76"/>
    <n v="6.7234398994834563E-2"/>
    <s v="#FutureOfDriving"/>
    <x v="4"/>
  </r>
  <r>
    <s v="P270"/>
    <x v="2"/>
    <d v="2025-01-15T00:00:00"/>
    <x v="1"/>
    <s v="Check out our latest reel on youtube!"/>
    <n v="3774"/>
    <n v="239"/>
    <n v="39"/>
    <n v="60384"/>
    <n v="59490"/>
    <n v="241"/>
    <n v="6.7103868574456813E-2"/>
    <s v="#TeslaCoInnovation"/>
    <x v="2"/>
  </r>
  <r>
    <s v="P005"/>
    <x v="2"/>
    <d v="2024-06-26T00:00:00"/>
    <x v="1"/>
    <s v="Check out our latest reel on youtube!"/>
    <n v="3557"/>
    <n v="687"/>
    <n v="424"/>
    <n v="71140"/>
    <n v="70701"/>
    <n v="224"/>
    <n v="6.5617093055946027E-2"/>
    <s v="#EVRevolution,#TeslaCoInnovation"/>
    <x v="4"/>
  </r>
  <r>
    <s v="P086"/>
    <x v="2"/>
    <d v="2025-01-27T00:00:00"/>
    <x v="5"/>
    <s v="Check out our latest text on youtube!"/>
    <n v="3428"/>
    <n v="305"/>
    <n v="85"/>
    <n v="58276"/>
    <n v="58052"/>
    <n v="242"/>
    <n v="6.5515821264328367E-2"/>
    <s v="#EVRevolution,#BetterWithTesla"/>
    <x v="1"/>
  </r>
  <r>
    <s v="P144"/>
    <x v="2"/>
    <d v="2024-10-28T00:00:00"/>
    <x v="0"/>
    <s v="Check out our latest story on youtube!"/>
    <n v="4929"/>
    <n v="749"/>
    <n v="452"/>
    <n v="93651"/>
    <n v="92810"/>
    <n v="66"/>
    <n v="6.5455787978772245E-2"/>
    <s v="#EVRevolution"/>
    <x v="1"/>
  </r>
  <r>
    <s v="P197"/>
    <x v="1"/>
    <d v="2024-10-22T00:00:00"/>
    <x v="1"/>
    <s v="Check out our latest reel on twitter!"/>
    <n v="4782"/>
    <n v="721"/>
    <n v="82"/>
    <n v="86076"/>
    <n v="85339"/>
    <n v="19"/>
    <n v="6.4884520656164318E-2"/>
    <s v="#EVRevolution"/>
    <x v="4"/>
  </r>
  <r>
    <s v="P135"/>
    <x v="3"/>
    <d v="2024-11-28T00:00:00"/>
    <x v="5"/>
    <s v="Check out our latest text on facebook!"/>
    <n v="4213"/>
    <n v="253"/>
    <n v="434"/>
    <n v="75834"/>
    <n v="75437"/>
    <n v="272"/>
    <n v="6.461481657304112E-2"/>
    <s v="#FutureOfDriving"/>
    <x v="1"/>
  </r>
  <r>
    <s v="P073"/>
    <x v="3"/>
    <d v="2024-10-18T00:00:00"/>
    <x v="0"/>
    <s v="Check out our latest story on facebook!"/>
    <n v="4126"/>
    <n v="426"/>
    <n v="486"/>
    <n v="78394"/>
    <n v="77798"/>
    <n v="88"/>
    <n v="6.4265122330790625E-2"/>
    <s v="#FutureOfDriving"/>
    <x v="1"/>
  </r>
  <r>
    <s v="P267"/>
    <x v="1"/>
    <d v="2024-10-04T00:00:00"/>
    <x v="1"/>
    <s v="Check out our latest reel on twitter!"/>
    <n v="4187"/>
    <n v="66"/>
    <n v="31"/>
    <n v="66992"/>
    <n v="66614"/>
    <n v="62"/>
    <n v="6.3947934081681396E-2"/>
    <s v="#FutureOfDriving"/>
    <x v="0"/>
  </r>
  <r>
    <s v="P020"/>
    <x v="0"/>
    <d v="2024-09-09T00:00:00"/>
    <x v="3"/>
    <s v="Check out our latest carousel on instagram!"/>
    <n v="4054"/>
    <n v="488"/>
    <n v="373"/>
    <n v="77026"/>
    <n v="76881"/>
    <n v="25"/>
    <n v="6.3809622724794221E-2"/>
    <s v="#TeslaCoInnovation"/>
    <x v="4"/>
  </r>
  <r>
    <s v="P067"/>
    <x v="3"/>
    <d v="2025-03-29T00:00:00"/>
    <x v="3"/>
    <s v="Check out our latest carousel on facebook!"/>
    <n v="4712"/>
    <n v="568"/>
    <n v="127"/>
    <n v="84816"/>
    <n v="84691"/>
    <n v="100"/>
    <n v="6.3749764195434822E-2"/>
    <s v="#EVRevolution"/>
    <x v="2"/>
  </r>
  <r>
    <s v="P150"/>
    <x v="2"/>
    <d v="2024-08-22T00:00:00"/>
    <x v="3"/>
    <s v="Check out our latest carousel on youtube!"/>
    <n v="4295"/>
    <n v="853"/>
    <n v="325"/>
    <n v="85900"/>
    <n v="85788"/>
    <n v="290"/>
    <n v="6.3713620488940623E-2"/>
    <s v="#TeslaCoInnovation"/>
    <x v="1"/>
  </r>
  <r>
    <s v="P281"/>
    <x v="2"/>
    <d v="2025-03-22T00:00:00"/>
    <x v="4"/>
    <s v="Check out our latest image on youtube!"/>
    <n v="3166"/>
    <n v="90"/>
    <n v="341"/>
    <n v="56988"/>
    <n v="56125"/>
    <n v="135"/>
    <n v="6.3118551273952411E-2"/>
    <s v="#EVRevolution"/>
    <x v="3"/>
  </r>
  <r>
    <s v="P217"/>
    <x v="3"/>
    <d v="2024-12-03T00:00:00"/>
    <x v="4"/>
    <s v="Check out our latest image on facebook!"/>
    <n v="4606"/>
    <n v="931"/>
    <n v="230"/>
    <n v="92120"/>
    <n v="91440"/>
    <n v="56"/>
    <n v="6.2603126356925748E-2"/>
    <s v="#TeslaCoInnovation"/>
    <x v="0"/>
  </r>
  <r>
    <s v="P200"/>
    <x v="3"/>
    <d v="2025-04-07T00:00:00"/>
    <x v="1"/>
    <s v="Check out our latest reel on facebook!"/>
    <n v="3718"/>
    <n v="385"/>
    <n v="310"/>
    <n v="70642"/>
    <n v="69749"/>
    <n v="233"/>
    <n v="6.246991874522239E-2"/>
    <s v="#TeslaCoInnovation"/>
    <x v="3"/>
  </r>
  <r>
    <s v="P107"/>
    <x v="2"/>
    <d v="2024-06-21T00:00:00"/>
    <x v="4"/>
    <s v="Check out our latest image on youtube!"/>
    <n v="4832"/>
    <n v="893"/>
    <n v="10"/>
    <n v="91808"/>
    <n v="91296"/>
    <n v="182"/>
    <n v="6.2467323109097243E-2"/>
    <s v="#TeslaCoInnovation"/>
    <x v="0"/>
  </r>
  <r>
    <s v="P115"/>
    <x v="1"/>
    <d v="2025-05-11T00:00:00"/>
    <x v="4"/>
    <s v="Check out our latest image on twitter!"/>
    <n v="2493"/>
    <n v="97"/>
    <n v="44"/>
    <n v="42381"/>
    <n v="41991"/>
    <n v="242"/>
    <n v="6.2150491965739366E-2"/>
    <s v="#TeslaCoInnovation,#AnytimeIsTeslaTime"/>
    <x v="1"/>
  </r>
  <r>
    <s v="P223"/>
    <x v="1"/>
    <d v="2024-11-12T00:00:00"/>
    <x v="4"/>
    <s v="Check out our latest image on twitter!"/>
    <n v="3338"/>
    <n v="277"/>
    <n v="118"/>
    <n v="60084"/>
    <n v="59842"/>
    <n v="252"/>
    <n v="6.2129685107516146E-2"/>
    <s v="#TeslaCoInnovation"/>
    <x v="0"/>
  </r>
  <r>
    <s v="P279"/>
    <x v="2"/>
    <d v="2024-09-02T00:00:00"/>
    <x v="4"/>
    <s v="Check out our latest image on youtube!"/>
    <n v="4905"/>
    <n v="845"/>
    <n v="129"/>
    <n v="98100"/>
    <n v="97772"/>
    <n v="279"/>
    <n v="5.9928644240570844E-2"/>
    <s v="#TeslaCoInnovation"/>
    <x v="3"/>
  </r>
  <r>
    <s v="P025"/>
    <x v="1"/>
    <d v="2025-04-10T00:00:00"/>
    <x v="3"/>
    <s v="Check out our latest carousel on twitter!"/>
    <n v="3128"/>
    <n v="211"/>
    <n v="197"/>
    <n v="59432"/>
    <n v="59182"/>
    <n v="238"/>
    <n v="5.9496567505720827E-2"/>
    <s v="#EVRevolution"/>
    <x v="0"/>
  </r>
  <r>
    <s v="P015"/>
    <x v="3"/>
    <d v="2024-10-24T00:00:00"/>
    <x v="2"/>
    <s v="Check out our latest video on facebook!"/>
    <n v="3888"/>
    <n v="604"/>
    <n v="128"/>
    <n v="77760"/>
    <n v="77167"/>
    <n v="20"/>
    <n v="5.941358024691358E-2"/>
    <s v="#FutureOfDriving"/>
    <x v="4"/>
  </r>
  <r>
    <s v="P296"/>
    <x v="1"/>
    <d v="2025-02-11T00:00:00"/>
    <x v="2"/>
    <s v="Check out our latest video on twitter!"/>
    <n v="3440"/>
    <n v="13"/>
    <n v="20"/>
    <n v="58480"/>
    <n v="58146"/>
    <n v="210"/>
    <n v="5.9387824897400819E-2"/>
    <s v="#TeslaCoInnovation,#SmoothLikeNitroTesla"/>
    <x v="1"/>
  </r>
  <r>
    <s v="P298"/>
    <x v="3"/>
    <d v="2024-10-24T00:00:00"/>
    <x v="4"/>
    <s v="Check out our latest image on facebook!"/>
    <n v="4303"/>
    <n v="451"/>
    <n v="286"/>
    <n v="86060"/>
    <n v="85823"/>
    <n v="14"/>
    <n v="5.8563792702765516E-2"/>
    <s v="#TeslaCoInnovation"/>
    <x v="2"/>
  </r>
  <r>
    <s v="P216"/>
    <x v="2"/>
    <d v="2024-07-29T00:00:00"/>
    <x v="0"/>
    <s v="Check out our latest story on youtube!"/>
    <n v="1509"/>
    <n v="88"/>
    <n v="163"/>
    <n v="30180"/>
    <n v="29689"/>
    <n v="119"/>
    <n v="5.8316766070245198E-2"/>
    <s v="#EVRevolution"/>
    <x v="3"/>
  </r>
  <r>
    <s v="P283"/>
    <x v="1"/>
    <d v="2025-05-09T00:00:00"/>
    <x v="1"/>
    <s v="Check out our latest reel on twitter!"/>
    <n v="3367"/>
    <n v="302"/>
    <n v="57"/>
    <n v="63973"/>
    <n v="63789"/>
    <n v="157"/>
    <n v="5.8243321401216137E-2"/>
    <s v="#FutureOfDriving"/>
    <x v="3"/>
  </r>
  <r>
    <s v="P256"/>
    <x v="2"/>
    <d v="2024-09-18T00:00:00"/>
    <x v="3"/>
    <s v="Check out our latest carousel on youtube!"/>
    <n v="2143"/>
    <n v="12"/>
    <n v="204"/>
    <n v="40717"/>
    <n v="40125"/>
    <n v="248"/>
    <n v="5.7936488444630008E-2"/>
    <s v="#EVRevolution"/>
    <x v="3"/>
  </r>
  <r>
    <s v="P030"/>
    <x v="0"/>
    <d v="2025-02-25T00:00:00"/>
    <x v="2"/>
    <s v="Check out our latest video on instagram!"/>
    <n v="3095"/>
    <n v="39"/>
    <n v="78"/>
    <n v="55710"/>
    <n v="54808"/>
    <n v="93"/>
    <n v="5.7655717106444085E-2"/>
    <s v="#EVRevolution"/>
    <x v="0"/>
  </r>
  <r>
    <s v="P203"/>
    <x v="0"/>
    <d v="2024-11-21T00:00:00"/>
    <x v="3"/>
    <s v="Check out our latest carousel on instagram!"/>
    <n v="3773"/>
    <n v="299"/>
    <n v="38"/>
    <n v="71687"/>
    <n v="71447"/>
    <n v="286"/>
    <n v="5.7332570758993957E-2"/>
    <s v="#FutureOfDriving"/>
    <x v="4"/>
  </r>
  <r>
    <s v="P225"/>
    <x v="1"/>
    <d v="2024-06-20T00:00:00"/>
    <x v="3"/>
    <s v="Check out our latest carousel on twitter!"/>
    <n v="4672"/>
    <n v="325"/>
    <n v="32"/>
    <n v="88768"/>
    <n v="87833"/>
    <n v="118"/>
    <n v="5.6653298485940883E-2"/>
    <s v="#EVRevolution"/>
    <x v="0"/>
  </r>
  <r>
    <s v="P145"/>
    <x v="0"/>
    <d v="2024-08-12T00:00:00"/>
    <x v="3"/>
    <s v="Check out our latest carousel on instagram!"/>
    <n v="1878"/>
    <n v="62"/>
    <n v="179"/>
    <n v="37560"/>
    <n v="36874"/>
    <n v="142"/>
    <n v="5.6416400425985093E-2"/>
    <s v="#TeslaCoInnovation"/>
    <x v="1"/>
  </r>
  <r>
    <s v="P190"/>
    <x v="2"/>
    <d v="2024-10-04T00:00:00"/>
    <x v="5"/>
    <s v="Check out our latest text on youtube!"/>
    <n v="1963"/>
    <n v="213"/>
    <n v="19"/>
    <n v="39260"/>
    <n v="38771"/>
    <n v="145"/>
    <n v="5.5909322465613857E-2"/>
    <s v="#FutureOfDriving"/>
    <x v="0"/>
  </r>
  <r>
    <s v="P003"/>
    <x v="2"/>
    <d v="2025-05-12T00:00:00"/>
    <x v="1"/>
    <s v="Check out our latest reel on youtube!"/>
    <n v="2795"/>
    <n v="105"/>
    <n v="49"/>
    <n v="53105"/>
    <n v="52307"/>
    <n v="204"/>
    <n v="5.5531494209584788E-2"/>
    <s v="#TeslaCoInnovation"/>
    <x v="2"/>
  </r>
  <r>
    <s v="P176"/>
    <x v="3"/>
    <d v="2024-06-20T00:00:00"/>
    <x v="2"/>
    <s v="Check out our latest video on facebook!"/>
    <n v="3798"/>
    <n v="31"/>
    <n v="279"/>
    <n v="75960"/>
    <n v="75813"/>
    <n v="266"/>
    <n v="5.4081095313322801E-2"/>
    <s v="#TeslaCoInnovation"/>
    <x v="4"/>
  </r>
  <r>
    <s v="P063"/>
    <x v="1"/>
    <d v="2024-07-31T00:00:00"/>
    <x v="3"/>
    <s v="Check out our latest carousel on twitter!"/>
    <n v="4507"/>
    <n v="217"/>
    <n v="13"/>
    <n v="90140"/>
    <n v="89591"/>
    <n v="125"/>
    <n v="5.2551586421122697E-2"/>
    <s v="#FutureOfDriving"/>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8">
  <r>
    <x v="0"/>
    <s v="Twitter"/>
    <d v="2024-12-23T00:00:00"/>
    <s v="Reel"/>
    <s v="Check out our latest reel on twitter!"/>
    <n v="1461"/>
    <n v="184"/>
    <n v="344"/>
    <n v="21915"/>
    <n v="21675"/>
    <n v="15"/>
    <n v="9.0759753593429152E-2"/>
    <x v="0"/>
    <s v="CybertruckLaunch"/>
  </r>
  <r>
    <x v="0"/>
    <s v="Twitter"/>
    <d v="2024-12-23T00:00:00"/>
    <s v="Reel"/>
    <s v="Check out our latest reel on twitter!"/>
    <n v="1461"/>
    <n v="184"/>
    <n v="344"/>
    <n v="21915"/>
    <n v="21675"/>
    <n v="15"/>
    <n v="9.0759753593429152E-2"/>
    <x v="1"/>
    <s v="CybertruckLaunch"/>
  </r>
  <r>
    <x v="1"/>
    <s v="Twitter"/>
    <d v="2025-04-03T00:00:00"/>
    <s v="Text"/>
    <s v="Check out our latest text on twitter!"/>
    <n v="4054"/>
    <n v="389"/>
    <n v="493"/>
    <n v="64864"/>
    <n v="64383"/>
    <n v="117"/>
    <n v="7.6097681302417369E-2"/>
    <x v="2"/>
    <s v="ModelYCampaign"/>
  </r>
  <r>
    <x v="1"/>
    <s v="Twitter"/>
    <d v="2025-04-03T00:00:00"/>
    <s v="Text"/>
    <s v="Check out our latest text on twitter!"/>
    <n v="4054"/>
    <n v="389"/>
    <n v="493"/>
    <n v="64864"/>
    <n v="64383"/>
    <n v="117"/>
    <n v="7.6097681302417369E-2"/>
    <x v="3"/>
    <s v="ModelYCampaign"/>
  </r>
  <r>
    <x v="2"/>
    <s v="YouTube"/>
    <d v="2025-05-12T00:00:00"/>
    <s v="Reel"/>
    <s v="Check out our latest reel on youtube!"/>
    <n v="2795"/>
    <n v="105"/>
    <n v="49"/>
    <n v="53105"/>
    <n v="52307"/>
    <n v="204"/>
    <n v="5.5531494209584788E-2"/>
    <x v="2"/>
    <s v="FSDUpdate"/>
  </r>
  <r>
    <x v="3"/>
    <s v="Instagram"/>
    <d v="2024-08-12T00:00:00"/>
    <s v="Story"/>
    <s v="Check out our latest story on instagram!"/>
    <n v="2404"/>
    <n v="363"/>
    <n v="138"/>
    <n v="19232"/>
    <n v="18636"/>
    <n v="128"/>
    <n v="0.15105033277870217"/>
    <x v="4"/>
    <s v="SustainabilityDrive"/>
  </r>
  <r>
    <x v="4"/>
    <s v="YouTube"/>
    <d v="2024-06-26T00:00:00"/>
    <s v="Reel"/>
    <s v="Check out our latest reel on youtube!"/>
    <n v="3557"/>
    <n v="687"/>
    <n v="424"/>
    <n v="71140"/>
    <n v="70701"/>
    <n v="224"/>
    <n v="6.5617093055946027E-2"/>
    <x v="4"/>
    <s v="CybertruckLaunch"/>
  </r>
  <r>
    <x v="4"/>
    <s v="YouTube"/>
    <d v="2024-06-26T00:00:00"/>
    <s v="Reel"/>
    <s v="Check out our latest reel on youtube!"/>
    <n v="3557"/>
    <n v="687"/>
    <n v="424"/>
    <n v="71140"/>
    <n v="70701"/>
    <n v="224"/>
    <n v="6.5617093055946027E-2"/>
    <x v="2"/>
    <s v="CybertruckLaunch"/>
  </r>
  <r>
    <x v="5"/>
    <s v="Facebook"/>
    <d v="2024-10-31T00:00:00"/>
    <s v="Carousel"/>
    <s v="Check out our latest carousel on facebook!"/>
    <n v="2945"/>
    <n v="930"/>
    <n v="355"/>
    <n v="23560"/>
    <n v="23275"/>
    <n v="256"/>
    <n v="0.17954159592529711"/>
    <x v="2"/>
    <s v="ModelYCampaign"/>
  </r>
  <r>
    <x v="6"/>
    <s v="Twitter"/>
    <d v="2024-06-24T00:00:00"/>
    <s v="Carousel"/>
    <s v="Check out our latest carousel on twitter!"/>
    <n v="3860"/>
    <n v="201"/>
    <n v="279"/>
    <n v="61760"/>
    <n v="61660"/>
    <n v="235"/>
    <n v="7.0272020725388601E-2"/>
    <x v="2"/>
    <s v="ModelYCampaign"/>
  </r>
  <r>
    <x v="7"/>
    <s v="YouTube"/>
    <d v="2024-07-13T00:00:00"/>
    <s v="Image"/>
    <s v="Check out our latest image on youtube!"/>
    <n v="3929"/>
    <n v="262"/>
    <n v="278"/>
    <n v="43219"/>
    <n v="42841"/>
    <n v="39"/>
    <n v="0.10340359564080613"/>
    <x v="4"/>
    <s v="SustainabilityDrive"/>
  </r>
  <r>
    <x v="8"/>
    <s v="Facebook"/>
    <d v="2024-08-30T00:00:00"/>
    <s v="Text"/>
    <s v="Check out our latest text on facebook!"/>
    <n v="3784"/>
    <n v="808"/>
    <n v="404"/>
    <n v="56760"/>
    <n v="56343"/>
    <n v="131"/>
    <n v="8.8019732205778717E-2"/>
    <x v="2"/>
    <s v="ModelYCampaign"/>
  </r>
  <r>
    <x v="9"/>
    <s v="Facebook"/>
    <d v="2025-03-11T00:00:00"/>
    <s v="Image"/>
    <s v="Check out our latest image on facebook!"/>
    <n v="4241"/>
    <n v="902"/>
    <n v="47"/>
    <n v="72097"/>
    <n v="71598"/>
    <n v="167"/>
    <n v="7.198635172059864E-2"/>
    <x v="2"/>
    <s v="ModelYCampaign"/>
  </r>
  <r>
    <x v="10"/>
    <s v="Instagram"/>
    <d v="2025-02-02T00:00:00"/>
    <s v="Story"/>
    <s v="Check out our latest story on instagram!"/>
    <n v="1792"/>
    <n v="614"/>
    <n v="497"/>
    <n v="25088"/>
    <n v="24675"/>
    <n v="65"/>
    <n v="0.11571269132653061"/>
    <x v="0"/>
    <s v="SustainabilityDrive"/>
  </r>
  <r>
    <x v="11"/>
    <s v="Facebook"/>
    <d v="2024-07-21T00:00:00"/>
    <s v="Reel"/>
    <s v="Check out our latest reel on facebook!"/>
    <n v="1946"/>
    <n v="686"/>
    <n v="377"/>
    <n v="23352"/>
    <n v="22982"/>
    <n v="213"/>
    <n v="0.12885405960945528"/>
    <x v="0"/>
    <s v="FSDUpdate"/>
  </r>
  <r>
    <x v="12"/>
    <s v="YouTube"/>
    <d v="2024-11-18T00:00:00"/>
    <s v="Carousel"/>
    <s v="Check out our latest carousel on youtube!"/>
    <n v="1171"/>
    <n v="286"/>
    <n v="231"/>
    <n v="22249"/>
    <n v="21282"/>
    <n v="114"/>
    <n v="7.5868578363072495E-2"/>
    <x v="4"/>
    <s v="CybertruckLaunch"/>
  </r>
  <r>
    <x v="13"/>
    <s v="Facebook"/>
    <d v="2025-02-16T00:00:00"/>
    <s v="Story"/>
    <s v="Check out our latest story on facebook!"/>
    <n v="4242"/>
    <n v="555"/>
    <n v="131"/>
    <n v="33936"/>
    <n v="33802"/>
    <n v="265"/>
    <n v="0.14521452145214522"/>
    <x v="0"/>
    <m/>
  </r>
  <r>
    <x v="14"/>
    <s v="Facebook"/>
    <d v="2024-10-24T00:00:00"/>
    <s v="Video"/>
    <s v="Check out our latest video on facebook!"/>
    <n v="3888"/>
    <n v="604"/>
    <n v="128"/>
    <n v="77760"/>
    <n v="77167"/>
    <n v="20"/>
    <n v="5.941358024691358E-2"/>
    <x v="0"/>
    <s v="CybertruckLaunch"/>
  </r>
  <r>
    <x v="15"/>
    <s v="Facebook"/>
    <d v="2024-08-26T00:00:00"/>
    <s v="Text"/>
    <s v="Check out our latest text on facebook!"/>
    <n v="3452"/>
    <n v="377"/>
    <n v="360"/>
    <n v="55232"/>
    <n v="55075"/>
    <n v="87"/>
    <n v="7.5843713789107758E-2"/>
    <x v="0"/>
    <s v="FSDUpdate"/>
  </r>
  <r>
    <x v="16"/>
    <s v="Facebook"/>
    <d v="2025-05-05T00:00:00"/>
    <s v="Text"/>
    <s v="Check out our latest text on facebook!"/>
    <n v="4441"/>
    <n v="511"/>
    <n v="70"/>
    <n v="53292"/>
    <n v="53082"/>
    <n v="159"/>
    <n v="9.4235532537716729E-2"/>
    <x v="4"/>
    <s v="SustainabilityDrive"/>
  </r>
  <r>
    <x v="17"/>
    <s v="Instagram"/>
    <d v="2024-08-19T00:00:00"/>
    <s v="Reel"/>
    <s v="Check out our latest reel on instagram!"/>
    <n v="3000"/>
    <n v="382"/>
    <n v="325"/>
    <n v="36000"/>
    <n v="35819"/>
    <n v="19"/>
    <n v="0.10297222222222223"/>
    <x v="0"/>
    <s v="CybertruckLaunch"/>
  </r>
  <r>
    <x v="18"/>
    <s v="Instagram"/>
    <d v="2024-06-23T00:00:00"/>
    <s v="Video"/>
    <s v="Check out our latest video on instagram!"/>
    <n v="1071"/>
    <n v="519"/>
    <n v="22"/>
    <n v="16065"/>
    <n v="15865"/>
    <n v="103"/>
    <n v="0.10034235916588857"/>
    <x v="2"/>
    <s v="SustainabilityDrive"/>
  </r>
  <r>
    <x v="19"/>
    <s v="Instagram"/>
    <d v="2024-09-09T00:00:00"/>
    <s v="Carousel"/>
    <s v="Check out our latest carousel on instagram!"/>
    <n v="4054"/>
    <n v="488"/>
    <n v="373"/>
    <n v="77026"/>
    <n v="76881"/>
    <n v="25"/>
    <n v="6.3809622724794221E-2"/>
    <x v="2"/>
    <s v="CybertruckLaunch"/>
  </r>
  <r>
    <x v="20"/>
    <s v="Instagram"/>
    <d v="2025-01-04T00:00:00"/>
    <s v="Reel"/>
    <s v="Check out our latest reel on instagram!"/>
    <n v="4838"/>
    <n v="640"/>
    <n v="128"/>
    <n v="72570"/>
    <n v="72396"/>
    <n v="83"/>
    <n v="7.7249552156538517E-2"/>
    <x v="0"/>
    <s v="SustainabilityDrive"/>
  </r>
  <r>
    <x v="21"/>
    <s v="Facebook"/>
    <d v="2025-02-27T00:00:00"/>
    <s v="Text"/>
    <s v="Check out our latest text on facebook!"/>
    <n v="1570"/>
    <n v="187"/>
    <n v="260"/>
    <n v="25120"/>
    <n v="24613"/>
    <n v="133"/>
    <n v="8.0294585987261149E-2"/>
    <x v="2"/>
    <s v="SustainabilityDrive"/>
  </r>
  <r>
    <x v="22"/>
    <s v="Facebook"/>
    <d v="2024-11-06T00:00:00"/>
    <s v="Video"/>
    <s v="Check out our latest video on facebook!"/>
    <n v="1606"/>
    <n v="547"/>
    <n v="316"/>
    <n v="32120"/>
    <n v="31736"/>
    <n v="225"/>
    <n v="7.6867995018679955E-2"/>
    <x v="2"/>
    <s v="ModelYCampaign"/>
  </r>
  <r>
    <x v="22"/>
    <s v="Facebook"/>
    <d v="2024-11-06T00:00:00"/>
    <s v="Video"/>
    <s v="Check out our latest video on facebook!"/>
    <n v="1606"/>
    <n v="547"/>
    <n v="316"/>
    <n v="32120"/>
    <n v="31736"/>
    <n v="225"/>
    <n v="7.6867995018679955E-2"/>
    <x v="1"/>
    <s v="ModelYCampaign"/>
  </r>
  <r>
    <x v="23"/>
    <s v="Facebook"/>
    <d v="2025-01-23T00:00:00"/>
    <s v="Video"/>
    <s v="Check out our latest video on facebook!"/>
    <n v="3961"/>
    <n v="761"/>
    <n v="131"/>
    <n v="67337"/>
    <n v="66615"/>
    <n v="161"/>
    <n v="7.2070332803659209E-2"/>
    <x v="0"/>
    <s v="FSDUpdate"/>
  </r>
  <r>
    <x v="24"/>
    <s v="Twitter"/>
    <d v="2025-04-10T00:00:00"/>
    <s v="Carousel"/>
    <s v="Check out our latest carousel on twitter!"/>
    <n v="3128"/>
    <n v="211"/>
    <n v="197"/>
    <n v="59432"/>
    <n v="59182"/>
    <n v="238"/>
    <n v="5.9496567505720827E-2"/>
    <x v="4"/>
    <m/>
  </r>
  <r>
    <x v="25"/>
    <s v="YouTube"/>
    <d v="2025-04-05T00:00:00"/>
    <s v="Reel"/>
    <s v="Check out our latest reel on youtube!"/>
    <n v="3009"/>
    <n v="413"/>
    <n v="358"/>
    <n v="42126"/>
    <n v="41309"/>
    <n v="211"/>
    <n v="8.9730807577268201E-2"/>
    <x v="0"/>
    <s v="ModelYCampaign"/>
  </r>
  <r>
    <x v="26"/>
    <s v="YouTube"/>
    <d v="2024-09-17T00:00:00"/>
    <s v="Text"/>
    <s v="Check out our latest text on youtube!"/>
    <n v="2076"/>
    <n v="195"/>
    <n v="104"/>
    <n v="33216"/>
    <n v="32244"/>
    <n v="51"/>
    <n v="7.1501685934489398E-2"/>
    <x v="0"/>
    <s v="SustainabilityDrive"/>
  </r>
  <r>
    <x v="27"/>
    <s v="Instagram"/>
    <d v="2025-03-04T00:00:00"/>
    <s v="Video"/>
    <s v="Check out our latest video on instagram!"/>
    <n v="432"/>
    <n v="624"/>
    <n v="123"/>
    <n v="6912"/>
    <n v="6259"/>
    <n v="79"/>
    <n v="0.17057291666666666"/>
    <x v="0"/>
    <s v="SustainabilityDrive"/>
  </r>
  <r>
    <x v="28"/>
    <s v="Instagram"/>
    <d v="2025-01-31T00:00:00"/>
    <s v="Carousel"/>
    <s v="Check out our latest carousel on instagram!"/>
    <n v="2566"/>
    <n v="118"/>
    <n v="37"/>
    <n v="12830"/>
    <n v="12264"/>
    <n v="221"/>
    <n v="0.21208106001558846"/>
    <x v="0"/>
    <s v="FSDUpdate"/>
  </r>
  <r>
    <x v="29"/>
    <s v="Instagram"/>
    <d v="2025-02-25T00:00:00"/>
    <s v="Video"/>
    <s v="Check out our latest video on instagram!"/>
    <n v="3095"/>
    <n v="39"/>
    <n v="78"/>
    <n v="55710"/>
    <n v="54808"/>
    <n v="93"/>
    <n v="5.7655717106444085E-2"/>
    <x v="4"/>
    <m/>
  </r>
  <r>
    <x v="30"/>
    <s v="Instagram"/>
    <d v="2024-12-16T00:00:00"/>
    <s v="Text"/>
    <s v="Check out our latest text on instagram!"/>
    <n v="438"/>
    <n v="153"/>
    <n v="275"/>
    <n v="3066"/>
    <n v="2701"/>
    <n v="282"/>
    <n v="0.28245270711024134"/>
    <x v="2"/>
    <s v="ModelYCampaign"/>
  </r>
  <r>
    <x v="31"/>
    <s v="Twitter"/>
    <d v="2024-07-31T00:00:00"/>
    <s v="Carousel"/>
    <s v="Check out our latest carousel on twitter!"/>
    <n v="2278"/>
    <n v="10"/>
    <n v="321"/>
    <n v="13668"/>
    <n v="12676"/>
    <n v="275"/>
    <n v="0.19088381621305239"/>
    <x v="4"/>
    <s v="CybertruckLaunch"/>
  </r>
  <r>
    <x v="32"/>
    <s v="Facebook"/>
    <d v="2024-08-21T00:00:00"/>
    <s v="Image"/>
    <s v="Check out our latest image on facebook!"/>
    <n v="1407"/>
    <n v="400"/>
    <n v="351"/>
    <n v="16884"/>
    <n v="15954"/>
    <n v="113"/>
    <n v="0.12781331438047855"/>
    <x v="2"/>
    <s v="CybertruckLaunch"/>
  </r>
  <r>
    <x v="33"/>
    <s v="Facebook"/>
    <d v="2025-03-26T00:00:00"/>
    <s v="Text"/>
    <s v="Check out our latest text on facebook!"/>
    <n v="1652"/>
    <n v="89"/>
    <n v="357"/>
    <n v="29736"/>
    <n v="28771"/>
    <n v="215"/>
    <n v="7.055421038471886E-2"/>
    <x v="2"/>
    <s v="FSDUpdate"/>
  </r>
  <r>
    <x v="34"/>
    <s v="Instagram"/>
    <d v="2024-11-30T00:00:00"/>
    <s v="Video"/>
    <s v="Check out our latest video on instagram!"/>
    <n v="3775"/>
    <n v="16"/>
    <n v="239"/>
    <n v="33975"/>
    <n v="33310"/>
    <n v="271"/>
    <n v="0.11861662987490802"/>
    <x v="0"/>
    <s v="ModelYCampaign"/>
  </r>
  <r>
    <x v="35"/>
    <s v="Instagram"/>
    <d v="2025-04-19T00:00:00"/>
    <s v="Story"/>
    <s v="Check out our latest story on instagram!"/>
    <n v="4518"/>
    <n v="285"/>
    <n v="383"/>
    <n v="67770"/>
    <n v="67621"/>
    <n v="31"/>
    <n v="7.6523535487678915E-2"/>
    <x v="4"/>
    <s v="ModelYCampaign"/>
  </r>
  <r>
    <x v="36"/>
    <s v="Facebook"/>
    <d v="2025-01-06T00:00:00"/>
    <s v="Carousel"/>
    <s v="Check out our latest carousel on facebook!"/>
    <n v="3024"/>
    <n v="925"/>
    <n v="350"/>
    <n v="24192"/>
    <n v="23518"/>
    <n v="36"/>
    <n v="0.17770337301587302"/>
    <x v="4"/>
    <s v="ModelYCampaign"/>
  </r>
  <r>
    <x v="37"/>
    <s v="YouTube"/>
    <d v="2025-02-17T00:00:00"/>
    <s v="Reel"/>
    <s v="Check out our latest reel on youtube!"/>
    <n v="3138"/>
    <n v="123"/>
    <n v="291"/>
    <n v="28242"/>
    <n v="27550"/>
    <n v="87"/>
    <n v="0.12577012959422137"/>
    <x v="2"/>
    <s v="SustainabilityDrive"/>
  </r>
  <r>
    <x v="38"/>
    <s v="Facebook"/>
    <d v="2024-11-25T00:00:00"/>
    <s v="Image"/>
    <s v="Check out our latest image on facebook!"/>
    <n v="3564"/>
    <n v="629"/>
    <n v="177"/>
    <n v="60588"/>
    <n v="59627"/>
    <n v="92"/>
    <n v="7.2126493695121141E-2"/>
    <x v="2"/>
    <m/>
  </r>
  <r>
    <x v="39"/>
    <s v="Twitter"/>
    <d v="2025-03-07T00:00:00"/>
    <s v="Image"/>
    <s v="Check out our latest image on twitter!"/>
    <n v="4750"/>
    <n v="151"/>
    <n v="415"/>
    <n v="38000"/>
    <n v="37792"/>
    <n v="299"/>
    <n v="0.13989473684210527"/>
    <x v="4"/>
    <s v="SustainabilityDrive"/>
  </r>
  <r>
    <x v="40"/>
    <s v="Instagram"/>
    <d v="2025-03-08T00:00:00"/>
    <s v="Reel"/>
    <s v="Check out our latest reel on instagram!"/>
    <n v="456"/>
    <n v="629"/>
    <n v="428"/>
    <n v="8208"/>
    <n v="7377"/>
    <n v="205"/>
    <n v="0.18433235867446393"/>
    <x v="0"/>
    <s v="SustainabilityDrive"/>
  </r>
  <r>
    <x v="41"/>
    <s v="YouTube"/>
    <d v="2025-03-05T00:00:00"/>
    <s v="Reel"/>
    <s v="Check out our latest reel on youtube!"/>
    <n v="1543"/>
    <n v="820"/>
    <n v="333"/>
    <n v="12344"/>
    <n v="11496"/>
    <n v="241"/>
    <n v="0.21840570317563188"/>
    <x v="4"/>
    <m/>
  </r>
  <r>
    <x v="42"/>
    <s v="Instagram"/>
    <d v="2024-12-14T00:00:00"/>
    <s v="Carousel"/>
    <s v="Check out our latest carousel on instagram!"/>
    <n v="2174"/>
    <n v="658"/>
    <n v="15"/>
    <n v="13044"/>
    <n v="12206"/>
    <n v="137"/>
    <n v="0.21826126954921804"/>
    <x v="2"/>
    <s v="FSDUpdate"/>
  </r>
  <r>
    <x v="43"/>
    <s v="Twitter"/>
    <d v="2025-03-02T00:00:00"/>
    <s v="Image"/>
    <s v="Check out our latest image on twitter!"/>
    <n v="2358"/>
    <n v="784"/>
    <n v="344"/>
    <n v="35370"/>
    <n v="34475"/>
    <n v="216"/>
    <n v="9.8558100084817649E-2"/>
    <x v="2"/>
    <m/>
  </r>
  <r>
    <x v="44"/>
    <s v="Facebook"/>
    <d v="2024-11-01T00:00:00"/>
    <s v="Video"/>
    <s v="Check out our latest video on facebook!"/>
    <n v="3371"/>
    <n v="106"/>
    <n v="327"/>
    <n v="50565"/>
    <n v="49816"/>
    <n v="176"/>
    <n v="7.5229902106199939E-2"/>
    <x v="0"/>
    <s v="CybertruckLaunch"/>
  </r>
  <r>
    <x v="45"/>
    <s v="Twitter"/>
    <d v="2025-05-02T00:00:00"/>
    <s v="Video"/>
    <s v="Check out our latest video on twitter!"/>
    <n v="1108"/>
    <n v="177"/>
    <n v="212"/>
    <n v="8864"/>
    <n v="8710"/>
    <n v="97"/>
    <n v="0.16888537906137185"/>
    <x v="2"/>
    <s v="SustainabilityDrive"/>
  </r>
  <r>
    <x v="46"/>
    <s v="Twitter"/>
    <d v="2025-02-24T00:00:00"/>
    <s v="Carousel"/>
    <s v="Check out our latest carousel on twitter!"/>
    <n v="2704"/>
    <n v="752"/>
    <n v="153"/>
    <n v="21632"/>
    <n v="20792"/>
    <n v="127"/>
    <n v="0.16683616863905326"/>
    <x v="0"/>
    <m/>
  </r>
  <r>
    <x v="47"/>
    <s v="Twitter"/>
    <d v="2025-03-11T00:00:00"/>
    <s v="Story"/>
    <s v="Check out our latest story on twitter!"/>
    <n v="1950"/>
    <n v="295"/>
    <n v="478"/>
    <n v="37050"/>
    <n v="36272"/>
    <n v="119"/>
    <n v="7.349527665317139E-2"/>
    <x v="2"/>
    <m/>
  </r>
  <r>
    <x v="48"/>
    <s v="Twitter"/>
    <d v="2024-06-10T00:00:00"/>
    <s v="Story"/>
    <s v="Check out our latest story on twitter!"/>
    <n v="2164"/>
    <n v="549"/>
    <n v="274"/>
    <n v="28132"/>
    <n v="27361"/>
    <n v="177"/>
    <n v="0.10617801791554102"/>
    <x v="2"/>
    <s v="SustainabilityDrive"/>
  </r>
  <r>
    <x v="49"/>
    <s v="YouTube"/>
    <d v="2024-07-03T00:00:00"/>
    <s v="Story"/>
    <s v="Check out our latest story on youtube!"/>
    <n v="2754"/>
    <n v="130"/>
    <n v="90"/>
    <n v="22032"/>
    <n v="21288"/>
    <n v="112"/>
    <n v="0.13498547567175018"/>
    <x v="2"/>
    <s v="FSDUpdate"/>
  </r>
  <r>
    <x v="50"/>
    <s v="Facebook"/>
    <d v="2024-06-13T00:00:00"/>
    <s v="Carousel"/>
    <s v="Check out our latest carousel on facebook!"/>
    <n v="2200"/>
    <n v="504"/>
    <n v="239"/>
    <n v="37400"/>
    <n v="36938"/>
    <n v="225"/>
    <n v="7.8689839572192513E-2"/>
    <x v="0"/>
    <s v="ModelYCampaign"/>
  </r>
  <r>
    <x v="51"/>
    <s v="Facebook"/>
    <d v="2025-01-03T00:00:00"/>
    <s v="Image"/>
    <s v="Check out our latest image on facebook!"/>
    <n v="947"/>
    <n v="338"/>
    <n v="350"/>
    <n v="10417"/>
    <n v="9730"/>
    <n v="34"/>
    <n v="0.1569549774407219"/>
    <x v="2"/>
    <s v="SustainabilityDrive"/>
  </r>
  <r>
    <x v="52"/>
    <s v="YouTube"/>
    <d v="2025-02-24T00:00:00"/>
    <s v="Carousel"/>
    <s v="Check out our latest carousel on youtube!"/>
    <n v="804"/>
    <n v="639"/>
    <n v="43"/>
    <n v="4020"/>
    <n v="3144"/>
    <n v="11"/>
    <n v="0.36965174129353234"/>
    <x v="4"/>
    <m/>
  </r>
  <r>
    <x v="52"/>
    <s v="YouTube"/>
    <d v="2025-02-24T00:00:00"/>
    <s v="Carousel"/>
    <s v="Check out our latest carousel on youtube!"/>
    <n v="804"/>
    <n v="639"/>
    <n v="43"/>
    <n v="4020"/>
    <n v="3144"/>
    <n v="11"/>
    <n v="0.36965174129353234"/>
    <x v="3"/>
    <m/>
  </r>
  <r>
    <x v="53"/>
    <s v="YouTube"/>
    <d v="2025-03-13T00:00:00"/>
    <s v="Carousel"/>
    <s v="Check out our latest carousel on youtube!"/>
    <n v="1686"/>
    <n v="904"/>
    <n v="472"/>
    <n v="18546"/>
    <n v="18171"/>
    <n v="52"/>
    <n v="0.16510298716704411"/>
    <x v="0"/>
    <s v="ModelYCampaign"/>
  </r>
  <r>
    <x v="54"/>
    <s v="Facebook"/>
    <d v="2024-06-17T00:00:00"/>
    <s v="Image"/>
    <s v="Check out our latest image on facebook!"/>
    <n v="1226"/>
    <n v="119"/>
    <n v="7"/>
    <n v="14712"/>
    <n v="14049"/>
    <n v="123"/>
    <n v="9.1897770527460579E-2"/>
    <x v="4"/>
    <s v="SustainabilityDrive"/>
  </r>
  <r>
    <x v="55"/>
    <s v="Facebook"/>
    <d v="2024-12-18T00:00:00"/>
    <s v="Carousel"/>
    <s v="Check out our latest carousel on facebook!"/>
    <n v="2946"/>
    <n v="498"/>
    <n v="367"/>
    <n v="29460"/>
    <n v="28527"/>
    <n v="60"/>
    <n v="0.12936184657162253"/>
    <x v="0"/>
    <s v="FSDUpdate"/>
  </r>
  <r>
    <x v="56"/>
    <s v="Twitter"/>
    <d v="2024-10-21T00:00:00"/>
    <s v="Video"/>
    <s v="Check out our latest video on twitter!"/>
    <n v="2825"/>
    <n v="535"/>
    <n v="295"/>
    <n v="45200"/>
    <n v="44739"/>
    <n v="169"/>
    <n v="8.0862831858407078E-2"/>
    <x v="2"/>
    <s v="CybertruckLaunch"/>
  </r>
  <r>
    <x v="57"/>
    <s v="Instagram"/>
    <d v="2025-04-15T00:00:00"/>
    <s v="Reel"/>
    <s v="Check out our latest reel on instagram!"/>
    <n v="103"/>
    <n v="770"/>
    <n v="19"/>
    <n v="1030"/>
    <n v="410"/>
    <n v="262"/>
    <n v="0.86601941747572819"/>
    <x v="2"/>
    <s v="SustainabilityDrive"/>
  </r>
  <r>
    <x v="58"/>
    <s v="Instagram"/>
    <d v="2024-06-22T00:00:00"/>
    <s v="Text"/>
    <s v="Check out our latest text on instagram!"/>
    <n v="2180"/>
    <n v="263"/>
    <n v="387"/>
    <n v="30520"/>
    <n v="30059"/>
    <n v="174"/>
    <n v="9.2726081258191345E-2"/>
    <x v="4"/>
    <m/>
  </r>
  <r>
    <x v="59"/>
    <s v="Instagram"/>
    <d v="2025-01-28T00:00:00"/>
    <s v="Video"/>
    <s v="Check out our latest video on instagram!"/>
    <n v="904"/>
    <n v="973"/>
    <n v="63"/>
    <n v="11752"/>
    <n v="11580"/>
    <n v="84"/>
    <n v="0.1650782845473111"/>
    <x v="4"/>
    <s v="FSDUpdate"/>
  </r>
  <r>
    <x v="59"/>
    <s v="Instagram"/>
    <d v="2025-01-28T00:00:00"/>
    <s v="Video"/>
    <s v="Check out our latest video on instagram!"/>
    <n v="904"/>
    <n v="973"/>
    <n v="63"/>
    <n v="11752"/>
    <n v="11580"/>
    <n v="84"/>
    <n v="0.1650782845473111"/>
    <x v="2"/>
    <s v="FSDUpdate"/>
  </r>
  <r>
    <x v="59"/>
    <s v="Instagram"/>
    <d v="2025-01-28T00:00:00"/>
    <s v="Video"/>
    <s v="Check out our latest video on instagram!"/>
    <n v="904"/>
    <n v="973"/>
    <n v="63"/>
    <n v="11752"/>
    <n v="11580"/>
    <n v="84"/>
    <n v="0.1650782845473111"/>
    <x v="1"/>
    <s v="FSDUpdate"/>
  </r>
  <r>
    <x v="60"/>
    <s v="Twitter"/>
    <d v="2024-09-05T00:00:00"/>
    <s v="Video"/>
    <s v="Check out our latest video on twitter!"/>
    <n v="4886"/>
    <n v="983"/>
    <n v="409"/>
    <n v="43974"/>
    <n v="43239"/>
    <n v="65"/>
    <n v="0.14276618001546368"/>
    <x v="2"/>
    <s v="CybertruckLaunch"/>
  </r>
  <r>
    <x v="61"/>
    <s v="Twitter"/>
    <d v="2024-11-22T00:00:00"/>
    <s v="Carousel"/>
    <s v="Check out our latest carousel on twitter!"/>
    <n v="53"/>
    <n v="81"/>
    <n v="379"/>
    <n v="954"/>
    <n v="7"/>
    <n v="148"/>
    <n v="0.53773584905660377"/>
    <x v="2"/>
    <s v="FSDUpdate"/>
  </r>
  <r>
    <x v="62"/>
    <s v="Twitter"/>
    <d v="2024-07-31T00:00:00"/>
    <s v="Carousel"/>
    <s v="Check out our latest carousel on twitter!"/>
    <n v="4507"/>
    <n v="217"/>
    <n v="13"/>
    <n v="90140"/>
    <n v="89591"/>
    <n v="125"/>
    <n v="5.2551586421122697E-2"/>
    <x v="0"/>
    <s v="FSDUpdate"/>
  </r>
  <r>
    <x v="63"/>
    <s v="Facebook"/>
    <d v="2024-08-17T00:00:00"/>
    <s v="Image"/>
    <s v="Check out our latest image on facebook!"/>
    <n v="2878"/>
    <n v="248"/>
    <n v="416"/>
    <n v="43170"/>
    <n v="42667"/>
    <n v="75"/>
    <n v="8.2047718322909427E-2"/>
    <x v="0"/>
    <s v="FSDUpdate"/>
  </r>
  <r>
    <x v="64"/>
    <s v="Instagram"/>
    <d v="2025-03-28T00:00:00"/>
    <s v="Story"/>
    <s v="Check out our latest story on instagram!"/>
    <n v="1881"/>
    <n v="501"/>
    <n v="99"/>
    <n v="20691"/>
    <n v="19987"/>
    <n v="289"/>
    <n v="0.11990720603160794"/>
    <x v="4"/>
    <m/>
  </r>
  <r>
    <x v="65"/>
    <s v="Twitter"/>
    <d v="2024-07-26T00:00:00"/>
    <s v="Carousel"/>
    <s v="Check out our latest carousel on twitter!"/>
    <n v="432"/>
    <n v="171"/>
    <n v="280"/>
    <n v="3024"/>
    <n v="2285"/>
    <n v="184"/>
    <n v="0.29199735449735448"/>
    <x v="4"/>
    <s v="CybertruckLaunch"/>
  </r>
  <r>
    <x v="66"/>
    <s v="Facebook"/>
    <d v="2025-03-29T00:00:00"/>
    <s v="Carousel"/>
    <s v="Check out our latest carousel on facebook!"/>
    <n v="4712"/>
    <n v="568"/>
    <n v="127"/>
    <n v="84816"/>
    <n v="84691"/>
    <n v="100"/>
    <n v="6.3749764195434822E-2"/>
    <x v="4"/>
    <s v="FSDUpdate"/>
  </r>
  <r>
    <x v="67"/>
    <s v="Instagram"/>
    <d v="2024-12-08T00:00:00"/>
    <s v="Story"/>
    <s v="Check out our latest story on instagram!"/>
    <n v="2610"/>
    <n v="126"/>
    <n v="288"/>
    <n v="15660"/>
    <n v="15145"/>
    <n v="73"/>
    <n v="0.19310344827586207"/>
    <x v="4"/>
    <m/>
  </r>
  <r>
    <x v="68"/>
    <s v="Twitter"/>
    <d v="2025-03-08T00:00:00"/>
    <s v="Text"/>
    <s v="Check out our latest text on twitter!"/>
    <n v="1292"/>
    <n v="626"/>
    <n v="496"/>
    <n v="25840"/>
    <n v="24916"/>
    <n v="149"/>
    <n v="9.3421052631578946E-2"/>
    <x v="0"/>
    <s v="FSDUpdate"/>
  </r>
  <r>
    <x v="69"/>
    <s v="Facebook"/>
    <d v="2025-04-02T00:00:00"/>
    <s v="Video"/>
    <s v="Check out our latest video on facebook!"/>
    <n v="199"/>
    <n v="772"/>
    <n v="400"/>
    <n v="3582"/>
    <n v="2988"/>
    <n v="43"/>
    <n v="0.38274706867671693"/>
    <x v="2"/>
    <m/>
  </r>
  <r>
    <x v="70"/>
    <s v="YouTube"/>
    <d v="2024-09-02T00:00:00"/>
    <s v="Carousel"/>
    <s v="Check out our latest carousel on youtube!"/>
    <n v="2551"/>
    <n v="915"/>
    <n v="205"/>
    <n v="30612"/>
    <n v="30360"/>
    <n v="227"/>
    <n v="0.1199202926956749"/>
    <x v="2"/>
    <s v="ModelYCampaign"/>
  </r>
  <r>
    <x v="71"/>
    <s v="YouTube"/>
    <d v="2025-03-03T00:00:00"/>
    <s v="Reel"/>
    <s v="Check out our latest reel on youtube!"/>
    <n v="296"/>
    <n v="60"/>
    <n v="141"/>
    <n v="5624"/>
    <n v="5239"/>
    <n v="88"/>
    <n v="8.837126600284495E-2"/>
    <x v="4"/>
    <s v="ModelYCampaign"/>
  </r>
  <r>
    <x v="72"/>
    <s v="Facebook"/>
    <d v="2024-10-18T00:00:00"/>
    <s v="Story"/>
    <s v="Check out our latest story on facebook!"/>
    <n v="4126"/>
    <n v="426"/>
    <n v="486"/>
    <n v="78394"/>
    <n v="77798"/>
    <n v="88"/>
    <n v="6.4265122330790625E-2"/>
    <x v="0"/>
    <s v="SustainabilityDrive"/>
  </r>
  <r>
    <x v="73"/>
    <s v="YouTube"/>
    <d v="2024-10-28T00:00:00"/>
    <s v="Reel"/>
    <s v="Check out our latest reel on youtube!"/>
    <n v="1855"/>
    <n v="200"/>
    <n v="174"/>
    <n v="16695"/>
    <n v="16330"/>
    <n v="123"/>
    <n v="0.13351302785265048"/>
    <x v="2"/>
    <s v="FSDUpdate"/>
  </r>
  <r>
    <x v="74"/>
    <s v="Instagram"/>
    <d v="2024-08-01T00:00:00"/>
    <s v="Reel"/>
    <s v="Check out our latest reel on instagram!"/>
    <n v="1674"/>
    <n v="929"/>
    <n v="37"/>
    <n v="21762"/>
    <n v="20998"/>
    <n v="255"/>
    <n v="0.12131237937689551"/>
    <x v="2"/>
    <s v="SustainabilityDrive"/>
  </r>
  <r>
    <x v="75"/>
    <s v="Twitter"/>
    <d v="2024-11-07T00:00:00"/>
    <s v="Story"/>
    <s v="Check out our latest story on twitter!"/>
    <n v="1121"/>
    <n v="135"/>
    <n v="18"/>
    <n v="15694"/>
    <n v="14957"/>
    <n v="99"/>
    <n v="8.1177520071364848E-2"/>
    <x v="2"/>
    <s v="SustainabilityDrive"/>
  </r>
  <r>
    <x v="76"/>
    <s v="Facebook"/>
    <d v="2025-03-04T00:00:00"/>
    <s v="Story"/>
    <s v="Check out our latest story on facebook!"/>
    <n v="1249"/>
    <n v="116"/>
    <n v="420"/>
    <n v="8743"/>
    <n v="8538"/>
    <n v="63"/>
    <n v="0.20416333066453163"/>
    <x v="2"/>
    <m/>
  </r>
  <r>
    <x v="77"/>
    <s v="Twitter"/>
    <d v="2024-06-17T00:00:00"/>
    <s v="Image"/>
    <s v="Check out our latest image on twitter!"/>
    <n v="954"/>
    <n v="324"/>
    <n v="288"/>
    <n v="19080"/>
    <n v="18859"/>
    <n v="21"/>
    <n v="8.2075471698113203E-2"/>
    <x v="0"/>
    <s v="SustainabilityDrive"/>
  </r>
  <r>
    <x v="78"/>
    <s v="Instagram"/>
    <d v="2024-10-09T00:00:00"/>
    <s v="Carousel"/>
    <s v="Check out our latest carousel on instagram!"/>
    <n v="3068"/>
    <n v="137"/>
    <n v="329"/>
    <n v="39884"/>
    <n v="39404"/>
    <n v="266"/>
    <n v="8.860696018453515E-2"/>
    <x v="4"/>
    <s v="ModelYCampaign"/>
  </r>
  <r>
    <x v="79"/>
    <s v="Instagram"/>
    <d v="2024-06-13T00:00:00"/>
    <s v="Story"/>
    <s v="Check out our latest story on instagram!"/>
    <n v="2103"/>
    <n v="892"/>
    <n v="103"/>
    <n v="39957"/>
    <n v="39466"/>
    <n v="28"/>
    <n v="7.7533348349475686E-2"/>
    <x v="0"/>
    <m/>
  </r>
  <r>
    <x v="80"/>
    <s v="Instagram"/>
    <d v="2024-10-19T00:00:00"/>
    <s v="Story"/>
    <s v="Check out our latest story on instagram!"/>
    <n v="1816"/>
    <n v="29"/>
    <n v="41"/>
    <n v="19976"/>
    <n v="19262"/>
    <n v="283"/>
    <n v="9.4413295955146179E-2"/>
    <x v="2"/>
    <s v="FSDUpdate"/>
  </r>
  <r>
    <x v="81"/>
    <s v="Instagram"/>
    <d v="2024-07-24T00:00:00"/>
    <s v="Image"/>
    <s v="Check out our latest image on instagram!"/>
    <n v="725"/>
    <n v="88"/>
    <n v="428"/>
    <n v="14500"/>
    <n v="13637"/>
    <n v="200"/>
    <n v="8.558620689655172E-2"/>
    <x v="0"/>
    <s v="FSDUpdate"/>
  </r>
  <r>
    <x v="81"/>
    <s v="Instagram"/>
    <d v="2024-07-24T00:00:00"/>
    <s v="Image"/>
    <s v="Check out our latest image on instagram!"/>
    <n v="725"/>
    <n v="88"/>
    <n v="428"/>
    <n v="14500"/>
    <n v="13637"/>
    <n v="200"/>
    <n v="8.558620689655172E-2"/>
    <x v="2"/>
    <s v="FSDUpdate"/>
  </r>
  <r>
    <x v="81"/>
    <s v="Instagram"/>
    <d v="2024-07-24T00:00:00"/>
    <s v="Image"/>
    <s v="Check out our latest image on instagram!"/>
    <n v="725"/>
    <n v="88"/>
    <n v="428"/>
    <n v="14500"/>
    <n v="13637"/>
    <n v="200"/>
    <n v="8.558620689655172E-2"/>
    <x v="1"/>
    <s v="FSDUpdate"/>
  </r>
  <r>
    <x v="82"/>
    <s v="YouTube"/>
    <d v="2024-10-15T00:00:00"/>
    <s v="Video"/>
    <s v="Check out our latest video on youtube!"/>
    <n v="1094"/>
    <n v="472"/>
    <n v="21"/>
    <n v="9846"/>
    <n v="9609"/>
    <n v="112"/>
    <n v="0.16118220597196831"/>
    <x v="4"/>
    <m/>
  </r>
  <r>
    <x v="83"/>
    <s v="Facebook"/>
    <d v="2024-12-09T00:00:00"/>
    <s v="Image"/>
    <s v="Check out our latest image on facebook!"/>
    <n v="1841"/>
    <n v="851"/>
    <n v="342"/>
    <n v="34979"/>
    <n v="34154"/>
    <n v="255"/>
    <n v="8.6737756939878216E-2"/>
    <x v="0"/>
    <s v="SustainabilityDrive"/>
  </r>
  <r>
    <x v="84"/>
    <s v="Instagram"/>
    <d v="2025-04-19T00:00:00"/>
    <s v="Image"/>
    <s v="Check out our latest image on instagram!"/>
    <n v="4177"/>
    <n v="569"/>
    <n v="55"/>
    <n v="25062"/>
    <n v="24847"/>
    <n v="230"/>
    <n v="0.19156491900087783"/>
    <x v="0"/>
    <s v="CybertruckLaunch"/>
  </r>
  <r>
    <x v="85"/>
    <s v="YouTube"/>
    <d v="2025-01-27T00:00:00"/>
    <s v="Text"/>
    <s v="Check out our latest text on youtube!"/>
    <n v="3428"/>
    <n v="305"/>
    <n v="85"/>
    <n v="58276"/>
    <n v="58052"/>
    <n v="242"/>
    <n v="6.5515821264328367E-2"/>
    <x v="4"/>
    <s v="SustainabilityDrive"/>
  </r>
  <r>
    <x v="85"/>
    <s v="YouTube"/>
    <d v="2025-01-27T00:00:00"/>
    <s v="Text"/>
    <s v="Check out our latest text on youtube!"/>
    <n v="3428"/>
    <n v="305"/>
    <n v="85"/>
    <n v="58276"/>
    <n v="58052"/>
    <n v="242"/>
    <n v="6.5515821264328367E-2"/>
    <x v="3"/>
    <s v="SustainabilityDrive"/>
  </r>
  <r>
    <x v="86"/>
    <s v="Twitter"/>
    <d v="2024-06-06T00:00:00"/>
    <s v="Video"/>
    <s v="Check out our latest video on twitter!"/>
    <n v="1436"/>
    <n v="765"/>
    <n v="496"/>
    <n v="12924"/>
    <n v="12701"/>
    <n v="197"/>
    <n v="0.20868152274837512"/>
    <x v="0"/>
    <s v="FSDUpdate"/>
  </r>
  <r>
    <x v="87"/>
    <s v="Facebook"/>
    <d v="2024-07-07T00:00:00"/>
    <s v="Story"/>
    <s v="Check out our latest story on facebook!"/>
    <n v="302"/>
    <n v="47"/>
    <n v="430"/>
    <n v="5738"/>
    <n v="4890"/>
    <n v="25"/>
    <n v="0.13576158940397351"/>
    <x v="2"/>
    <s v="SustainabilityDrive"/>
  </r>
  <r>
    <x v="88"/>
    <s v="Twitter"/>
    <d v="2025-01-10T00:00:00"/>
    <s v="Image"/>
    <s v="Check out our latest image on twitter!"/>
    <n v="2214"/>
    <n v="249"/>
    <n v="152"/>
    <n v="15498"/>
    <n v="14800"/>
    <n v="180"/>
    <n v="0.16873144921925409"/>
    <x v="4"/>
    <m/>
  </r>
  <r>
    <x v="89"/>
    <s v="Instagram"/>
    <d v="2024-06-03T00:00:00"/>
    <s v="Image"/>
    <s v="Check out our latest image on instagram!"/>
    <n v="3861"/>
    <n v="960"/>
    <n v="101"/>
    <n v="69498"/>
    <n v="68817"/>
    <n v="297"/>
    <n v="7.0822181933293038E-2"/>
    <x v="2"/>
    <s v="SustainabilityDrive"/>
  </r>
  <r>
    <x v="90"/>
    <s v="Facebook"/>
    <d v="2025-03-24T00:00:00"/>
    <s v="Image"/>
    <s v="Check out our latest image on facebook!"/>
    <n v="1263"/>
    <n v="397"/>
    <n v="357"/>
    <n v="25260"/>
    <n v="24615"/>
    <n v="137"/>
    <n v="7.984956452889945E-2"/>
    <x v="4"/>
    <s v="SustainabilityDrive"/>
  </r>
  <r>
    <x v="91"/>
    <s v="Twitter"/>
    <d v="2024-10-21T00:00:00"/>
    <s v="Story"/>
    <s v="Check out our latest story on twitter!"/>
    <n v="3801"/>
    <n v="967"/>
    <n v="401"/>
    <n v="38010"/>
    <n v="37625"/>
    <n v="236"/>
    <n v="0.13599052880820836"/>
    <x v="0"/>
    <s v="FSDUpdate"/>
  </r>
  <r>
    <x v="92"/>
    <s v="Instagram"/>
    <d v="2024-12-11T00:00:00"/>
    <s v="Video"/>
    <s v="Check out our latest video on instagram!"/>
    <n v="1431"/>
    <n v="951"/>
    <n v="26"/>
    <n v="8586"/>
    <n v="8396"/>
    <n v="150"/>
    <n v="0.28045655718611695"/>
    <x v="4"/>
    <s v="FSDUpdate"/>
  </r>
  <r>
    <x v="93"/>
    <s v="Instagram"/>
    <d v="2024-11-07T00:00:00"/>
    <s v="Image"/>
    <s v="Check out our latest image on instagram!"/>
    <n v="2647"/>
    <n v="304"/>
    <n v="170"/>
    <n v="18529"/>
    <n v="17841"/>
    <n v="46"/>
    <n v="0.16843866371633656"/>
    <x v="0"/>
    <s v="FSDUpdate"/>
  </r>
  <r>
    <x v="94"/>
    <s v="Instagram"/>
    <d v="2024-11-08T00:00:00"/>
    <s v="Text"/>
    <s v="Check out our latest text on instagram!"/>
    <n v="3182"/>
    <n v="559"/>
    <n v="160"/>
    <n v="57276"/>
    <n v="56890"/>
    <n v="163"/>
    <n v="6.8108806480899509E-2"/>
    <x v="0"/>
    <s v="SustainabilityDrive"/>
  </r>
  <r>
    <x v="95"/>
    <s v="Twitter"/>
    <d v="2024-09-10T00:00:00"/>
    <s v="Image"/>
    <s v="Check out our latest image on twitter!"/>
    <n v="1238"/>
    <n v="366"/>
    <n v="444"/>
    <n v="19808"/>
    <n v="19334"/>
    <n v="123"/>
    <n v="0.10339256865912763"/>
    <x v="0"/>
    <m/>
  </r>
  <r>
    <x v="96"/>
    <s v="Instagram"/>
    <d v="2024-08-13T00:00:00"/>
    <s v="Image"/>
    <s v="Check out our latest image on instagram!"/>
    <n v="4739"/>
    <n v="527"/>
    <n v="135"/>
    <n v="61607"/>
    <n v="61333"/>
    <n v="36"/>
    <n v="8.7668609086629767E-2"/>
    <x v="2"/>
    <s v="ModelYCampaign"/>
  </r>
  <r>
    <x v="96"/>
    <s v="Instagram"/>
    <d v="2024-08-13T00:00:00"/>
    <s v="Image"/>
    <s v="Check out our latest image on instagram!"/>
    <n v="4739"/>
    <n v="527"/>
    <n v="135"/>
    <n v="61607"/>
    <n v="61333"/>
    <n v="36"/>
    <n v="8.7668609086629767E-2"/>
    <x v="1"/>
    <s v="ModelYCampaign"/>
  </r>
  <r>
    <x v="97"/>
    <s v="Twitter"/>
    <d v="2024-06-10T00:00:00"/>
    <s v="Story"/>
    <s v="Check out our latest story on twitter!"/>
    <n v="1575"/>
    <n v="771"/>
    <n v="486"/>
    <n v="25200"/>
    <n v="24826"/>
    <n v="17"/>
    <n v="0.11238095238095239"/>
    <x v="0"/>
    <s v="SustainabilityDrive"/>
  </r>
  <r>
    <x v="98"/>
    <s v="YouTube"/>
    <d v="2024-07-02T00:00:00"/>
    <s v="Carousel"/>
    <s v="Check out our latest carousel on youtube!"/>
    <n v="4171"/>
    <n v="548"/>
    <n v="86"/>
    <n v="66736"/>
    <n v="66634"/>
    <n v="173"/>
    <n v="7.2000119875329657E-2"/>
    <x v="0"/>
    <s v="FSDUpdate"/>
  </r>
  <r>
    <x v="99"/>
    <s v="YouTube"/>
    <d v="2025-02-10T00:00:00"/>
    <s v="Video"/>
    <s v="Check out our latest video on youtube!"/>
    <n v="1766"/>
    <n v="92"/>
    <n v="424"/>
    <n v="24724"/>
    <n v="24333"/>
    <n v="52"/>
    <n v="9.2298980747451867E-2"/>
    <x v="4"/>
    <m/>
  </r>
  <r>
    <x v="100"/>
    <s v="YouTube"/>
    <d v="2024-10-18T00:00:00"/>
    <s v="Video"/>
    <s v="Check out our latest video on youtube!"/>
    <n v="4450"/>
    <n v="983"/>
    <n v="143"/>
    <n v="75650"/>
    <n v="75008"/>
    <n v="12"/>
    <n v="7.3707865168539333E-2"/>
    <x v="0"/>
    <s v="FSDUpdate"/>
  </r>
  <r>
    <x v="101"/>
    <s v="Twitter"/>
    <d v="2024-09-18T00:00:00"/>
    <s v="Reel"/>
    <s v="Check out our latest reel on twitter!"/>
    <n v="1000"/>
    <n v="978"/>
    <n v="162"/>
    <n v="6000"/>
    <n v="5221"/>
    <n v="223"/>
    <n v="0.35666666666666669"/>
    <x v="4"/>
    <s v="ModelYCampaign"/>
  </r>
  <r>
    <x v="102"/>
    <s v="Facebook"/>
    <d v="2024-06-11T00:00:00"/>
    <s v="Image"/>
    <s v="Check out our latest image on facebook!"/>
    <n v="3689"/>
    <n v="48"/>
    <n v="306"/>
    <n v="40579"/>
    <n v="39588"/>
    <n v="212"/>
    <n v="9.9632815002833983E-2"/>
    <x v="4"/>
    <s v="ModelYCampaign"/>
  </r>
  <r>
    <x v="103"/>
    <s v="YouTube"/>
    <d v="2025-03-23T00:00:00"/>
    <s v="Story"/>
    <s v="Check out our latest story on youtube!"/>
    <n v="3655"/>
    <n v="568"/>
    <n v="286"/>
    <n v="32895"/>
    <n v="32015"/>
    <n v="199"/>
    <n v="0.13707250341997265"/>
    <x v="2"/>
    <s v="FSDUpdate"/>
  </r>
  <r>
    <x v="104"/>
    <s v="Instagram"/>
    <d v="2024-06-14T00:00:00"/>
    <s v="Carousel"/>
    <s v="Check out our latest carousel on instagram!"/>
    <n v="498"/>
    <n v="38"/>
    <n v="42"/>
    <n v="4482"/>
    <n v="3647"/>
    <n v="32"/>
    <n v="0.12896028558679162"/>
    <x v="0"/>
    <s v="CybertruckLaunch"/>
  </r>
  <r>
    <x v="105"/>
    <s v="Instagram"/>
    <d v="2025-02-04T00:00:00"/>
    <s v="Image"/>
    <s v="Check out our latest image on instagram!"/>
    <n v="4619"/>
    <n v="821"/>
    <n v="499"/>
    <n v="69285"/>
    <n v="69141"/>
    <n v="298"/>
    <n v="8.5718409468138843E-2"/>
    <x v="2"/>
    <s v="SustainabilityDrive"/>
  </r>
  <r>
    <x v="106"/>
    <s v="YouTube"/>
    <d v="2024-06-21T00:00:00"/>
    <s v="Image"/>
    <s v="Check out our latest image on youtube!"/>
    <n v="4832"/>
    <n v="893"/>
    <n v="10"/>
    <n v="91808"/>
    <n v="91296"/>
    <n v="182"/>
    <n v="6.2467323109097243E-2"/>
    <x v="2"/>
    <m/>
  </r>
  <r>
    <x v="107"/>
    <s v="Twitter"/>
    <d v="2025-03-25T00:00:00"/>
    <s v="Video"/>
    <s v="Check out our latest video on twitter!"/>
    <n v="4050"/>
    <n v="871"/>
    <n v="347"/>
    <n v="52650"/>
    <n v="51755"/>
    <n v="209"/>
    <n v="0.10005698005698006"/>
    <x v="2"/>
    <s v="ModelYCampaign"/>
  </r>
  <r>
    <x v="108"/>
    <s v="Twitter"/>
    <d v="2024-08-08T00:00:00"/>
    <s v="Story"/>
    <s v="Check out our latest story on twitter!"/>
    <n v="3649"/>
    <n v="215"/>
    <n v="413"/>
    <n v="25543"/>
    <n v="24963"/>
    <n v="167"/>
    <n v="0.16744313510550835"/>
    <x v="0"/>
    <s v="FSDUpdate"/>
  </r>
  <r>
    <x v="109"/>
    <s v="Instagram"/>
    <d v="2024-07-29T00:00:00"/>
    <s v="Reel"/>
    <s v="Check out our latest reel on instagram!"/>
    <n v="3523"/>
    <n v="753"/>
    <n v="482"/>
    <n v="38753"/>
    <n v="38579"/>
    <n v="270"/>
    <n v="0.12277759141227776"/>
    <x v="4"/>
    <s v="ModelYCampaign"/>
  </r>
  <r>
    <x v="110"/>
    <s v="YouTube"/>
    <d v="2024-11-23T00:00:00"/>
    <s v="Image"/>
    <s v="Check out our latest image on youtube!"/>
    <n v="2719"/>
    <n v="17"/>
    <n v="285"/>
    <n v="40785"/>
    <n v="40281"/>
    <n v="40"/>
    <n v="7.4071349760941527E-2"/>
    <x v="2"/>
    <s v="ModelYCampaign"/>
  </r>
  <r>
    <x v="111"/>
    <s v="Twitter"/>
    <d v="2024-10-05T00:00:00"/>
    <s v="Story"/>
    <s v="Check out our latest story on twitter!"/>
    <n v="1957"/>
    <n v="877"/>
    <n v="238"/>
    <n v="17613"/>
    <n v="16865"/>
    <n v="297"/>
    <n v="0.17441662408448305"/>
    <x v="0"/>
    <s v="FSDUpdate"/>
  </r>
  <r>
    <x v="112"/>
    <s v="Twitter"/>
    <d v="2024-10-02T00:00:00"/>
    <s v="Carousel"/>
    <s v="Check out our latest carousel on twitter!"/>
    <n v="4419"/>
    <n v="236"/>
    <n v="369"/>
    <n v="44190"/>
    <n v="43582"/>
    <n v="10"/>
    <n v="0.11369088028965829"/>
    <x v="4"/>
    <s v="CybertruckLaunch"/>
  </r>
  <r>
    <x v="113"/>
    <s v="Twitter"/>
    <d v="2024-11-14T00:00:00"/>
    <s v="Story"/>
    <s v="Check out our latest story on twitter!"/>
    <n v="4000"/>
    <n v="689"/>
    <n v="488"/>
    <n v="40000"/>
    <n v="39569"/>
    <n v="44"/>
    <n v="0.12942500000000001"/>
    <x v="0"/>
    <s v="CybertruckLaunch"/>
  </r>
  <r>
    <x v="114"/>
    <s v="Twitter"/>
    <d v="2025-05-11T00:00:00"/>
    <s v="Image"/>
    <s v="Check out our latest image on twitter!"/>
    <n v="2493"/>
    <n v="97"/>
    <n v="44"/>
    <n v="42381"/>
    <n v="41991"/>
    <n v="242"/>
    <n v="6.2150491965739366E-2"/>
    <x v="2"/>
    <s v="SustainabilityDrive"/>
  </r>
  <r>
    <x v="114"/>
    <s v="Twitter"/>
    <d v="2025-05-11T00:00:00"/>
    <s v="Image"/>
    <s v="Check out our latest image on twitter!"/>
    <n v="2493"/>
    <n v="97"/>
    <n v="44"/>
    <n v="42381"/>
    <n v="41991"/>
    <n v="242"/>
    <n v="6.2150491965739366E-2"/>
    <x v="1"/>
    <s v="SustainabilityDrive"/>
  </r>
  <r>
    <x v="115"/>
    <s v="YouTube"/>
    <d v="2025-03-18T00:00:00"/>
    <s v="Reel"/>
    <s v="Check out our latest reel on youtube!"/>
    <n v="3704"/>
    <n v="186"/>
    <n v="458"/>
    <n v="25928"/>
    <n v="25081"/>
    <n v="131"/>
    <n v="0.16769515581610614"/>
    <x v="2"/>
    <m/>
  </r>
  <r>
    <x v="116"/>
    <s v="Twitter"/>
    <d v="2024-11-04T00:00:00"/>
    <s v="Image"/>
    <s v="Check out our latest image on twitter!"/>
    <n v="1606"/>
    <n v="451"/>
    <n v="405"/>
    <n v="20878"/>
    <n v="20190"/>
    <n v="219"/>
    <n v="0.11792317271769326"/>
    <x v="4"/>
    <s v="SustainabilityDrive"/>
  </r>
  <r>
    <x v="117"/>
    <s v="Facebook"/>
    <d v="2024-11-04T00:00:00"/>
    <s v="Image"/>
    <s v="Check out our latest image on facebook!"/>
    <n v="4551"/>
    <n v="714"/>
    <n v="207"/>
    <n v="68265"/>
    <n v="67754"/>
    <n v="57"/>
    <n v="8.0158206987475278E-2"/>
    <x v="0"/>
    <s v="FSDUpdate"/>
  </r>
  <r>
    <x v="118"/>
    <s v="Instagram"/>
    <d v="2025-02-07T00:00:00"/>
    <s v="Reel"/>
    <s v="Check out our latest reel on instagram!"/>
    <n v="1970"/>
    <n v="675"/>
    <n v="478"/>
    <n v="9850"/>
    <n v="8924"/>
    <n v="117"/>
    <n v="0.31705583756345179"/>
    <x v="0"/>
    <m/>
  </r>
  <r>
    <x v="119"/>
    <s v="Facebook"/>
    <d v="2024-10-21T00:00:00"/>
    <s v="Story"/>
    <s v="Check out our latest story on facebook!"/>
    <n v="780"/>
    <n v="928"/>
    <n v="301"/>
    <n v="8580"/>
    <n v="8081"/>
    <n v="91"/>
    <n v="0.23414918414918415"/>
    <x v="4"/>
    <s v="FSDUpdate"/>
  </r>
  <r>
    <x v="120"/>
    <s v="Instagram"/>
    <d v="2024-07-29T00:00:00"/>
    <s v="Story"/>
    <s v="Check out our latest story on instagram!"/>
    <n v="498"/>
    <n v="701"/>
    <n v="412"/>
    <n v="4980"/>
    <n v="4185"/>
    <n v="185"/>
    <n v="0.32349397590361445"/>
    <x v="0"/>
    <m/>
  </r>
  <r>
    <x v="121"/>
    <s v="Instagram"/>
    <d v="2024-10-02T00:00:00"/>
    <s v="Text"/>
    <s v="Check out our latest text on instagram!"/>
    <n v="3432"/>
    <n v="869"/>
    <n v="123"/>
    <n v="54912"/>
    <n v="53916"/>
    <n v="264"/>
    <n v="8.0565268065268064E-2"/>
    <x v="4"/>
    <s v="ModelYCampaign"/>
  </r>
  <r>
    <x v="122"/>
    <s v="Instagram"/>
    <d v="2024-06-14T00:00:00"/>
    <s v="Story"/>
    <s v="Check out our latest story on instagram!"/>
    <n v="4363"/>
    <n v="649"/>
    <n v="140"/>
    <n v="21815"/>
    <n v="21481"/>
    <n v="157"/>
    <n v="0.23616777446710979"/>
    <x v="4"/>
    <s v="CybertruckLaunch"/>
  </r>
  <r>
    <x v="123"/>
    <s v="YouTube"/>
    <d v="2025-04-06T00:00:00"/>
    <s v="Carousel"/>
    <s v="Check out our latest carousel on youtube!"/>
    <n v="736"/>
    <n v="771"/>
    <n v="225"/>
    <n v="5152"/>
    <n v="4706"/>
    <n v="19"/>
    <n v="0.33618012422360249"/>
    <x v="4"/>
    <s v="CybertruckLaunch"/>
  </r>
  <r>
    <x v="124"/>
    <s v="Twitter"/>
    <d v="2024-09-08T00:00:00"/>
    <s v="Carousel"/>
    <s v="Check out our latest carousel on twitter!"/>
    <n v="3811"/>
    <n v="866"/>
    <n v="216"/>
    <n v="34299"/>
    <n v="34088"/>
    <n v="233"/>
    <n v="0.14265722032712325"/>
    <x v="2"/>
    <s v="SustainabilityDrive"/>
  </r>
  <r>
    <x v="125"/>
    <s v="Instagram"/>
    <d v="2025-03-28T00:00:00"/>
    <s v="Carousel"/>
    <s v="Check out our latest carousel on instagram!"/>
    <n v="4158"/>
    <n v="167"/>
    <n v="241"/>
    <n v="45738"/>
    <n v="45183"/>
    <n v="142"/>
    <n v="9.9829463465827106E-2"/>
    <x v="0"/>
    <m/>
  </r>
  <r>
    <x v="126"/>
    <s v="Facebook"/>
    <d v="2025-01-27T00:00:00"/>
    <s v="Reel"/>
    <s v="Check out our latest reel on facebook!"/>
    <n v="3452"/>
    <n v="652"/>
    <n v="442"/>
    <n v="65588"/>
    <n v="65049"/>
    <n v="158"/>
    <n v="6.9311459413307311E-2"/>
    <x v="0"/>
    <s v="FSDUpdate"/>
  </r>
  <r>
    <x v="127"/>
    <s v="Twitter"/>
    <d v="2025-01-10T00:00:00"/>
    <s v="Image"/>
    <s v="Check out our latest image on twitter!"/>
    <n v="3092"/>
    <n v="106"/>
    <n v="291"/>
    <n v="27828"/>
    <n v="27217"/>
    <n v="102"/>
    <n v="0.12537731780940059"/>
    <x v="0"/>
    <m/>
  </r>
  <r>
    <x v="128"/>
    <s v="Twitter"/>
    <d v="2024-07-21T00:00:00"/>
    <s v="Text"/>
    <s v="Check out our latest text on twitter!"/>
    <n v="2147"/>
    <n v="430"/>
    <n v="393"/>
    <n v="17176"/>
    <n v="16483"/>
    <n v="170"/>
    <n v="0.17291569632044715"/>
    <x v="2"/>
    <m/>
  </r>
  <r>
    <x v="129"/>
    <s v="YouTube"/>
    <d v="2024-09-29T00:00:00"/>
    <s v="Reel"/>
    <s v="Check out our latest reel on youtube!"/>
    <n v="2936"/>
    <n v="439"/>
    <n v="44"/>
    <n v="38168"/>
    <n v="37571"/>
    <n v="22"/>
    <n v="8.9577656675749323E-2"/>
    <x v="4"/>
    <s v="SustainabilityDrive"/>
  </r>
  <r>
    <x v="130"/>
    <s v="Instagram"/>
    <d v="2024-10-21T00:00:00"/>
    <s v="Reel"/>
    <s v="Check out our latest reel on instagram!"/>
    <n v="4840"/>
    <n v="658"/>
    <n v="211"/>
    <n v="43560"/>
    <n v="43225"/>
    <n v="57"/>
    <n v="0.13106060606060607"/>
    <x v="0"/>
    <s v="FSDUpdate"/>
  </r>
  <r>
    <x v="131"/>
    <s v="Instagram"/>
    <d v="2025-03-04T00:00:00"/>
    <s v="Story"/>
    <s v="Check out our latest story on instagram!"/>
    <n v="1947"/>
    <n v="842"/>
    <n v="101"/>
    <n v="21417"/>
    <n v="20967"/>
    <n v="186"/>
    <n v="0.13493953401503478"/>
    <x v="0"/>
    <s v="ModelYCampaign"/>
  </r>
  <r>
    <x v="132"/>
    <s v="Facebook"/>
    <d v="2025-02-06T00:00:00"/>
    <s v="Image"/>
    <s v="Check out our latest image on facebook!"/>
    <n v="2072"/>
    <n v="532"/>
    <n v="71"/>
    <n v="37296"/>
    <n v="36467"/>
    <n v="25"/>
    <n v="7.172350922350923E-2"/>
    <x v="2"/>
    <s v="SustainabilityDrive"/>
  </r>
  <r>
    <x v="133"/>
    <s v="Twitter"/>
    <d v="2025-04-24T00:00:00"/>
    <s v="Reel"/>
    <s v="Check out our latest reel on twitter!"/>
    <n v="3731"/>
    <n v="115"/>
    <n v="135"/>
    <n v="55965"/>
    <n v="55436"/>
    <n v="103"/>
    <n v="7.1133744304476013E-2"/>
    <x v="2"/>
    <s v="CybertruckLaunch"/>
  </r>
  <r>
    <x v="134"/>
    <s v="Facebook"/>
    <d v="2024-11-28T00:00:00"/>
    <s v="Text"/>
    <s v="Check out our latest text on facebook!"/>
    <n v="4213"/>
    <n v="253"/>
    <n v="434"/>
    <n v="75834"/>
    <n v="75437"/>
    <n v="272"/>
    <n v="6.461481657304112E-2"/>
    <x v="0"/>
    <s v="SustainabilityDrive"/>
  </r>
  <r>
    <x v="135"/>
    <s v="Instagram"/>
    <d v="2024-07-11T00:00:00"/>
    <s v="Text"/>
    <s v="Check out our latest text on instagram!"/>
    <n v="3134"/>
    <n v="888"/>
    <n v="444"/>
    <n v="21938"/>
    <n v="21337"/>
    <n v="130"/>
    <n v="0.20357370772176134"/>
    <x v="4"/>
    <s v="SustainabilityDrive"/>
  </r>
  <r>
    <x v="136"/>
    <s v="Facebook"/>
    <d v="2024-07-31T00:00:00"/>
    <s v="Video"/>
    <s v="Check out our latest video on facebook!"/>
    <n v="3008"/>
    <n v="94"/>
    <n v="37"/>
    <n v="15040"/>
    <n v="14639"/>
    <n v="277"/>
    <n v="0.20871010638297871"/>
    <x v="0"/>
    <m/>
  </r>
  <r>
    <x v="137"/>
    <s v="Twitter"/>
    <d v="2025-03-29T00:00:00"/>
    <s v="Image"/>
    <s v="Check out our latest image on twitter!"/>
    <n v="305"/>
    <n v="187"/>
    <n v="243"/>
    <n v="4575"/>
    <n v="3704"/>
    <n v="234"/>
    <n v="0.16065573770491803"/>
    <x v="0"/>
    <s v="FSDUpdate"/>
  </r>
  <r>
    <x v="138"/>
    <s v="YouTube"/>
    <d v="2024-10-29T00:00:00"/>
    <s v="Text"/>
    <s v="Check out our latest text on youtube!"/>
    <n v="2746"/>
    <n v="156"/>
    <n v="203"/>
    <n v="32952"/>
    <n v="32147"/>
    <n v="147"/>
    <n v="9.422796795338674E-2"/>
    <x v="4"/>
    <s v="CybertruckLaunch"/>
  </r>
  <r>
    <x v="139"/>
    <s v="Facebook"/>
    <d v="2024-07-15T00:00:00"/>
    <s v="Image"/>
    <s v="Check out our latest image on facebook!"/>
    <n v="2291"/>
    <n v="78"/>
    <n v="485"/>
    <n v="18328"/>
    <n v="18101"/>
    <n v="10"/>
    <n v="0.15571802706241816"/>
    <x v="4"/>
    <s v="ModelYCampaign"/>
  </r>
  <r>
    <x v="139"/>
    <s v="Facebook"/>
    <d v="2024-07-15T00:00:00"/>
    <s v="Image"/>
    <s v="Check out our latest image on facebook!"/>
    <n v="2291"/>
    <n v="78"/>
    <n v="485"/>
    <n v="18328"/>
    <n v="18101"/>
    <n v="10"/>
    <n v="0.15571802706241816"/>
    <x v="5"/>
    <s v="ModelYCampaign"/>
  </r>
  <r>
    <x v="140"/>
    <s v="Twitter"/>
    <d v="2024-08-31T00:00:00"/>
    <s v="Image"/>
    <s v="Check out our latest image on twitter!"/>
    <n v="3170"/>
    <n v="857"/>
    <n v="379"/>
    <n v="19020"/>
    <n v="18559"/>
    <n v="240"/>
    <n v="0.2316508937960042"/>
    <x v="0"/>
    <m/>
  </r>
  <r>
    <x v="141"/>
    <s v="YouTube"/>
    <d v="2025-03-25T00:00:00"/>
    <s v="Story"/>
    <s v="Check out our latest story on youtube!"/>
    <n v="2070"/>
    <n v="275"/>
    <n v="386"/>
    <n v="39330"/>
    <n v="38627"/>
    <n v="114"/>
    <n v="6.9438087973557078E-2"/>
    <x v="0"/>
    <s v="SustainabilityDrive"/>
  </r>
  <r>
    <x v="142"/>
    <s v="YouTube"/>
    <d v="2024-10-02T00:00:00"/>
    <s v="Carousel"/>
    <s v="Check out our latest carousel on youtube!"/>
    <n v="80"/>
    <n v="362"/>
    <n v="80"/>
    <n v="1040"/>
    <n v="349"/>
    <n v="117"/>
    <n v="0.50192307692307692"/>
    <x v="2"/>
    <s v="FSDUpdate"/>
  </r>
  <r>
    <x v="143"/>
    <s v="YouTube"/>
    <d v="2024-10-28T00:00:00"/>
    <s v="Story"/>
    <s v="Check out our latest story on youtube!"/>
    <n v="4929"/>
    <n v="749"/>
    <n v="452"/>
    <n v="93651"/>
    <n v="92810"/>
    <n v="66"/>
    <n v="6.5455787978772245E-2"/>
    <x v="4"/>
    <s v="SustainabilityDrive"/>
  </r>
  <r>
    <x v="144"/>
    <s v="Instagram"/>
    <d v="2024-08-12T00:00:00"/>
    <s v="Carousel"/>
    <s v="Check out our latest carousel on instagram!"/>
    <n v="1878"/>
    <n v="62"/>
    <n v="179"/>
    <n v="37560"/>
    <n v="36874"/>
    <n v="142"/>
    <n v="5.6416400425985093E-2"/>
    <x v="2"/>
    <s v="SustainabilityDrive"/>
  </r>
  <r>
    <x v="145"/>
    <s v="YouTube"/>
    <d v="2024-06-05T00:00:00"/>
    <s v="Reel"/>
    <s v="Check out our latest reel on youtube!"/>
    <n v="3065"/>
    <n v="772"/>
    <n v="142"/>
    <n v="18390"/>
    <n v="17875"/>
    <n v="200"/>
    <n v="0.21636759108210984"/>
    <x v="4"/>
    <m/>
  </r>
  <r>
    <x v="145"/>
    <s v="YouTube"/>
    <d v="2024-06-05T00:00:00"/>
    <s v="Reel"/>
    <s v="Check out our latest reel on youtube!"/>
    <n v="3065"/>
    <n v="772"/>
    <n v="142"/>
    <n v="18390"/>
    <n v="17875"/>
    <n v="200"/>
    <n v="0.21636759108210984"/>
    <x v="1"/>
    <m/>
  </r>
  <r>
    <x v="146"/>
    <s v="Instagram"/>
    <d v="2024-10-21T00:00:00"/>
    <s v="Reel"/>
    <s v="Check out our latest reel on instagram!"/>
    <n v="3256"/>
    <n v="459"/>
    <n v="266"/>
    <n v="26048"/>
    <n v="25529"/>
    <n v="143"/>
    <n v="0.15283323095823095"/>
    <x v="2"/>
    <s v="ModelYCampaign"/>
  </r>
  <r>
    <x v="147"/>
    <s v="Instagram"/>
    <d v="2025-04-15T00:00:00"/>
    <s v="Video"/>
    <s v="Check out our latest video on instagram!"/>
    <n v="4133"/>
    <n v="466"/>
    <n v="327"/>
    <n v="24798"/>
    <n v="24620"/>
    <n v="176"/>
    <n v="0.19864505202032423"/>
    <x v="4"/>
    <s v="SustainabilityDrive"/>
  </r>
  <r>
    <x v="148"/>
    <s v="Twitter"/>
    <d v="2024-06-16T00:00:00"/>
    <s v="Video"/>
    <s v="Check out our latest video on twitter!"/>
    <n v="1702"/>
    <n v="750"/>
    <n v="179"/>
    <n v="34040"/>
    <n v="33174"/>
    <n v="76"/>
    <n v="7.7291421856639245E-2"/>
    <x v="4"/>
    <s v="CybertruckLaunch"/>
  </r>
  <r>
    <x v="149"/>
    <s v="YouTube"/>
    <d v="2024-08-22T00:00:00"/>
    <s v="Carousel"/>
    <s v="Check out our latest carousel on youtube!"/>
    <n v="4295"/>
    <n v="853"/>
    <n v="325"/>
    <n v="85900"/>
    <n v="85788"/>
    <n v="290"/>
    <n v="6.3713620488940623E-2"/>
    <x v="2"/>
    <s v="SustainabilityDrive"/>
  </r>
  <r>
    <x v="150"/>
    <s v="Instagram"/>
    <d v="2024-07-26T00:00:00"/>
    <s v="Image"/>
    <s v="Check out our latest image on instagram!"/>
    <n v="3559"/>
    <n v="59"/>
    <n v="289"/>
    <n v="35590"/>
    <n v="35105"/>
    <n v="122"/>
    <n v="0.10977802753582468"/>
    <x v="4"/>
    <s v="CybertruckLaunch"/>
  </r>
  <r>
    <x v="151"/>
    <s v="Facebook"/>
    <d v="2025-04-22T00:00:00"/>
    <s v="Image"/>
    <s v="Check out our latest image on facebook!"/>
    <n v="4804"/>
    <n v="550"/>
    <n v="270"/>
    <n v="28824"/>
    <n v="28370"/>
    <n v="47"/>
    <n v="0.19511518179295032"/>
    <x v="4"/>
    <s v="SustainabilityDrive"/>
  </r>
  <r>
    <x v="152"/>
    <s v="Twitter"/>
    <d v="2025-01-01T00:00:00"/>
    <s v="Video"/>
    <s v="Check out our latest video on twitter!"/>
    <n v="754"/>
    <n v="197"/>
    <n v="257"/>
    <n v="6786"/>
    <n v="6221"/>
    <n v="212"/>
    <n v="0.17801355732390214"/>
    <x v="2"/>
    <s v="FSDUpdate"/>
  </r>
  <r>
    <x v="153"/>
    <s v="Instagram"/>
    <d v="2024-10-09T00:00:00"/>
    <s v="Carousel"/>
    <s v="Check out our latest carousel on instagram!"/>
    <n v="985"/>
    <n v="932"/>
    <n v="287"/>
    <n v="6895"/>
    <n v="6757"/>
    <n v="64"/>
    <n v="0.31965192168237855"/>
    <x v="0"/>
    <s v="SustainabilityDrive"/>
  </r>
  <r>
    <x v="154"/>
    <s v="YouTube"/>
    <d v="2024-12-21T00:00:00"/>
    <s v="Image"/>
    <s v="Check out our latest image on youtube!"/>
    <n v="2283"/>
    <n v="210"/>
    <n v="130"/>
    <n v="22830"/>
    <n v="22617"/>
    <n v="143"/>
    <n v="0.11489268506351293"/>
    <x v="0"/>
    <s v="ModelYCampaign"/>
  </r>
  <r>
    <x v="155"/>
    <s v="Facebook"/>
    <d v="2024-10-22T00:00:00"/>
    <s v="Carousel"/>
    <s v="Check out our latest carousel on facebook!"/>
    <n v="3352"/>
    <n v="941"/>
    <n v="482"/>
    <n v="43576"/>
    <n v="43338"/>
    <n v="240"/>
    <n v="0.1095786671562328"/>
    <x v="0"/>
    <s v="ModelYCampaign"/>
  </r>
  <r>
    <x v="156"/>
    <s v="YouTube"/>
    <d v="2024-07-23T00:00:00"/>
    <s v="Story"/>
    <s v="Check out our latest story on youtube!"/>
    <n v="4775"/>
    <n v="173"/>
    <n v="206"/>
    <n v="47750"/>
    <n v="47544"/>
    <n v="187"/>
    <n v="0.10793717277486911"/>
    <x v="0"/>
    <s v="ModelYCampaign"/>
  </r>
  <r>
    <x v="157"/>
    <s v="Instagram"/>
    <d v="2024-08-11T00:00:00"/>
    <s v="Story"/>
    <s v="Check out our latest story on instagram!"/>
    <n v="1762"/>
    <n v="405"/>
    <n v="423"/>
    <n v="22906"/>
    <n v="21925"/>
    <n v="25"/>
    <n v="0.11307081114118571"/>
    <x v="2"/>
    <s v="CybertruckLaunch"/>
  </r>
  <r>
    <x v="158"/>
    <s v="Facebook"/>
    <d v="2024-11-25T00:00:00"/>
    <s v="Story"/>
    <s v="Check out our latest story on facebook!"/>
    <n v="2120"/>
    <n v="158"/>
    <n v="488"/>
    <n v="12720"/>
    <n v="12085"/>
    <n v="17"/>
    <n v="0.21745283018867925"/>
    <x v="0"/>
    <s v="ModelYCampaign"/>
  </r>
  <r>
    <x v="159"/>
    <s v="Twitter"/>
    <d v="2024-08-24T00:00:00"/>
    <s v="Video"/>
    <s v="Check out our latest video on twitter!"/>
    <n v="1082"/>
    <n v="209"/>
    <n v="484"/>
    <n v="19476"/>
    <n v="18654"/>
    <n v="20"/>
    <n v="9.1137810638734856E-2"/>
    <x v="2"/>
    <m/>
  </r>
  <r>
    <x v="160"/>
    <s v="Twitter"/>
    <d v="2025-02-19T00:00:00"/>
    <s v="Text"/>
    <s v="Check out our latest text on twitter!"/>
    <n v="4671"/>
    <n v="876"/>
    <n v="366"/>
    <n v="51381"/>
    <n v="50565"/>
    <n v="245"/>
    <n v="0.11508145034156594"/>
    <x v="2"/>
    <s v="SustainabilityDrive"/>
  </r>
  <r>
    <x v="161"/>
    <s v="Facebook"/>
    <d v="2025-04-01T00:00:00"/>
    <s v="Story"/>
    <s v="Check out our latest story on facebook!"/>
    <n v="3430"/>
    <n v="566"/>
    <n v="164"/>
    <n v="48020"/>
    <n v="47305"/>
    <n v="120"/>
    <n v="8.6630570595585168E-2"/>
    <x v="0"/>
    <m/>
  </r>
  <r>
    <x v="162"/>
    <s v="Instagram"/>
    <d v="2025-04-08T00:00:00"/>
    <s v="Image"/>
    <s v="Check out our latest image on instagram!"/>
    <n v="4501"/>
    <n v="375"/>
    <n v="323"/>
    <n v="22505"/>
    <n v="21836"/>
    <n v="132"/>
    <n v="0.23101532992668297"/>
    <x v="2"/>
    <s v="ModelYCampaign"/>
  </r>
  <r>
    <x v="163"/>
    <s v="YouTube"/>
    <d v="2025-02-27T00:00:00"/>
    <s v="Text"/>
    <s v="Check out our latest text on youtube!"/>
    <n v="4934"/>
    <n v="971"/>
    <n v="156"/>
    <n v="39472"/>
    <n v="39025"/>
    <n v="169"/>
    <n v="0.15355188488042157"/>
    <x v="2"/>
    <s v="SustainabilityDrive"/>
  </r>
  <r>
    <x v="163"/>
    <s v="YouTube"/>
    <d v="2025-02-27T00:00:00"/>
    <s v="Text"/>
    <s v="Check out our latest text on youtube!"/>
    <n v="4934"/>
    <n v="971"/>
    <n v="156"/>
    <n v="39472"/>
    <n v="39025"/>
    <n v="169"/>
    <n v="0.15355188488042157"/>
    <x v="1"/>
    <s v="SustainabilityDrive"/>
  </r>
  <r>
    <x v="164"/>
    <s v="Twitter"/>
    <d v="2024-12-11T00:00:00"/>
    <s v="Text"/>
    <s v="Check out our latest text on twitter!"/>
    <n v="3239"/>
    <n v="43"/>
    <n v="211"/>
    <n v="22673"/>
    <n v="22171"/>
    <n v="230"/>
    <n v="0.15405989502933004"/>
    <x v="2"/>
    <s v="ModelYCampaign"/>
  </r>
  <r>
    <x v="165"/>
    <s v="Twitter"/>
    <d v="2025-02-16T00:00:00"/>
    <s v="Reel"/>
    <s v="Check out our latest reel on twitter!"/>
    <n v="1076"/>
    <n v="313"/>
    <n v="306"/>
    <n v="11836"/>
    <n v="11596"/>
    <n v="104"/>
    <n v="0.14320716458262928"/>
    <x v="0"/>
    <s v="CybertruckLaunch"/>
  </r>
  <r>
    <x v="166"/>
    <s v="Instagram"/>
    <d v="2024-11-28T00:00:00"/>
    <s v="Text"/>
    <s v="Check out our latest text on instagram!"/>
    <n v="4771"/>
    <n v="818"/>
    <n v="56"/>
    <n v="57252"/>
    <n v="56378"/>
    <n v="150"/>
    <n v="9.859917557465242E-2"/>
    <x v="0"/>
    <m/>
  </r>
  <r>
    <x v="167"/>
    <s v="Facebook"/>
    <d v="2024-11-12T00:00:00"/>
    <s v="Text"/>
    <s v="Check out our latest text on facebook!"/>
    <n v="2418"/>
    <n v="754"/>
    <n v="54"/>
    <n v="43524"/>
    <n v="42743"/>
    <n v="182"/>
    <n v="7.412002573292896E-2"/>
    <x v="4"/>
    <s v="CybertruckLaunch"/>
  </r>
  <r>
    <x v="168"/>
    <s v="YouTube"/>
    <d v="2024-12-03T00:00:00"/>
    <s v="Video"/>
    <s v="Check out our latest video on youtube!"/>
    <n v="3809"/>
    <n v="273"/>
    <n v="200"/>
    <n v="34281"/>
    <n v="33534"/>
    <n v="83"/>
    <n v="0.12490884163239112"/>
    <x v="4"/>
    <s v="CybertruckLaunch"/>
  </r>
  <r>
    <x v="169"/>
    <s v="Twitter"/>
    <d v="2025-04-28T00:00:00"/>
    <s v="Text"/>
    <s v="Check out our latest text on twitter!"/>
    <n v="3577"/>
    <n v="596"/>
    <n v="493"/>
    <n v="67963"/>
    <n v="67839"/>
    <n v="53"/>
    <n v="6.8655003457763777E-2"/>
    <x v="2"/>
    <s v="FSDUpdate"/>
  </r>
  <r>
    <x v="170"/>
    <s v="YouTube"/>
    <d v="2024-12-31T00:00:00"/>
    <s v="Video"/>
    <s v="Check out our latest video on youtube!"/>
    <n v="1018"/>
    <n v="447"/>
    <n v="332"/>
    <n v="18324"/>
    <n v="18164"/>
    <n v="38"/>
    <n v="9.8068107400130972E-2"/>
    <x v="0"/>
    <s v="ModelYCampaign"/>
  </r>
  <r>
    <x v="171"/>
    <s v="Facebook"/>
    <d v="2024-08-14T00:00:00"/>
    <s v="Carousel"/>
    <s v="Check out our latest carousel on facebook!"/>
    <n v="3073"/>
    <n v="553"/>
    <n v="174"/>
    <n v="52241"/>
    <n v="51605"/>
    <n v="246"/>
    <n v="7.2739802071170159E-2"/>
    <x v="4"/>
    <s v="FSDUpdate"/>
  </r>
  <r>
    <x v="172"/>
    <s v="Twitter"/>
    <d v="2024-12-05T00:00:00"/>
    <s v="Video"/>
    <s v="Check out our latest video on twitter!"/>
    <n v="1330"/>
    <n v="925"/>
    <n v="35"/>
    <n v="15960"/>
    <n v="15379"/>
    <n v="229"/>
    <n v="0.14348370927318296"/>
    <x v="0"/>
    <s v="FSDUpdate"/>
  </r>
  <r>
    <x v="173"/>
    <s v="Facebook"/>
    <d v="2024-06-22T00:00:00"/>
    <s v="Text"/>
    <s v="Check out our latest text on facebook!"/>
    <n v="3828"/>
    <n v="148"/>
    <n v="253"/>
    <n v="30624"/>
    <n v="30229"/>
    <n v="235"/>
    <n v="0.13809430512016718"/>
    <x v="4"/>
    <m/>
  </r>
  <r>
    <x v="174"/>
    <s v="Instagram"/>
    <d v="2025-01-17T00:00:00"/>
    <s v="Reel"/>
    <s v="Check out our latest reel on instagram!"/>
    <n v="142"/>
    <n v="784"/>
    <n v="183"/>
    <n v="1704"/>
    <n v="995"/>
    <n v="154"/>
    <n v="0.6508215962441315"/>
    <x v="0"/>
    <s v="SustainabilityDrive"/>
  </r>
  <r>
    <x v="175"/>
    <s v="Facebook"/>
    <d v="2024-06-20T00:00:00"/>
    <s v="Video"/>
    <s v="Check out our latest video on facebook!"/>
    <n v="3798"/>
    <n v="31"/>
    <n v="279"/>
    <n v="75960"/>
    <n v="75813"/>
    <n v="266"/>
    <n v="5.4081095313322801E-2"/>
    <x v="2"/>
    <s v="CybertruckLaunch"/>
  </r>
  <r>
    <x v="176"/>
    <s v="Instagram"/>
    <d v="2024-07-10T00:00:00"/>
    <s v="Carousel"/>
    <s v="Check out our latest carousel on instagram!"/>
    <n v="3099"/>
    <n v="694"/>
    <n v="171"/>
    <n v="43386"/>
    <n v="42921"/>
    <n v="52"/>
    <n v="9.1365878393951966E-2"/>
    <x v="2"/>
    <s v="FSDUpdate"/>
  </r>
  <r>
    <x v="177"/>
    <s v="Instagram"/>
    <d v="2024-11-07T00:00:00"/>
    <s v="Video"/>
    <s v="Check out our latest video on instagram!"/>
    <n v="129"/>
    <n v="643"/>
    <n v="136"/>
    <n v="1290"/>
    <n v="839"/>
    <n v="238"/>
    <n v="0.70387596899224802"/>
    <x v="2"/>
    <s v="SustainabilityDrive"/>
  </r>
  <r>
    <x v="178"/>
    <s v="Facebook"/>
    <d v="2024-07-15T00:00:00"/>
    <s v="Carousel"/>
    <s v="Check out our latest carousel on facebook!"/>
    <n v="3796"/>
    <n v="667"/>
    <n v="395"/>
    <n v="64532"/>
    <n v="63550"/>
    <n v="292"/>
    <n v="7.5280481001673588E-2"/>
    <x v="2"/>
    <m/>
  </r>
  <r>
    <x v="179"/>
    <s v="YouTube"/>
    <d v="2024-12-03T00:00:00"/>
    <s v="Text"/>
    <s v="Check out our latest text on youtube!"/>
    <n v="3711"/>
    <n v="352"/>
    <n v="290"/>
    <n v="48243"/>
    <n v="47579"/>
    <n v="11"/>
    <n v="9.023070704558174E-2"/>
    <x v="2"/>
    <s v="CybertruckLaunch"/>
  </r>
  <r>
    <x v="180"/>
    <s v="YouTube"/>
    <d v="2025-03-21T00:00:00"/>
    <s v="Image"/>
    <s v="Check out our latest image on youtube!"/>
    <n v="606"/>
    <n v="789"/>
    <n v="470"/>
    <n v="7878"/>
    <n v="7389"/>
    <n v="239"/>
    <n v="0.23673521198273673"/>
    <x v="4"/>
    <s v="FSDUpdate"/>
  </r>
  <r>
    <x v="181"/>
    <s v="Facebook"/>
    <d v="2024-07-31T00:00:00"/>
    <s v="Image"/>
    <s v="Check out our latest image on facebook!"/>
    <n v="4689"/>
    <n v="134"/>
    <n v="403"/>
    <n v="51579"/>
    <n v="50924"/>
    <n v="173"/>
    <n v="0.10132030477519921"/>
    <x v="2"/>
    <s v="SustainabilityDrive"/>
  </r>
  <r>
    <x v="182"/>
    <s v="Instagram"/>
    <d v="2024-12-17T00:00:00"/>
    <s v="Story"/>
    <s v="Check out our latest story on instagram!"/>
    <n v="360"/>
    <n v="590"/>
    <n v="393"/>
    <n v="4680"/>
    <n v="4322"/>
    <n v="208"/>
    <n v="0.28696581196581195"/>
    <x v="0"/>
    <s v="ModelYCampaign"/>
  </r>
  <r>
    <x v="183"/>
    <s v="Twitter"/>
    <d v="2024-07-28T00:00:00"/>
    <s v="Image"/>
    <s v="Check out our latest image on twitter!"/>
    <n v="3215"/>
    <n v="960"/>
    <n v="202"/>
    <n v="32150"/>
    <n v="31404"/>
    <n v="251"/>
    <n v="0.13614307931570763"/>
    <x v="4"/>
    <s v="CybertruckLaunch"/>
  </r>
  <r>
    <x v="184"/>
    <s v="Instagram"/>
    <d v="2025-01-11T00:00:00"/>
    <s v="Carousel"/>
    <s v="Check out our latest carousel on instagram!"/>
    <n v="4523"/>
    <n v="61"/>
    <n v="157"/>
    <n v="49753"/>
    <n v="49329"/>
    <n v="71"/>
    <n v="9.5290736237010829E-2"/>
    <x v="4"/>
    <m/>
  </r>
  <r>
    <x v="185"/>
    <s v="Facebook"/>
    <d v="2024-08-24T00:00:00"/>
    <s v="Carousel"/>
    <s v="Check out our latest carousel on facebook!"/>
    <n v="4292"/>
    <n v="51"/>
    <n v="392"/>
    <n v="55796"/>
    <n v="54826"/>
    <n v="264"/>
    <n v="8.4862714173059003E-2"/>
    <x v="4"/>
    <s v="FSDUpdate"/>
  </r>
  <r>
    <x v="186"/>
    <s v="Twitter"/>
    <d v="2024-12-22T00:00:00"/>
    <s v="Reel"/>
    <s v="Check out our latest reel on twitter!"/>
    <n v="1644"/>
    <n v="546"/>
    <n v="150"/>
    <n v="27948"/>
    <n v="27184"/>
    <n v="300"/>
    <n v="8.3726921425504502E-2"/>
    <x v="4"/>
    <s v="FSDUpdate"/>
  </r>
  <r>
    <x v="187"/>
    <s v="YouTube"/>
    <d v="2024-06-06T00:00:00"/>
    <s v="Reel"/>
    <s v="Check out our latest reel on youtube!"/>
    <n v="2728"/>
    <n v="533"/>
    <n v="215"/>
    <n v="40920"/>
    <n v="40816"/>
    <n v="137"/>
    <n v="8.4946236559139784E-2"/>
    <x v="0"/>
    <s v="ModelYCampaign"/>
  </r>
  <r>
    <x v="188"/>
    <s v="Facebook"/>
    <d v="2025-03-24T00:00:00"/>
    <s v="Reel"/>
    <s v="Check out our latest reel on facebook!"/>
    <n v="3360"/>
    <n v="525"/>
    <n v="500"/>
    <n v="60480"/>
    <n v="59610"/>
    <n v="192"/>
    <n v="7.2503306878306875E-2"/>
    <x v="2"/>
    <s v="CybertruckLaunch"/>
  </r>
  <r>
    <x v="189"/>
    <s v="YouTube"/>
    <d v="2024-10-04T00:00:00"/>
    <s v="Text"/>
    <s v="Check out our latest text on youtube!"/>
    <n v="1963"/>
    <n v="213"/>
    <n v="19"/>
    <n v="39260"/>
    <n v="38771"/>
    <n v="145"/>
    <n v="5.5909322465613857E-2"/>
    <x v="0"/>
    <m/>
  </r>
  <r>
    <x v="190"/>
    <s v="YouTube"/>
    <d v="2024-12-03T00:00:00"/>
    <s v="Story"/>
    <s v="Check out our latest story on youtube!"/>
    <n v="4285"/>
    <n v="886"/>
    <n v="376"/>
    <n v="55705"/>
    <n v="55556"/>
    <n v="51"/>
    <n v="9.9578134817341346E-2"/>
    <x v="0"/>
    <s v="FSDUpdate"/>
  </r>
  <r>
    <x v="191"/>
    <s v="Instagram"/>
    <d v="2024-11-29T00:00:00"/>
    <s v="Video"/>
    <s v="Check out our latest video on instagram!"/>
    <n v="1176"/>
    <n v="464"/>
    <n v="394"/>
    <n v="14112"/>
    <n v="13588"/>
    <n v="272"/>
    <n v="0.1441326530612245"/>
    <x v="4"/>
    <m/>
  </r>
  <r>
    <x v="192"/>
    <s v="Twitter"/>
    <d v="2024-09-11T00:00:00"/>
    <s v="Image"/>
    <s v="Check out our latest image on twitter!"/>
    <n v="4858"/>
    <n v="317"/>
    <n v="129"/>
    <n v="53438"/>
    <n v="52687"/>
    <n v="223"/>
    <n v="9.9255211647142488E-2"/>
    <x v="4"/>
    <s v="FSDUpdate"/>
  </r>
  <r>
    <x v="193"/>
    <s v="YouTube"/>
    <d v="2024-10-02T00:00:00"/>
    <s v="Story"/>
    <s v="Check out our latest story on youtube!"/>
    <n v="4350"/>
    <n v="771"/>
    <n v="7"/>
    <n v="60900"/>
    <n v="60592"/>
    <n v="195"/>
    <n v="8.4203612479474554E-2"/>
    <x v="4"/>
    <s v="CybertruckLaunch"/>
  </r>
  <r>
    <x v="194"/>
    <s v="Instagram"/>
    <d v="2024-08-15T00:00:00"/>
    <s v="Carousel"/>
    <s v="Check out our latest carousel on instagram!"/>
    <n v="914"/>
    <n v="464"/>
    <n v="246"/>
    <n v="11882"/>
    <n v="11500"/>
    <n v="282"/>
    <n v="0.13667732704931829"/>
    <x v="0"/>
    <s v="SustainabilityDrive"/>
  </r>
  <r>
    <x v="194"/>
    <s v="Instagram"/>
    <d v="2024-08-15T00:00:00"/>
    <s v="Carousel"/>
    <s v="Check out our latest carousel on instagram!"/>
    <n v="914"/>
    <n v="464"/>
    <n v="246"/>
    <n v="11882"/>
    <n v="11500"/>
    <n v="282"/>
    <n v="0.13667732704931829"/>
    <x v="2"/>
    <s v="SustainabilityDrive"/>
  </r>
  <r>
    <x v="194"/>
    <s v="Instagram"/>
    <d v="2024-08-15T00:00:00"/>
    <s v="Carousel"/>
    <s v="Check out our latest carousel on instagram!"/>
    <n v="914"/>
    <n v="464"/>
    <n v="246"/>
    <n v="11882"/>
    <n v="11500"/>
    <n v="282"/>
    <n v="0.13667732704931829"/>
    <x v="1"/>
    <s v="SustainabilityDrive"/>
  </r>
  <r>
    <x v="195"/>
    <s v="Instagram"/>
    <d v="2024-12-19T00:00:00"/>
    <s v="Text"/>
    <s v="Check out our latest text on instagram!"/>
    <n v="1813"/>
    <n v="623"/>
    <n v="72"/>
    <n v="19943"/>
    <n v="18959"/>
    <n v="85"/>
    <n v="0.12575841147269717"/>
    <x v="4"/>
    <s v="FSDUpdate"/>
  </r>
  <r>
    <x v="196"/>
    <s v="Twitter"/>
    <d v="2024-10-22T00:00:00"/>
    <s v="Reel"/>
    <s v="Check out our latest reel on twitter!"/>
    <n v="4782"/>
    <n v="721"/>
    <n v="82"/>
    <n v="86076"/>
    <n v="85339"/>
    <n v="19"/>
    <n v="6.4884520656164318E-2"/>
    <x v="4"/>
    <s v="CybertruckLaunch"/>
  </r>
  <r>
    <x v="197"/>
    <s v="Twitter"/>
    <d v="2024-09-14T00:00:00"/>
    <s v="Image"/>
    <s v="Check out our latest image on twitter!"/>
    <n v="1048"/>
    <n v="374"/>
    <n v="450"/>
    <n v="9432"/>
    <n v="8882"/>
    <n v="158"/>
    <n v="0.19847328244274809"/>
    <x v="2"/>
    <s v="FSDUpdate"/>
  </r>
  <r>
    <x v="198"/>
    <s v="YouTube"/>
    <d v="2024-11-30T00:00:00"/>
    <s v="Carousel"/>
    <s v="Check out our latest carousel on youtube!"/>
    <n v="2509"/>
    <n v="324"/>
    <n v="171"/>
    <n v="35126"/>
    <n v="34685"/>
    <n v="277"/>
    <n v="8.5520696919660646E-2"/>
    <x v="2"/>
    <s v="ModelYCampaign"/>
  </r>
  <r>
    <x v="199"/>
    <s v="Facebook"/>
    <d v="2025-04-07T00:00:00"/>
    <s v="Reel"/>
    <s v="Check out our latest reel on facebook!"/>
    <n v="3718"/>
    <n v="385"/>
    <n v="310"/>
    <n v="70642"/>
    <n v="69749"/>
    <n v="233"/>
    <n v="6.246991874522239E-2"/>
    <x v="2"/>
    <s v="ModelYCampaign"/>
  </r>
  <r>
    <x v="200"/>
    <s v="Twitter"/>
    <d v="2025-01-15T00:00:00"/>
    <s v="Reel"/>
    <s v="Check out our latest reel on twitter!"/>
    <n v="802"/>
    <n v="262"/>
    <n v="244"/>
    <n v="14436"/>
    <n v="14280"/>
    <n v="49"/>
    <n v="9.0606816292601824E-2"/>
    <x v="4"/>
    <s v="CybertruckLaunch"/>
  </r>
  <r>
    <x v="201"/>
    <s v="Facebook"/>
    <d v="2024-06-02T00:00:00"/>
    <s v="Image"/>
    <s v="Check out our latest image on facebook!"/>
    <n v="1871"/>
    <n v="252"/>
    <n v="335"/>
    <n v="29936"/>
    <n v="29576"/>
    <n v="288"/>
    <n v="8.2108498129342594E-2"/>
    <x v="4"/>
    <s v="FSDUpdate"/>
  </r>
  <r>
    <x v="202"/>
    <s v="Instagram"/>
    <d v="2024-11-21T00:00:00"/>
    <s v="Carousel"/>
    <s v="Check out our latest carousel on instagram!"/>
    <n v="3773"/>
    <n v="299"/>
    <n v="38"/>
    <n v="71687"/>
    <n v="71447"/>
    <n v="286"/>
    <n v="5.7332570758993957E-2"/>
    <x v="0"/>
    <s v="CybertruckLaunch"/>
  </r>
  <r>
    <x v="203"/>
    <s v="Instagram"/>
    <d v="2025-01-01T00:00:00"/>
    <s v="Carousel"/>
    <s v="Check out our latest carousel on instagram!"/>
    <n v="2234"/>
    <n v="653"/>
    <n v="432"/>
    <n v="11170"/>
    <n v="10569"/>
    <n v="198"/>
    <n v="0.29713518352730528"/>
    <x v="0"/>
    <s v="FSDUpdate"/>
  </r>
  <r>
    <x v="204"/>
    <s v="Twitter"/>
    <d v="2025-04-24T00:00:00"/>
    <s v="Video"/>
    <s v="Check out our latest video on twitter!"/>
    <n v="3820"/>
    <n v="697"/>
    <n v="268"/>
    <n v="45840"/>
    <n v="45631"/>
    <n v="171"/>
    <n v="0.1043848167539267"/>
    <x v="2"/>
    <s v="SustainabilityDrive"/>
  </r>
  <r>
    <x v="204"/>
    <s v="Twitter"/>
    <d v="2025-04-24T00:00:00"/>
    <s v="Video"/>
    <s v="Check out our latest video on twitter!"/>
    <n v="3820"/>
    <n v="697"/>
    <n v="268"/>
    <n v="45840"/>
    <n v="45631"/>
    <n v="171"/>
    <n v="0.1043848167539267"/>
    <x v="5"/>
    <s v="SustainabilityDrive"/>
  </r>
  <r>
    <x v="205"/>
    <s v="Twitter"/>
    <d v="2024-06-24T00:00:00"/>
    <s v="Text"/>
    <s v="Check out our latest text on twitter!"/>
    <n v="941"/>
    <n v="121"/>
    <n v="458"/>
    <n v="14115"/>
    <n v="13838"/>
    <n v="87"/>
    <n v="0.10768685795253277"/>
    <x v="4"/>
    <s v="CybertruckLaunch"/>
  </r>
  <r>
    <x v="206"/>
    <s v="Twitter"/>
    <d v="2024-12-29T00:00:00"/>
    <s v="Carousel"/>
    <s v="Check out our latest carousel on twitter!"/>
    <n v="4274"/>
    <n v="340"/>
    <n v="281"/>
    <n v="34192"/>
    <n v="33446"/>
    <n v="129"/>
    <n v="0.14316214319138981"/>
    <x v="2"/>
    <s v="FSDUpdate"/>
  </r>
  <r>
    <x v="206"/>
    <s v="Twitter"/>
    <d v="2024-12-29T00:00:00"/>
    <s v="Carousel"/>
    <s v="Check out our latest carousel on twitter!"/>
    <n v="4274"/>
    <n v="340"/>
    <n v="281"/>
    <n v="34192"/>
    <n v="33446"/>
    <n v="129"/>
    <n v="0.14316214319138981"/>
    <x v="5"/>
    <s v="FSDUpdate"/>
  </r>
  <r>
    <x v="207"/>
    <s v="YouTube"/>
    <d v="2024-06-24T00:00:00"/>
    <s v="Video"/>
    <s v="Check out our latest video on youtube!"/>
    <n v="2949"/>
    <n v="476"/>
    <n v="403"/>
    <n v="44235"/>
    <n v="43705"/>
    <n v="135"/>
    <n v="8.6537809426924378E-2"/>
    <x v="2"/>
    <s v="ModelYCampaign"/>
  </r>
  <r>
    <x v="208"/>
    <s v="Twitter"/>
    <d v="2025-03-19T00:00:00"/>
    <s v="Video"/>
    <s v="Check out our latest video on twitter!"/>
    <n v="3160"/>
    <n v="204"/>
    <n v="297"/>
    <n v="44240"/>
    <n v="43666"/>
    <n v="49"/>
    <n v="8.2753164556962022E-2"/>
    <x v="0"/>
    <s v="SustainabilityDrive"/>
  </r>
  <r>
    <x v="208"/>
    <s v="Twitter"/>
    <d v="2025-03-19T00:00:00"/>
    <s v="Video"/>
    <s v="Check out our latest video on twitter!"/>
    <n v="3160"/>
    <n v="204"/>
    <n v="297"/>
    <n v="44240"/>
    <n v="43666"/>
    <n v="49"/>
    <n v="8.2753164556962022E-2"/>
    <x v="1"/>
    <s v="SustainabilityDrive"/>
  </r>
  <r>
    <x v="209"/>
    <s v="YouTube"/>
    <d v="2025-02-19T00:00:00"/>
    <s v="Image"/>
    <s v="Check out our latest image on youtube!"/>
    <n v="257"/>
    <n v="966"/>
    <n v="398"/>
    <n v="3341"/>
    <n v="2753"/>
    <n v="287"/>
    <n v="0.48518407662376534"/>
    <x v="0"/>
    <s v="CybertruckLaunch"/>
  </r>
  <r>
    <x v="210"/>
    <s v="Twitter"/>
    <d v="2024-07-18T00:00:00"/>
    <s v="Carousel"/>
    <s v="Check out our latest carousel on twitter!"/>
    <n v="2120"/>
    <n v="38"/>
    <n v="212"/>
    <n v="12720"/>
    <n v="12564"/>
    <n v="21"/>
    <n v="0.18632075471698112"/>
    <x v="0"/>
    <s v="SustainabilityDrive"/>
  </r>
  <r>
    <x v="211"/>
    <s v="YouTube"/>
    <d v="2025-03-03T00:00:00"/>
    <s v="Video"/>
    <s v="Check out our latest video on youtube!"/>
    <n v="3874"/>
    <n v="884"/>
    <n v="19"/>
    <n v="38740"/>
    <n v="38552"/>
    <n v="219"/>
    <n v="0.123309241094476"/>
    <x v="2"/>
    <s v="ModelYCampaign"/>
  </r>
  <r>
    <x v="212"/>
    <s v="Facebook"/>
    <d v="2025-05-01T00:00:00"/>
    <s v="Carousel"/>
    <s v="Check out our latest carousel on facebook!"/>
    <n v="2696"/>
    <n v="628"/>
    <n v="443"/>
    <n v="45832"/>
    <n v="45632"/>
    <n v="248"/>
    <n v="8.21914819340199E-2"/>
    <x v="4"/>
    <s v="SustainabilityDrive"/>
  </r>
  <r>
    <x v="213"/>
    <s v="Instagram"/>
    <d v="2024-12-23T00:00:00"/>
    <s v="Image"/>
    <s v="Check out our latest image on instagram!"/>
    <n v="521"/>
    <n v="746"/>
    <n v="315"/>
    <n v="4168"/>
    <n v="3399"/>
    <n v="282"/>
    <n v="0.37955854126679461"/>
    <x v="0"/>
    <s v="ModelYCampaign"/>
  </r>
  <r>
    <x v="214"/>
    <s v="Facebook"/>
    <d v="2025-05-06T00:00:00"/>
    <s v="Image"/>
    <s v="Check out our latest image on facebook!"/>
    <n v="4872"/>
    <n v="925"/>
    <n v="176"/>
    <n v="82824"/>
    <n v="82543"/>
    <n v="89"/>
    <n v="7.2116777745580993E-2"/>
    <x v="4"/>
    <s v="ModelYCampaign"/>
  </r>
  <r>
    <x v="215"/>
    <s v="YouTube"/>
    <d v="2024-07-29T00:00:00"/>
    <s v="Story"/>
    <s v="Check out our latest story on youtube!"/>
    <n v="1509"/>
    <n v="88"/>
    <n v="163"/>
    <n v="30180"/>
    <n v="29689"/>
    <n v="119"/>
    <n v="5.8316766070245198E-2"/>
    <x v="4"/>
    <s v="ModelYCampaign"/>
  </r>
  <r>
    <x v="216"/>
    <s v="Facebook"/>
    <d v="2024-12-03T00:00:00"/>
    <s v="Image"/>
    <s v="Check out our latest image on facebook!"/>
    <n v="4606"/>
    <n v="931"/>
    <n v="230"/>
    <n v="92120"/>
    <n v="91440"/>
    <n v="56"/>
    <n v="6.2603126356925748E-2"/>
    <x v="2"/>
    <m/>
  </r>
  <r>
    <x v="217"/>
    <s v="Facebook"/>
    <d v="2024-06-11T00:00:00"/>
    <s v="Carousel"/>
    <s v="Check out our latest carousel on facebook!"/>
    <n v="1869"/>
    <n v="453"/>
    <n v="490"/>
    <n v="14952"/>
    <n v="14309"/>
    <n v="275"/>
    <n v="0.18806848582129482"/>
    <x v="2"/>
    <s v="SustainabilityDrive"/>
  </r>
  <r>
    <x v="218"/>
    <s v="Twitter"/>
    <d v="2025-01-28T00:00:00"/>
    <s v="Reel"/>
    <s v="Check out our latest reel on twitter!"/>
    <n v="1188"/>
    <n v="470"/>
    <n v="174"/>
    <n v="7128"/>
    <n v="6145"/>
    <n v="270"/>
    <n v="0.25701459034792368"/>
    <x v="2"/>
    <s v="SustainabilityDrive"/>
  </r>
  <r>
    <x v="219"/>
    <s v="Instagram"/>
    <d v="2024-06-02T00:00:00"/>
    <s v="Story"/>
    <s v="Check out our latest story on instagram!"/>
    <n v="84"/>
    <n v="897"/>
    <n v="85"/>
    <n v="588"/>
    <n v="8"/>
    <n v="12"/>
    <n v="1.8129251700680271"/>
    <x v="4"/>
    <m/>
  </r>
  <r>
    <x v="220"/>
    <s v="Facebook"/>
    <d v="2025-03-23T00:00:00"/>
    <s v="Video"/>
    <s v="Check out our latest video on facebook!"/>
    <n v="4453"/>
    <n v="111"/>
    <n v="420"/>
    <n v="31171"/>
    <n v="30565"/>
    <n v="23"/>
    <n v="0.15989220750056141"/>
    <x v="2"/>
    <m/>
  </r>
  <r>
    <x v="221"/>
    <s v="Facebook"/>
    <d v="2024-10-08T00:00:00"/>
    <s v="Reel"/>
    <s v="Check out our latest reel on facebook!"/>
    <n v="1814"/>
    <n v="653"/>
    <n v="363"/>
    <n v="25396"/>
    <n v="25286"/>
    <n v="39"/>
    <n v="0.11143487163332809"/>
    <x v="0"/>
    <s v="CybertruckLaunch"/>
  </r>
  <r>
    <x v="221"/>
    <s v="Facebook"/>
    <d v="2024-10-08T00:00:00"/>
    <s v="Reel"/>
    <s v="Check out our latest reel on facebook!"/>
    <n v="1814"/>
    <n v="653"/>
    <n v="363"/>
    <n v="25396"/>
    <n v="25286"/>
    <n v="39"/>
    <n v="0.11143487163332809"/>
    <x v="5"/>
    <s v="CybertruckLaunch"/>
  </r>
  <r>
    <x v="222"/>
    <s v="Twitter"/>
    <d v="2024-11-12T00:00:00"/>
    <s v="Image"/>
    <s v="Check out our latest image on twitter!"/>
    <n v="3338"/>
    <n v="277"/>
    <n v="118"/>
    <n v="60084"/>
    <n v="59842"/>
    <n v="252"/>
    <n v="6.2129685107516146E-2"/>
    <x v="2"/>
    <m/>
  </r>
  <r>
    <x v="223"/>
    <s v="Facebook"/>
    <d v="2025-05-13T00:00:00"/>
    <s v="Image"/>
    <s v="Check out our latest image on facebook!"/>
    <n v="602"/>
    <n v="594"/>
    <n v="156"/>
    <n v="4214"/>
    <n v="3363"/>
    <n v="164"/>
    <n v="0.32083531086853345"/>
    <x v="2"/>
    <s v="FSDUpdate"/>
  </r>
  <r>
    <x v="224"/>
    <s v="Twitter"/>
    <d v="2024-06-20T00:00:00"/>
    <s v="Carousel"/>
    <s v="Check out our latest carousel on twitter!"/>
    <n v="4672"/>
    <n v="325"/>
    <n v="32"/>
    <n v="88768"/>
    <n v="87833"/>
    <n v="118"/>
    <n v="5.6653298485940883E-2"/>
    <x v="4"/>
    <m/>
  </r>
  <r>
    <x v="225"/>
    <s v="Instagram"/>
    <d v="2024-08-07T00:00:00"/>
    <s v="Carousel"/>
    <s v="Check out our latest carousel on instagram!"/>
    <n v="1741"/>
    <n v="164"/>
    <n v="318"/>
    <n v="8705"/>
    <n v="8272"/>
    <n v="121"/>
    <n v="0.25537047673750718"/>
    <x v="2"/>
    <m/>
  </r>
  <r>
    <x v="226"/>
    <s v="Instagram"/>
    <d v="2024-06-12T00:00:00"/>
    <s v="Text"/>
    <s v="Check out our latest text on instagram!"/>
    <n v="246"/>
    <n v="149"/>
    <n v="130"/>
    <n v="4674"/>
    <n v="4390"/>
    <n v="217"/>
    <n v="0.11232349165596919"/>
    <x v="0"/>
    <s v="FSDUpdate"/>
  </r>
  <r>
    <x v="227"/>
    <s v="Instagram"/>
    <d v="2024-07-01T00:00:00"/>
    <s v="Story"/>
    <s v="Check out our latest story on instagram!"/>
    <n v="4808"/>
    <n v="772"/>
    <n v="320"/>
    <n v="72120"/>
    <n v="71696"/>
    <n v="195"/>
    <n v="8.1808097615085965E-2"/>
    <x v="4"/>
    <s v="CybertruckLaunch"/>
  </r>
  <r>
    <x v="228"/>
    <s v="Instagram"/>
    <d v="2024-07-03T00:00:00"/>
    <s v="Carousel"/>
    <s v="Check out our latest carousel on instagram!"/>
    <n v="4799"/>
    <n v="694"/>
    <n v="289"/>
    <n v="43191"/>
    <n v="42228"/>
    <n v="118"/>
    <n v="0.13387048227640017"/>
    <x v="2"/>
    <m/>
  </r>
  <r>
    <x v="229"/>
    <s v="Facebook"/>
    <d v="2024-07-15T00:00:00"/>
    <s v="Reel"/>
    <s v="Check out our latest reel on facebook!"/>
    <n v="3663"/>
    <n v="17"/>
    <n v="295"/>
    <n v="51282"/>
    <n v="50567"/>
    <n v="84"/>
    <n v="7.7512577512577507E-2"/>
    <x v="4"/>
    <s v="FSDUpdate"/>
  </r>
  <r>
    <x v="230"/>
    <s v="Instagram"/>
    <d v="2025-05-01T00:00:00"/>
    <s v="Text"/>
    <s v="Check out our latest text on instagram!"/>
    <n v="1430"/>
    <n v="376"/>
    <n v="33"/>
    <n v="21450"/>
    <n v="20509"/>
    <n v="251"/>
    <n v="8.5734265734265735E-2"/>
    <x v="0"/>
    <s v="CybertruckLaunch"/>
  </r>
  <r>
    <x v="231"/>
    <s v="Twitter"/>
    <d v="2025-04-29T00:00:00"/>
    <s v="Story"/>
    <s v="Check out our latest story on twitter!"/>
    <n v="249"/>
    <n v="592"/>
    <n v="230"/>
    <n v="1494"/>
    <n v="1044"/>
    <n v="201"/>
    <n v="0.7168674698795181"/>
    <x v="4"/>
    <s v="SustainabilityDrive"/>
  </r>
  <r>
    <x v="232"/>
    <s v="Facebook"/>
    <d v="2025-03-08T00:00:00"/>
    <s v="Image"/>
    <s v="Check out our latest image on facebook!"/>
    <n v="2382"/>
    <n v="265"/>
    <n v="134"/>
    <n v="38112"/>
    <n v="37437"/>
    <n v="249"/>
    <n v="7.2969143576826198E-2"/>
    <x v="0"/>
    <s v="SustainabilityDrive"/>
  </r>
  <r>
    <x v="233"/>
    <s v="Facebook"/>
    <d v="2024-06-01T00:00:00"/>
    <s v="Text"/>
    <s v="Check out our latest text on facebook!"/>
    <n v="1272"/>
    <n v="465"/>
    <n v="99"/>
    <n v="24168"/>
    <n v="23719"/>
    <n v="42"/>
    <n v="7.5968222442899705E-2"/>
    <x v="2"/>
    <m/>
  </r>
  <r>
    <x v="234"/>
    <s v="Facebook"/>
    <d v="2024-12-22T00:00:00"/>
    <s v="Image"/>
    <s v="Check out our latest image on facebook!"/>
    <n v="3196"/>
    <n v="941"/>
    <n v="376"/>
    <n v="35156"/>
    <n v="34444"/>
    <n v="241"/>
    <n v="0.1283706906360223"/>
    <x v="2"/>
    <s v="FSDUpdate"/>
  </r>
  <r>
    <x v="235"/>
    <s v="Facebook"/>
    <d v="2024-08-19T00:00:00"/>
    <s v="Text"/>
    <s v="Check out our latest text on facebook!"/>
    <n v="1257"/>
    <n v="19"/>
    <n v="351"/>
    <n v="12570"/>
    <n v="11660"/>
    <n v="194"/>
    <n v="0.12943516308671441"/>
    <x v="0"/>
    <s v="ModelYCampaign"/>
  </r>
  <r>
    <x v="235"/>
    <s v="Facebook"/>
    <d v="2024-08-19T00:00:00"/>
    <s v="Text"/>
    <s v="Check out our latest text on facebook!"/>
    <n v="1257"/>
    <n v="19"/>
    <n v="351"/>
    <n v="12570"/>
    <n v="11660"/>
    <n v="194"/>
    <n v="0.12943516308671441"/>
    <x v="1"/>
    <s v="ModelYCampaign"/>
  </r>
  <r>
    <x v="235"/>
    <s v="Facebook"/>
    <d v="2024-08-19T00:00:00"/>
    <s v="Text"/>
    <s v="Check out our latest text on facebook!"/>
    <n v="1257"/>
    <n v="19"/>
    <n v="351"/>
    <n v="12570"/>
    <n v="11660"/>
    <n v="194"/>
    <n v="0.12943516308671441"/>
    <x v="4"/>
    <s v="ModelYCampaign"/>
  </r>
  <r>
    <x v="236"/>
    <s v="Instagram"/>
    <d v="2024-10-22T00:00:00"/>
    <s v="Story"/>
    <s v="Check out our latest story on instagram!"/>
    <n v="3770"/>
    <n v="917"/>
    <n v="129"/>
    <n v="71630"/>
    <n v="71322"/>
    <n v="76"/>
    <n v="6.7234398994834563E-2"/>
    <x v="0"/>
    <s v="CybertruckLaunch"/>
  </r>
  <r>
    <x v="237"/>
    <s v="Twitter"/>
    <d v="2024-07-16T00:00:00"/>
    <s v="Text"/>
    <s v="Check out our latest text on twitter!"/>
    <n v="4725"/>
    <n v="400"/>
    <n v="362"/>
    <n v="75600"/>
    <n v="74927"/>
    <n v="43"/>
    <n v="7.2579365079365077E-2"/>
    <x v="0"/>
    <s v="SustainabilityDrive"/>
  </r>
  <r>
    <x v="238"/>
    <s v="YouTube"/>
    <d v="2025-02-24T00:00:00"/>
    <s v="Text"/>
    <s v="Check out our latest text on youtube!"/>
    <n v="4188"/>
    <n v="942"/>
    <n v="118"/>
    <n v="20940"/>
    <n v="20471"/>
    <n v="102"/>
    <n v="0.25062082139446035"/>
    <x v="0"/>
    <m/>
  </r>
  <r>
    <x v="239"/>
    <s v="Twitter"/>
    <d v="2024-08-26T00:00:00"/>
    <s v="Carousel"/>
    <s v="Check out our latest carousel on twitter!"/>
    <n v="929"/>
    <n v="192"/>
    <n v="322"/>
    <n v="16722"/>
    <n v="15996"/>
    <n v="145"/>
    <n v="8.6293505561535699E-2"/>
    <x v="4"/>
    <s v="FSDUpdate"/>
  </r>
  <r>
    <x v="239"/>
    <s v="Twitter"/>
    <d v="2024-08-26T00:00:00"/>
    <s v="Carousel"/>
    <s v="Check out our latest carousel on twitter!"/>
    <n v="929"/>
    <n v="192"/>
    <n v="322"/>
    <n v="16722"/>
    <n v="15996"/>
    <n v="145"/>
    <n v="8.6293505561535699E-2"/>
    <x v="2"/>
    <s v="FSDUpdate"/>
  </r>
  <r>
    <x v="239"/>
    <s v="Twitter"/>
    <d v="2024-08-26T00:00:00"/>
    <s v="Carousel"/>
    <s v="Check out our latest carousel on twitter!"/>
    <n v="929"/>
    <n v="192"/>
    <n v="322"/>
    <n v="16722"/>
    <n v="15996"/>
    <n v="145"/>
    <n v="8.6293505561535699E-2"/>
    <x v="1"/>
    <s v="FSDUpdate"/>
  </r>
  <r>
    <x v="240"/>
    <s v="Facebook"/>
    <d v="2025-01-18T00:00:00"/>
    <s v="Story"/>
    <s v="Check out our latest story on facebook!"/>
    <n v="4321"/>
    <n v="874"/>
    <n v="172"/>
    <n v="30247"/>
    <n v="29254"/>
    <n v="122"/>
    <n v="0.17743908486792079"/>
    <x v="2"/>
    <s v="SustainabilityDrive"/>
  </r>
  <r>
    <x v="241"/>
    <s v="Facebook"/>
    <d v="2024-07-07T00:00:00"/>
    <s v="Reel"/>
    <s v="Check out our latest reel on facebook!"/>
    <n v="4767"/>
    <n v="190"/>
    <n v="340"/>
    <n v="28602"/>
    <n v="28044"/>
    <n v="210"/>
    <n v="0.18519683938186141"/>
    <x v="4"/>
    <s v="FSDUpdate"/>
  </r>
  <r>
    <x v="242"/>
    <s v="Twitter"/>
    <d v="2025-03-06T00:00:00"/>
    <s v="Image"/>
    <s v="Check out our latest image on twitter!"/>
    <n v="3592"/>
    <n v="911"/>
    <n v="375"/>
    <n v="50288"/>
    <n v="49490"/>
    <n v="32"/>
    <n v="9.7001272669424113E-2"/>
    <x v="0"/>
    <s v="SustainabilityDrive"/>
  </r>
  <r>
    <x v="243"/>
    <s v="YouTube"/>
    <d v="2024-10-25T00:00:00"/>
    <s v="Video"/>
    <s v="Check out our latest video on youtube!"/>
    <n v="4661"/>
    <n v="935"/>
    <n v="433"/>
    <n v="23305"/>
    <n v="22583"/>
    <n v="63"/>
    <n v="0.25869984981763572"/>
    <x v="0"/>
    <s v="FSDUpdate"/>
  </r>
  <r>
    <x v="244"/>
    <s v="Facebook"/>
    <d v="2025-01-12T00:00:00"/>
    <s v="Reel"/>
    <s v="Check out our latest reel on facebook!"/>
    <n v="4134"/>
    <n v="824"/>
    <n v="99"/>
    <n v="41340"/>
    <n v="41050"/>
    <n v="177"/>
    <n v="0.12232704402515723"/>
    <x v="4"/>
    <s v="CybertruckLaunch"/>
  </r>
  <r>
    <x v="245"/>
    <s v="Facebook"/>
    <d v="2024-10-11T00:00:00"/>
    <s v="Image"/>
    <s v="Check out our latest image on facebook!"/>
    <n v="400"/>
    <n v="680"/>
    <n v="434"/>
    <n v="6400"/>
    <n v="5472"/>
    <n v="160"/>
    <n v="0.23656250000000001"/>
    <x v="0"/>
    <s v="ModelYCampaign"/>
  </r>
  <r>
    <x v="246"/>
    <s v="Facebook"/>
    <d v="2024-08-27T00:00:00"/>
    <s v="Reel"/>
    <s v="Check out our latest reel on facebook!"/>
    <n v="3960"/>
    <n v="266"/>
    <n v="8"/>
    <n v="35640"/>
    <n v="34850"/>
    <n v="208"/>
    <n v="0.11879910213243547"/>
    <x v="0"/>
    <m/>
  </r>
  <r>
    <x v="246"/>
    <s v="Facebook"/>
    <d v="2024-08-27T00:00:00"/>
    <s v="Reel"/>
    <s v="Check out our latest reel on facebook!"/>
    <n v="3960"/>
    <n v="266"/>
    <n v="8"/>
    <n v="35640"/>
    <n v="34850"/>
    <n v="208"/>
    <n v="0.11879910213243547"/>
    <x v="4"/>
    <m/>
  </r>
  <r>
    <x v="246"/>
    <s v="Facebook"/>
    <d v="2024-08-27T00:00:00"/>
    <s v="Reel"/>
    <s v="Check out our latest reel on facebook!"/>
    <n v="3960"/>
    <n v="266"/>
    <n v="8"/>
    <n v="35640"/>
    <n v="34850"/>
    <n v="208"/>
    <n v="0.11879910213243547"/>
    <x v="3"/>
    <m/>
  </r>
  <r>
    <x v="247"/>
    <s v="Facebook"/>
    <d v="2025-02-02T00:00:00"/>
    <s v="Story"/>
    <s v="Check out our latest story on facebook!"/>
    <n v="886"/>
    <n v="126"/>
    <n v="153"/>
    <n v="4430"/>
    <n v="4037"/>
    <n v="212"/>
    <n v="0.26297968397291194"/>
    <x v="4"/>
    <m/>
  </r>
  <r>
    <x v="248"/>
    <s v="Twitter"/>
    <d v="2024-07-18T00:00:00"/>
    <s v="Image"/>
    <s v="Check out our latest image on twitter!"/>
    <n v="827"/>
    <n v="77"/>
    <n v="402"/>
    <n v="14886"/>
    <n v="14129"/>
    <n v="254"/>
    <n v="8.7733440816874911E-2"/>
    <x v="4"/>
    <s v="ModelYCampaign"/>
  </r>
  <r>
    <x v="249"/>
    <s v="Facebook"/>
    <d v="2024-06-22T00:00:00"/>
    <s v="Reel"/>
    <s v="Check out our latest reel on facebook!"/>
    <n v="3813"/>
    <n v="935"/>
    <n v="274"/>
    <n v="68634"/>
    <n v="68488"/>
    <n v="251"/>
    <n v="7.3170731707317069E-2"/>
    <x v="0"/>
    <m/>
  </r>
  <r>
    <x v="250"/>
    <s v="Instagram"/>
    <d v="2025-03-27T00:00:00"/>
    <s v="Carousel"/>
    <s v="Check out our latest carousel on instagram!"/>
    <n v="1377"/>
    <n v="796"/>
    <n v="387"/>
    <n v="22032"/>
    <n v="21869"/>
    <n v="189"/>
    <n v="0.11619462599854757"/>
    <x v="0"/>
    <m/>
  </r>
  <r>
    <x v="251"/>
    <s v="Facebook"/>
    <d v="2025-04-28T00:00:00"/>
    <s v="Carousel"/>
    <s v="Check out our latest carousel on facebook!"/>
    <n v="2089"/>
    <n v="476"/>
    <n v="69"/>
    <n v="16712"/>
    <n v="16309"/>
    <n v="64"/>
    <n v="0.15761129727142173"/>
    <x v="0"/>
    <s v="FSDUpdate"/>
  </r>
  <r>
    <x v="252"/>
    <s v="Twitter"/>
    <d v="2024-08-03T00:00:00"/>
    <s v="Reel"/>
    <s v="Check out our latest reel on twitter!"/>
    <n v="3791"/>
    <n v="593"/>
    <n v="228"/>
    <n v="53074"/>
    <n v="52613"/>
    <n v="205"/>
    <n v="8.6897539284772202E-2"/>
    <x v="4"/>
    <m/>
  </r>
  <r>
    <x v="253"/>
    <s v="Twitter"/>
    <d v="2025-01-14T00:00:00"/>
    <s v="Image"/>
    <s v="Check out our latest image on twitter!"/>
    <n v="2692"/>
    <n v="115"/>
    <n v="64"/>
    <n v="21536"/>
    <n v="21120"/>
    <n v="224"/>
    <n v="0.13331166419019316"/>
    <x v="0"/>
    <s v="ModelYCampaign"/>
  </r>
  <r>
    <x v="254"/>
    <s v="Facebook"/>
    <d v="2025-04-03T00:00:00"/>
    <s v="Story"/>
    <s v="Check out our latest story on facebook!"/>
    <n v="3767"/>
    <n v="514"/>
    <n v="238"/>
    <n v="37670"/>
    <n v="36807"/>
    <n v="226"/>
    <n v="0.11996283514733209"/>
    <x v="0"/>
    <s v="SustainabilityDrive"/>
  </r>
  <r>
    <x v="255"/>
    <s v="YouTube"/>
    <d v="2024-09-18T00:00:00"/>
    <s v="Carousel"/>
    <s v="Check out our latest carousel on youtube!"/>
    <n v="2143"/>
    <n v="12"/>
    <n v="204"/>
    <n v="40717"/>
    <n v="40125"/>
    <n v="248"/>
    <n v="5.7936488444630008E-2"/>
    <x v="4"/>
    <s v="ModelYCampaign"/>
  </r>
  <r>
    <x v="256"/>
    <s v="Facebook"/>
    <d v="2025-04-06T00:00:00"/>
    <s v="Image"/>
    <s v="Check out our latest image on facebook!"/>
    <n v="3090"/>
    <n v="697"/>
    <n v="164"/>
    <n v="49440"/>
    <n v="48524"/>
    <n v="25"/>
    <n v="7.9915048543689318E-2"/>
    <x v="4"/>
    <s v="ModelYCampaign"/>
  </r>
  <r>
    <x v="256"/>
    <s v="Facebook"/>
    <d v="2025-04-06T00:00:00"/>
    <s v="Image"/>
    <s v="Check out our latest image on facebook!"/>
    <n v="3090"/>
    <n v="697"/>
    <n v="164"/>
    <n v="49440"/>
    <n v="48524"/>
    <n v="25"/>
    <n v="7.9915048543689318E-2"/>
    <x v="4"/>
    <s v="ModelYCampaign"/>
  </r>
  <r>
    <x v="256"/>
    <s v="Facebook"/>
    <d v="2025-04-06T00:00:00"/>
    <s v="Image"/>
    <s v="Check out our latest image on facebook!"/>
    <n v="3090"/>
    <n v="697"/>
    <n v="164"/>
    <n v="49440"/>
    <n v="48524"/>
    <n v="25"/>
    <n v="7.9915048543689318E-2"/>
    <x v="3"/>
    <s v="ModelYCampaign"/>
  </r>
  <r>
    <x v="257"/>
    <s v="Instagram"/>
    <d v="2024-08-05T00:00:00"/>
    <s v="Story"/>
    <s v="Check out our latest story on instagram!"/>
    <n v="3601"/>
    <n v="695"/>
    <n v="75"/>
    <n v="21606"/>
    <n v="21454"/>
    <n v="172"/>
    <n v="0.2023049153013052"/>
    <x v="4"/>
    <s v="ModelYCampaign"/>
  </r>
  <r>
    <x v="258"/>
    <s v="Facebook"/>
    <d v="2025-02-10T00:00:00"/>
    <s v="Text"/>
    <s v="Check out our latest text on facebook!"/>
    <n v="562"/>
    <n v="158"/>
    <n v="149"/>
    <n v="3372"/>
    <n v="2940"/>
    <n v="93"/>
    <n v="0.25771055753262156"/>
    <x v="2"/>
    <s v="CybertruckLaunch"/>
  </r>
  <r>
    <x v="259"/>
    <s v="Instagram"/>
    <d v="2025-02-12T00:00:00"/>
    <s v="Story"/>
    <s v="Check out our latest story on instagram!"/>
    <n v="4332"/>
    <n v="771"/>
    <n v="219"/>
    <n v="60648"/>
    <n v="60397"/>
    <n v="10"/>
    <n v="8.7752275425405618E-2"/>
    <x v="2"/>
    <s v="FSDUpdate"/>
  </r>
  <r>
    <x v="259"/>
    <s v="Instagram"/>
    <d v="2025-02-12T00:00:00"/>
    <s v="Story"/>
    <s v="Check out our latest story on instagram!"/>
    <n v="4332"/>
    <n v="771"/>
    <n v="219"/>
    <n v="60648"/>
    <n v="60397"/>
    <n v="10"/>
    <n v="8.7752275425405618E-2"/>
    <x v="4"/>
    <s v="FSDUpdate"/>
  </r>
  <r>
    <x v="259"/>
    <s v="Instagram"/>
    <d v="2025-02-12T00:00:00"/>
    <s v="Story"/>
    <s v="Check out our latest story on instagram!"/>
    <n v="4332"/>
    <n v="771"/>
    <n v="219"/>
    <n v="60648"/>
    <n v="60397"/>
    <n v="10"/>
    <n v="8.7752275425405618E-2"/>
    <x v="3"/>
    <s v="FSDUpdate"/>
  </r>
  <r>
    <x v="260"/>
    <s v="Instagram"/>
    <d v="2024-10-27T00:00:00"/>
    <s v="Image"/>
    <s v="Check out our latest image on instagram!"/>
    <n v="4853"/>
    <n v="837"/>
    <n v="340"/>
    <n v="72795"/>
    <n v="72237"/>
    <n v="170"/>
    <n v="8.2835359571399134E-2"/>
    <x v="4"/>
    <s v="CybertruckLaunch"/>
  </r>
  <r>
    <x v="261"/>
    <s v="YouTube"/>
    <d v="2025-01-18T00:00:00"/>
    <s v="Image"/>
    <s v="Check out our latest image on youtube!"/>
    <n v="1206"/>
    <n v="238"/>
    <n v="36"/>
    <n v="9648"/>
    <n v="9417"/>
    <n v="237"/>
    <n v="0.15339966832504145"/>
    <x v="2"/>
    <m/>
  </r>
  <r>
    <x v="262"/>
    <s v="Instagram"/>
    <d v="2024-08-20T00:00:00"/>
    <s v="Reel"/>
    <s v="Check out our latest reel on instagram!"/>
    <n v="2603"/>
    <n v="690"/>
    <n v="205"/>
    <n v="13015"/>
    <n v="12130"/>
    <n v="20"/>
    <n v="0.26876680752977333"/>
    <x v="0"/>
    <s v="ModelYCampaign"/>
  </r>
  <r>
    <x v="263"/>
    <s v="Twitter"/>
    <d v="2025-01-30T00:00:00"/>
    <s v="Image"/>
    <s v="Check out our latest image on twitter!"/>
    <n v="59"/>
    <n v="163"/>
    <n v="93"/>
    <n v="590"/>
    <n v="475"/>
    <n v="293"/>
    <n v="0.53389830508474578"/>
    <x v="2"/>
    <s v="ModelYCampaign"/>
  </r>
  <r>
    <x v="264"/>
    <s v="Twitter"/>
    <d v="2025-02-20T00:00:00"/>
    <s v="Carousel"/>
    <s v="Check out our latest carousel on twitter!"/>
    <n v="1877"/>
    <n v="745"/>
    <n v="225"/>
    <n v="11262"/>
    <n v="10967"/>
    <n v="41"/>
    <n v="0.25279701651571657"/>
    <x v="4"/>
    <s v="SustainabilityDrive"/>
  </r>
  <r>
    <x v="265"/>
    <s v="Facebook"/>
    <d v="2024-11-25T00:00:00"/>
    <s v="Story"/>
    <s v="Check out our latest story on facebook!"/>
    <n v="4182"/>
    <n v="640"/>
    <n v="240"/>
    <n v="50184"/>
    <n v="49351"/>
    <n v="10"/>
    <n v="0.10086880280567512"/>
    <x v="2"/>
    <s v="FSDUpdate"/>
  </r>
  <r>
    <x v="266"/>
    <s v="Twitter"/>
    <d v="2024-10-04T00:00:00"/>
    <s v="Reel"/>
    <s v="Check out our latest reel on twitter!"/>
    <n v="4187"/>
    <n v="66"/>
    <n v="31"/>
    <n v="66992"/>
    <n v="66614"/>
    <n v="62"/>
    <n v="6.3947934081681396E-2"/>
    <x v="0"/>
    <m/>
  </r>
  <r>
    <x v="267"/>
    <s v="Instagram"/>
    <d v="2025-04-13T00:00:00"/>
    <s v="Reel"/>
    <s v="Check out our latest reel on instagram!"/>
    <n v="4579"/>
    <n v="125"/>
    <n v="300"/>
    <n v="59527"/>
    <n v="59400"/>
    <n v="269"/>
    <n v="8.4062694239588759E-2"/>
    <x v="4"/>
    <s v="CybertruckLaunch"/>
  </r>
  <r>
    <x v="268"/>
    <s v="Instagram"/>
    <d v="2024-11-05T00:00:00"/>
    <s v="Video"/>
    <s v="Check out our latest video on instagram!"/>
    <n v="4561"/>
    <n v="51"/>
    <n v="441"/>
    <n v="22805"/>
    <n v="21890"/>
    <n v="45"/>
    <n v="0.22157421618066214"/>
    <x v="2"/>
    <s v="ModelYCampaign"/>
  </r>
  <r>
    <x v="269"/>
    <s v="YouTube"/>
    <d v="2025-01-15T00:00:00"/>
    <s v="Reel"/>
    <s v="Check out our latest reel on youtube!"/>
    <n v="3774"/>
    <n v="239"/>
    <n v="39"/>
    <n v="60384"/>
    <n v="59490"/>
    <n v="241"/>
    <n v="6.7103868574456813E-2"/>
    <x v="2"/>
    <s v="FSDUpdate"/>
  </r>
  <r>
    <x v="270"/>
    <s v="Instagram"/>
    <d v="2024-10-17T00:00:00"/>
    <s v="Video"/>
    <s v="Check out our latest video on instagram!"/>
    <n v="3575"/>
    <n v="749"/>
    <n v="111"/>
    <n v="21450"/>
    <n v="20785"/>
    <n v="195"/>
    <n v="0.20675990675990677"/>
    <x v="4"/>
    <s v="ModelYCampaign"/>
  </r>
  <r>
    <x v="271"/>
    <s v="Instagram"/>
    <d v="2025-03-27T00:00:00"/>
    <s v="Text"/>
    <s v="Check out our latest text on instagram!"/>
    <n v="4941"/>
    <n v="414"/>
    <n v="266"/>
    <n v="39528"/>
    <n v="39154"/>
    <n v="217"/>
    <n v="0.14220299534507186"/>
    <x v="2"/>
    <s v="FSDUpdate"/>
  </r>
  <r>
    <x v="272"/>
    <s v="YouTube"/>
    <d v="2024-10-12T00:00:00"/>
    <s v="Story"/>
    <s v="Check out our latest story on youtube!"/>
    <n v="3641"/>
    <n v="226"/>
    <n v="46"/>
    <n v="40051"/>
    <n v="39319"/>
    <n v="296"/>
    <n v="9.7700431949264685E-2"/>
    <x v="4"/>
    <s v="SustainabilityDrive"/>
  </r>
  <r>
    <x v="273"/>
    <s v="Twitter"/>
    <d v="2025-01-01T00:00:00"/>
    <s v="Carousel"/>
    <s v="Check out our latest carousel on twitter!"/>
    <n v="3535"/>
    <n v="494"/>
    <n v="152"/>
    <n v="53025"/>
    <n v="52791"/>
    <n v="44"/>
    <n v="7.8849599245638849E-2"/>
    <x v="2"/>
    <s v="SustainabilityDrive"/>
  </r>
  <r>
    <x v="274"/>
    <s v="Facebook"/>
    <d v="2024-08-05T00:00:00"/>
    <s v="Reel"/>
    <s v="Check out our latest reel on facebook!"/>
    <n v="1741"/>
    <n v="831"/>
    <n v="345"/>
    <n v="17410"/>
    <n v="16844"/>
    <n v="58"/>
    <n v="0.16754738655944859"/>
    <x v="4"/>
    <s v="FSDUpdate"/>
  </r>
  <r>
    <x v="275"/>
    <s v="Twitter"/>
    <d v="2024-06-07T00:00:00"/>
    <s v="Carousel"/>
    <s v="Check out our latest carousel on twitter!"/>
    <n v="1556"/>
    <n v="195"/>
    <n v="131"/>
    <n v="9336"/>
    <n v="8875"/>
    <n v="137"/>
    <n v="0.2015852613538989"/>
    <x v="2"/>
    <s v="ModelYCampaign"/>
  </r>
  <r>
    <x v="276"/>
    <s v="Facebook"/>
    <d v="2025-04-06T00:00:00"/>
    <s v="Image"/>
    <s v="Check out our latest image on facebook!"/>
    <n v="4236"/>
    <n v="711"/>
    <n v="298"/>
    <n v="21180"/>
    <n v="20516"/>
    <n v="238"/>
    <n v="0.24763928234183191"/>
    <x v="0"/>
    <s v="CybertruckLaunch"/>
  </r>
  <r>
    <x v="277"/>
    <s v="Twitter"/>
    <d v="2024-11-26T00:00:00"/>
    <s v="Text"/>
    <s v="Check out our latest text on twitter!"/>
    <n v="4516"/>
    <n v="836"/>
    <n v="169"/>
    <n v="49676"/>
    <n v="49257"/>
    <n v="282"/>
    <n v="0.11114018842096787"/>
    <x v="4"/>
    <s v="SustainabilityDrive"/>
  </r>
  <r>
    <x v="278"/>
    <s v="YouTube"/>
    <d v="2024-09-02T00:00:00"/>
    <s v="Image"/>
    <s v="Check out our latest image on youtube!"/>
    <n v="4905"/>
    <n v="845"/>
    <n v="129"/>
    <n v="98100"/>
    <n v="97772"/>
    <n v="279"/>
    <n v="5.9928644240570844E-2"/>
    <x v="2"/>
    <s v="ModelYCampaign"/>
  </r>
  <r>
    <x v="279"/>
    <s v="YouTube"/>
    <d v="2024-10-21T00:00:00"/>
    <s v="Video"/>
    <s v="Check out our latest video on youtube!"/>
    <n v="4275"/>
    <n v="680"/>
    <n v="385"/>
    <n v="64125"/>
    <n v="63650"/>
    <n v="104"/>
    <n v="8.3274853801169585E-2"/>
    <x v="4"/>
    <s v="SustainabilityDrive"/>
  </r>
  <r>
    <x v="279"/>
    <s v="YouTube"/>
    <d v="2024-10-21T00:00:00"/>
    <s v="Video"/>
    <s v="Check out our latest video on youtube!"/>
    <n v="4275"/>
    <n v="680"/>
    <n v="385"/>
    <n v="64125"/>
    <n v="63650"/>
    <n v="104"/>
    <n v="8.3274853801169585E-2"/>
    <x v="2"/>
    <s v="SustainabilityDrive"/>
  </r>
  <r>
    <x v="279"/>
    <s v="YouTube"/>
    <d v="2024-10-21T00:00:00"/>
    <s v="Video"/>
    <s v="Check out our latest video on youtube!"/>
    <n v="4275"/>
    <n v="680"/>
    <n v="385"/>
    <n v="64125"/>
    <n v="63650"/>
    <n v="104"/>
    <n v="8.3274853801169585E-2"/>
    <x v="1"/>
    <s v="SustainabilityDrive"/>
  </r>
  <r>
    <x v="280"/>
    <s v="YouTube"/>
    <d v="2025-03-22T00:00:00"/>
    <s v="Image"/>
    <s v="Check out our latest image on youtube!"/>
    <n v="3166"/>
    <n v="90"/>
    <n v="341"/>
    <n v="56988"/>
    <n v="56125"/>
    <n v="135"/>
    <n v="6.3118551273952411E-2"/>
    <x v="4"/>
    <s v="ModelYCampaign"/>
  </r>
  <r>
    <x v="281"/>
    <s v="Instagram"/>
    <d v="2024-10-03T00:00:00"/>
    <s v="Video"/>
    <s v="Check out our latest video on instagram!"/>
    <n v="1488"/>
    <n v="417"/>
    <n v="168"/>
    <n v="19344"/>
    <n v="18395"/>
    <n v="30"/>
    <n v="0.1071650124069479"/>
    <x v="0"/>
    <s v="FSDUpdate"/>
  </r>
  <r>
    <x v="282"/>
    <s v="Twitter"/>
    <d v="2025-05-09T00:00:00"/>
    <s v="Reel"/>
    <s v="Check out our latest reel on twitter!"/>
    <n v="3367"/>
    <n v="302"/>
    <n v="57"/>
    <n v="63973"/>
    <n v="63789"/>
    <n v="157"/>
    <n v="5.8243321401216137E-2"/>
    <x v="0"/>
    <s v="ModelYCampaign"/>
  </r>
  <r>
    <x v="283"/>
    <s v="Twitter"/>
    <d v="2024-09-17T00:00:00"/>
    <s v="Text"/>
    <s v="Check out our latest text on twitter!"/>
    <n v="571"/>
    <n v="190"/>
    <n v="352"/>
    <n v="9707"/>
    <n v="9418"/>
    <n v="231"/>
    <n v="0.11465952405480581"/>
    <x v="2"/>
    <s v="SustainabilityDrive"/>
  </r>
  <r>
    <x v="284"/>
    <s v="YouTube"/>
    <d v="2024-07-18T00:00:00"/>
    <s v="Text"/>
    <s v="Check out our latest text on youtube!"/>
    <n v="4021"/>
    <n v="794"/>
    <n v="77"/>
    <n v="36189"/>
    <n v="35505"/>
    <n v="174"/>
    <n v="0.13517919809886983"/>
    <x v="4"/>
    <m/>
  </r>
  <r>
    <x v="285"/>
    <s v="YouTube"/>
    <d v="2024-09-25T00:00:00"/>
    <s v="Video"/>
    <s v="Check out our latest video on youtube!"/>
    <n v="3389"/>
    <n v="344"/>
    <n v="229"/>
    <n v="20334"/>
    <n v="19443"/>
    <n v="228"/>
    <n v="0.19484607062063539"/>
    <x v="0"/>
    <s v="FSDUpdate"/>
  </r>
  <r>
    <x v="286"/>
    <s v="Instagram"/>
    <d v="2024-08-15T00:00:00"/>
    <s v="Reel"/>
    <s v="Check out our latest reel on instagram!"/>
    <n v="1164"/>
    <n v="616"/>
    <n v="324"/>
    <n v="6984"/>
    <n v="6636"/>
    <n v="82"/>
    <n v="0.30126002290950743"/>
    <x v="4"/>
    <s v="CybertruckLaunch"/>
  </r>
  <r>
    <x v="287"/>
    <s v="YouTube"/>
    <d v="2025-04-17T00:00:00"/>
    <s v="Carousel"/>
    <s v="Check out our latest carousel on youtube!"/>
    <n v="4780"/>
    <n v="691"/>
    <n v="380"/>
    <n v="86040"/>
    <n v="85743"/>
    <n v="262"/>
    <n v="6.800325430032543E-2"/>
    <x v="0"/>
    <s v="FSDUpdate"/>
  </r>
  <r>
    <x v="288"/>
    <s v="Facebook"/>
    <d v="2024-11-28T00:00:00"/>
    <s v="Carousel"/>
    <s v="Check out our latest carousel on facebook!"/>
    <n v="2751"/>
    <n v="33"/>
    <n v="430"/>
    <n v="44016"/>
    <n v="43415"/>
    <n v="129"/>
    <n v="7.3018902217375503E-2"/>
    <x v="0"/>
    <m/>
  </r>
  <r>
    <x v="289"/>
    <s v="Instagram"/>
    <d v="2024-12-20T00:00:00"/>
    <s v="Carousel"/>
    <s v="Check out our latest carousel on instagram!"/>
    <n v="2107"/>
    <n v="550"/>
    <n v="349"/>
    <n v="35819"/>
    <n v="35340"/>
    <n v="191"/>
    <n v="8.3921940869371006E-2"/>
    <x v="4"/>
    <s v="SustainabilityDrive"/>
  </r>
  <r>
    <x v="290"/>
    <s v="Facebook"/>
    <d v="2024-11-06T00:00:00"/>
    <s v="Video"/>
    <s v="Check out our latest video on facebook!"/>
    <n v="4663"/>
    <n v="145"/>
    <n v="225"/>
    <n v="69945"/>
    <n v="69596"/>
    <n v="35"/>
    <n v="7.1956537279290869E-2"/>
    <x v="4"/>
    <s v="SustainabilityDrive"/>
  </r>
  <r>
    <x v="291"/>
    <s v="Facebook"/>
    <d v="2024-11-17T00:00:00"/>
    <s v="Text"/>
    <s v="Check out our latest text on facebook!"/>
    <n v="880"/>
    <n v="297"/>
    <n v="345"/>
    <n v="12320"/>
    <n v="11978"/>
    <n v="238"/>
    <n v="0.12353896103896105"/>
    <x v="2"/>
    <m/>
  </r>
  <r>
    <x v="291"/>
    <s v="Facebook"/>
    <d v="2024-11-17T00:00:00"/>
    <s v="Text"/>
    <s v="Check out our latest text on facebook!"/>
    <n v="880"/>
    <n v="297"/>
    <n v="345"/>
    <n v="12320"/>
    <n v="11978"/>
    <n v="238"/>
    <n v="0.12353896103896105"/>
    <x v="1"/>
    <m/>
  </r>
  <r>
    <x v="292"/>
    <s v="Facebook"/>
    <d v="2025-05-14T00:00:00"/>
    <s v="Text"/>
    <s v="Check out our latest text on facebook!"/>
    <n v="2634"/>
    <n v="726"/>
    <n v="241"/>
    <n v="28974"/>
    <n v="28102"/>
    <n v="277"/>
    <n v="0.12428384068475185"/>
    <x v="4"/>
    <s v="CybertruckLaunch"/>
  </r>
  <r>
    <x v="293"/>
    <s v="Facebook"/>
    <d v="2024-06-19T00:00:00"/>
    <s v="Carousel"/>
    <s v="Check out our latest carousel on facebook!"/>
    <n v="4731"/>
    <n v="173"/>
    <n v="276"/>
    <n v="28386"/>
    <n v="28185"/>
    <n v="89"/>
    <n v="0.18248432325794406"/>
    <x v="4"/>
    <s v="FSDUpdate"/>
  </r>
  <r>
    <x v="294"/>
    <s v="Twitter"/>
    <d v="2025-05-06T00:00:00"/>
    <s v="Image"/>
    <s v="Check out our latest image on twitter!"/>
    <n v="1952"/>
    <n v="344"/>
    <n v="287"/>
    <n v="15616"/>
    <n v="15403"/>
    <n v="235"/>
    <n v="0.16540727459016394"/>
    <x v="0"/>
    <s v="ModelYCampaign"/>
  </r>
  <r>
    <x v="294"/>
    <s v="Twitter"/>
    <d v="2025-05-06T00:00:00"/>
    <s v="Image"/>
    <s v="Check out our latest image on twitter!"/>
    <n v="1952"/>
    <n v="344"/>
    <n v="287"/>
    <n v="15616"/>
    <n v="15403"/>
    <n v="235"/>
    <n v="0.16540727459016394"/>
    <x v="2"/>
    <s v="ModelYCampaign"/>
  </r>
  <r>
    <x v="294"/>
    <s v="Twitter"/>
    <d v="2025-05-06T00:00:00"/>
    <s v="Image"/>
    <s v="Check out our latest image on twitter!"/>
    <n v="1952"/>
    <n v="344"/>
    <n v="287"/>
    <n v="15616"/>
    <n v="15403"/>
    <n v="235"/>
    <n v="0.16540727459016394"/>
    <x v="1"/>
    <s v="ModelYCampaign"/>
  </r>
  <r>
    <x v="295"/>
    <s v="Twitter"/>
    <d v="2025-02-11T00:00:00"/>
    <s v="Video"/>
    <s v="Check out our latest video on twitter!"/>
    <n v="3440"/>
    <n v="13"/>
    <n v="20"/>
    <n v="58480"/>
    <n v="58146"/>
    <n v="210"/>
    <n v="5.9387824897400819E-2"/>
    <x v="2"/>
    <s v="SustainabilityDrive"/>
  </r>
  <r>
    <x v="295"/>
    <s v="Twitter"/>
    <d v="2025-02-11T00:00:00"/>
    <s v="Video"/>
    <s v="Check out our latest video on twitter!"/>
    <n v="3440"/>
    <n v="13"/>
    <n v="20"/>
    <n v="58480"/>
    <n v="58146"/>
    <n v="210"/>
    <n v="5.9387824897400819E-2"/>
    <x v="5"/>
    <s v="SustainabilityDrive"/>
  </r>
  <r>
    <x v="296"/>
    <s v="Twitter"/>
    <d v="2024-12-24T00:00:00"/>
    <s v="Text"/>
    <s v="Check out our latest text on twitter!"/>
    <n v="2166"/>
    <n v="354"/>
    <n v="117"/>
    <n v="10830"/>
    <n v="10245"/>
    <n v="24"/>
    <n v="0.24349030470914126"/>
    <x v="4"/>
    <s v="SustainabilityDrive"/>
  </r>
  <r>
    <x v="297"/>
    <s v="Facebook"/>
    <d v="2024-10-24T00:00:00"/>
    <s v="Image"/>
    <s v="Check out our latest image on facebook!"/>
    <n v="4303"/>
    <n v="451"/>
    <n v="286"/>
    <n v="86060"/>
    <n v="85823"/>
    <n v="14"/>
    <n v="5.8563792702765516E-2"/>
    <x v="2"/>
    <s v="FSDUpdate"/>
  </r>
  <r>
    <x v="298"/>
    <s v="Facebook"/>
    <d v="2024-08-26T00:00:00"/>
    <s v="Image"/>
    <s v="Check out our latest image on facebook!"/>
    <n v="2581"/>
    <n v="517"/>
    <n v="117"/>
    <n v="23229"/>
    <n v="22331"/>
    <n v="70"/>
    <n v="0.13840458048129492"/>
    <x v="0"/>
    <s v="FSDUpdate"/>
  </r>
  <r>
    <x v="299"/>
    <s v="Twitter"/>
    <d v="2024-08-31T00:00:00"/>
    <s v="Carousel"/>
    <s v="Check out our latest carousel on twitter!"/>
    <n v="4494"/>
    <n v="717"/>
    <n v="45"/>
    <n v="62916"/>
    <n v="62688"/>
    <n v="191"/>
    <n v="8.3539958039290485E-2"/>
    <x v="2"/>
    <s v="CybertruckLaunch"/>
  </r>
  <r>
    <x v="299"/>
    <s v="Twitter"/>
    <d v="2024-08-31T00:00:00"/>
    <s v="Carousel"/>
    <s v="Check out our latest carousel on twitter!"/>
    <n v="4494"/>
    <n v="717"/>
    <n v="45"/>
    <n v="62916"/>
    <n v="62688"/>
    <n v="191"/>
    <n v="8.3539958039290485E-2"/>
    <x v="4"/>
    <s v="CybertruckLaunch"/>
  </r>
  <r>
    <x v="299"/>
    <s v="Twitter"/>
    <d v="2024-08-31T00:00:00"/>
    <s v="Carousel"/>
    <s v="Check out our latest carousel on twitter!"/>
    <n v="4494"/>
    <n v="717"/>
    <n v="45"/>
    <n v="62916"/>
    <n v="62688"/>
    <n v="191"/>
    <n v="8.3539958039290485E-2"/>
    <x v="3"/>
    <s v="CybertruckLaunch"/>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r>
    <x v="300"/>
    <m/>
    <m/>
    <m/>
    <m/>
    <m/>
    <m/>
    <m/>
    <m/>
    <m/>
    <m/>
    <e v="#DIV/0!"/>
    <x v="6"/>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d v="2024-06-03T00:00:00"/>
    <x v="0"/>
    <n v="1312"/>
    <n v="310"/>
    <n v="42654"/>
    <n v="4.9800000000000004"/>
    <n v="9566"/>
  </r>
  <r>
    <d v="2024-06-10T00:00:00"/>
    <x v="0"/>
    <n v="1697"/>
    <n v="414"/>
    <n v="316555"/>
    <n v="2.37"/>
    <n v="7924"/>
  </r>
  <r>
    <d v="2024-06-17T00:00:00"/>
    <x v="0"/>
    <n v="1753"/>
    <n v="371"/>
    <n v="169496"/>
    <n v="8.11"/>
    <n v="46670"/>
  </r>
  <r>
    <d v="2024-06-24T00:00:00"/>
    <x v="0"/>
    <n v="1779"/>
    <n v="109"/>
    <n v="26295"/>
    <n v="9.1199999999999992"/>
    <n v="30635"/>
  </r>
  <r>
    <d v="2024-07-01T00:00:00"/>
    <x v="0"/>
    <n v="505"/>
    <n v="441"/>
    <n v="220020"/>
    <n v="4.4800000000000004"/>
    <n v="42307"/>
  </r>
  <r>
    <d v="2024-07-08T00:00:00"/>
    <x v="0"/>
    <n v="350"/>
    <n v="41"/>
    <n v="251694"/>
    <n v="1.91"/>
    <n v="38610"/>
  </r>
  <r>
    <d v="2024-07-15T00:00:00"/>
    <x v="0"/>
    <n v="170"/>
    <n v="334"/>
    <n v="334626"/>
    <n v="6.44"/>
    <n v="43420"/>
  </r>
  <r>
    <d v="2024-07-22T00:00:00"/>
    <x v="0"/>
    <n v="1391"/>
    <n v="430"/>
    <n v="295032"/>
    <n v="7.86"/>
    <n v="26067"/>
  </r>
  <r>
    <d v="2024-07-29T00:00:00"/>
    <x v="0"/>
    <n v="160"/>
    <n v="478"/>
    <n v="435034"/>
    <n v="7.73"/>
    <n v="4839"/>
  </r>
  <r>
    <d v="2024-08-05T00:00:00"/>
    <x v="0"/>
    <n v="214"/>
    <n v="411"/>
    <n v="125034"/>
    <n v="6.11"/>
    <n v="26455"/>
  </r>
  <r>
    <d v="2024-08-12T00:00:00"/>
    <x v="0"/>
    <n v="1534"/>
    <n v="200"/>
    <n v="307612"/>
    <n v="6.01"/>
    <n v="37903"/>
  </r>
  <r>
    <d v="2024-08-19T00:00:00"/>
    <x v="0"/>
    <n v="1078"/>
    <n v="20"/>
    <n v="183924"/>
    <n v="8.84"/>
    <n v="14203"/>
  </r>
  <r>
    <d v="2024-08-26T00:00:00"/>
    <x v="0"/>
    <n v="248"/>
    <n v="211"/>
    <n v="379380"/>
    <n v="9.0399999999999991"/>
    <n v="26925"/>
  </r>
  <r>
    <d v="2024-09-02T00:00:00"/>
    <x v="0"/>
    <n v="1520"/>
    <n v="475"/>
    <n v="496982"/>
    <n v="6.41"/>
    <n v="24384"/>
  </r>
  <r>
    <d v="2024-09-09T00:00:00"/>
    <x v="0"/>
    <n v="1842"/>
    <n v="414"/>
    <n v="307524"/>
    <n v="1.76"/>
    <n v="40478"/>
  </r>
  <r>
    <d v="2024-09-16T00:00:00"/>
    <x v="0"/>
    <n v="443"/>
    <n v="345"/>
    <n v="474162"/>
    <n v="9.1999999999999993"/>
    <n v="47462"/>
  </r>
  <r>
    <d v="2024-09-23T00:00:00"/>
    <x v="0"/>
    <n v="198"/>
    <n v="217"/>
    <n v="239753"/>
    <n v="7.36"/>
    <n v="11901"/>
  </r>
  <r>
    <d v="2024-09-30T00:00:00"/>
    <x v="0"/>
    <n v="250"/>
    <n v="429"/>
    <n v="453423"/>
    <n v="1.77"/>
    <n v="2315"/>
  </r>
  <r>
    <d v="2024-10-07T00:00:00"/>
    <x v="0"/>
    <n v="1929"/>
    <n v="267"/>
    <n v="379363"/>
    <n v="1.75"/>
    <n v="43836"/>
  </r>
  <r>
    <d v="2024-10-14T00:00:00"/>
    <x v="0"/>
    <n v="643"/>
    <n v="358"/>
    <n v="157599"/>
    <n v="3.88"/>
    <n v="7285"/>
  </r>
  <r>
    <d v="2024-10-21T00:00:00"/>
    <x v="0"/>
    <n v="508"/>
    <n v="69"/>
    <n v="23492"/>
    <n v="3.16"/>
    <n v="42824"/>
  </r>
  <r>
    <d v="2024-10-28T00:00:00"/>
    <x v="0"/>
    <n v="859"/>
    <n v="473"/>
    <n v="209987"/>
    <n v="4.46"/>
    <n v="30214"/>
  </r>
  <r>
    <d v="2024-11-04T00:00:00"/>
    <x v="0"/>
    <n v="947"/>
    <n v="407"/>
    <n v="319186"/>
    <n v="3.32"/>
    <n v="4996"/>
  </r>
  <r>
    <d v="2024-11-11T00:00:00"/>
    <x v="0"/>
    <n v="171"/>
    <n v="277"/>
    <n v="309483"/>
    <n v="8.6999999999999993"/>
    <n v="38452"/>
  </r>
  <r>
    <d v="2024-11-18T00:00:00"/>
    <x v="0"/>
    <n v="513"/>
    <n v="441"/>
    <n v="338847"/>
    <n v="2.68"/>
    <n v="39997"/>
  </r>
  <r>
    <d v="2024-11-25T00:00:00"/>
    <x v="0"/>
    <n v="1710"/>
    <n v="378"/>
    <n v="336661"/>
    <n v="6.2"/>
    <n v="28498"/>
  </r>
  <r>
    <d v="2024-12-02T00:00:00"/>
    <x v="0"/>
    <n v="1902"/>
    <n v="196"/>
    <n v="470269"/>
    <n v="4.79"/>
    <n v="26103"/>
  </r>
  <r>
    <d v="2024-12-09T00:00:00"/>
    <x v="0"/>
    <n v="1514"/>
    <n v="141"/>
    <n v="35842"/>
    <n v="7.47"/>
    <n v="18601"/>
  </r>
  <r>
    <d v="2024-12-16T00:00:00"/>
    <x v="0"/>
    <n v="1623"/>
    <n v="246"/>
    <n v="415815"/>
    <n v="8.11"/>
    <n v="18656"/>
  </r>
  <r>
    <d v="2024-12-23T00:00:00"/>
    <x v="0"/>
    <n v="1155"/>
    <n v="425"/>
    <n v="93347"/>
    <n v="2.02"/>
    <n v="47502"/>
  </r>
  <r>
    <d v="2024-12-30T00:00:00"/>
    <x v="0"/>
    <n v="1980"/>
    <n v="204"/>
    <n v="379431"/>
    <n v="3.09"/>
    <n v="25140"/>
  </r>
  <r>
    <d v="2025-01-06T00:00:00"/>
    <x v="0"/>
    <n v="816"/>
    <n v="196"/>
    <n v="95728"/>
    <n v="8.1999999999999993"/>
    <n v="17951"/>
  </r>
  <r>
    <d v="2025-01-13T00:00:00"/>
    <x v="0"/>
    <n v="651"/>
    <n v="353"/>
    <n v="224699"/>
    <n v="5.61"/>
    <n v="45708"/>
  </r>
  <r>
    <d v="2025-01-20T00:00:00"/>
    <x v="0"/>
    <n v="663"/>
    <n v="236"/>
    <n v="479490"/>
    <n v="4.51"/>
    <n v="23853"/>
  </r>
  <r>
    <d v="2025-01-27T00:00:00"/>
    <x v="0"/>
    <n v="1249"/>
    <n v="351"/>
    <n v="321307"/>
    <n v="6.37"/>
    <n v="20560"/>
  </r>
  <r>
    <d v="2025-02-03T00:00:00"/>
    <x v="0"/>
    <n v="1159"/>
    <n v="411"/>
    <n v="135987"/>
    <n v="8.6999999999999993"/>
    <n v="40323"/>
  </r>
  <r>
    <d v="2025-02-10T00:00:00"/>
    <x v="0"/>
    <n v="1294"/>
    <n v="382"/>
    <n v="309914"/>
    <n v="8.0299999999999994"/>
    <n v="23489"/>
  </r>
  <r>
    <d v="2025-02-17T00:00:00"/>
    <x v="0"/>
    <n v="1895"/>
    <n v="305"/>
    <n v="104967"/>
    <n v="3.85"/>
    <n v="31853"/>
  </r>
  <r>
    <d v="2025-02-24T00:00:00"/>
    <x v="0"/>
    <n v="1884"/>
    <n v="177"/>
    <n v="230448"/>
    <n v="7.8"/>
    <n v="22713"/>
  </r>
  <r>
    <d v="2025-03-03T00:00:00"/>
    <x v="0"/>
    <n v="345"/>
    <n v="464"/>
    <n v="366881"/>
    <n v="4.55"/>
    <n v="20553"/>
  </r>
  <r>
    <d v="2025-03-10T00:00:00"/>
    <x v="0"/>
    <n v="1098"/>
    <n v="190"/>
    <n v="340842"/>
    <n v="9.39"/>
    <n v="21539"/>
  </r>
  <r>
    <d v="2025-03-17T00:00:00"/>
    <x v="0"/>
    <n v="1358"/>
    <n v="242"/>
    <n v="342129"/>
    <n v="4.9400000000000004"/>
    <n v="29116"/>
  </r>
  <r>
    <d v="2025-03-24T00:00:00"/>
    <x v="0"/>
    <n v="609"/>
    <n v="135"/>
    <n v="373606"/>
    <n v="8.52"/>
    <n v="21453"/>
  </r>
  <r>
    <d v="2025-03-31T00:00:00"/>
    <x v="0"/>
    <n v="988"/>
    <n v="474"/>
    <n v="370070"/>
    <n v="9.4600000000000009"/>
    <n v="23461"/>
  </r>
  <r>
    <d v="2025-04-07T00:00:00"/>
    <x v="0"/>
    <n v="1307"/>
    <n v="278"/>
    <n v="98596"/>
    <n v="2.4900000000000002"/>
    <n v="47603"/>
  </r>
  <r>
    <d v="2025-04-14T00:00:00"/>
    <x v="0"/>
    <n v="198"/>
    <n v="373"/>
    <n v="70707"/>
    <n v="4.83"/>
    <n v="25920"/>
  </r>
  <r>
    <d v="2025-04-21T00:00:00"/>
    <x v="0"/>
    <n v="1375"/>
    <n v="330"/>
    <n v="377382"/>
    <n v="2.6"/>
    <n v="7875"/>
  </r>
  <r>
    <d v="2025-04-28T00:00:00"/>
    <x v="0"/>
    <n v="833"/>
    <n v="380"/>
    <n v="224830"/>
    <n v="3.86"/>
    <n v="3582"/>
  </r>
  <r>
    <d v="2025-05-05T00:00:00"/>
    <x v="0"/>
    <n v="405"/>
    <n v="66"/>
    <n v="418696"/>
    <n v="5.59"/>
    <n v="48419"/>
  </r>
  <r>
    <d v="2025-05-12T00:00:00"/>
    <x v="0"/>
    <n v="837"/>
    <n v="430"/>
    <n v="364820"/>
    <n v="4"/>
    <n v="49400"/>
  </r>
  <r>
    <d v="2024-06-03T00:00:00"/>
    <x v="1"/>
    <n v="1135"/>
    <n v="88"/>
    <n v="344084"/>
    <n v="8.06"/>
    <n v="5904"/>
  </r>
  <r>
    <d v="2024-06-10T00:00:00"/>
    <x v="1"/>
    <n v="656"/>
    <n v="139"/>
    <n v="49157"/>
    <n v="9.0500000000000007"/>
    <n v="9920"/>
  </r>
  <r>
    <d v="2024-06-17T00:00:00"/>
    <x v="1"/>
    <n v="1048"/>
    <n v="155"/>
    <n v="456946"/>
    <n v="2.46"/>
    <n v="11329"/>
  </r>
  <r>
    <d v="2024-06-24T00:00:00"/>
    <x v="1"/>
    <n v="911"/>
    <n v="282"/>
    <n v="35664"/>
    <n v="6.92"/>
    <n v="18050"/>
  </r>
  <r>
    <d v="2024-07-01T00:00:00"/>
    <x v="1"/>
    <n v="226"/>
    <n v="445"/>
    <n v="419447"/>
    <n v="9.36"/>
    <n v="9566"/>
  </r>
  <r>
    <d v="2024-07-08T00:00:00"/>
    <x v="1"/>
    <n v="1757"/>
    <n v="85"/>
    <n v="58223"/>
    <n v="8.74"/>
    <n v="22728"/>
  </r>
  <r>
    <d v="2024-07-15T00:00:00"/>
    <x v="1"/>
    <n v="1960"/>
    <n v="115"/>
    <n v="154169"/>
    <n v="3.74"/>
    <n v="10740"/>
  </r>
  <r>
    <d v="2024-07-22T00:00:00"/>
    <x v="1"/>
    <n v="508"/>
    <n v="349"/>
    <n v="473812"/>
    <n v="7.88"/>
    <n v="17328"/>
  </r>
  <r>
    <d v="2024-07-29T00:00:00"/>
    <x v="1"/>
    <n v="653"/>
    <n v="112"/>
    <n v="23664"/>
    <n v="4.05"/>
    <n v="15353"/>
  </r>
  <r>
    <d v="2024-08-05T00:00:00"/>
    <x v="1"/>
    <n v="645"/>
    <n v="293"/>
    <n v="437968"/>
    <n v="7.83"/>
    <n v="49303"/>
  </r>
  <r>
    <d v="2024-08-12T00:00:00"/>
    <x v="1"/>
    <n v="1528"/>
    <n v="203"/>
    <n v="489188"/>
    <n v="6.23"/>
    <n v="47101"/>
  </r>
  <r>
    <d v="2024-08-19T00:00:00"/>
    <x v="1"/>
    <n v="215"/>
    <n v="139"/>
    <n v="325444"/>
    <n v="3.25"/>
    <n v="35501"/>
  </r>
  <r>
    <d v="2024-08-26T00:00:00"/>
    <x v="1"/>
    <n v="1685"/>
    <n v="76"/>
    <n v="453799"/>
    <n v="5.71"/>
    <n v="24913"/>
  </r>
  <r>
    <d v="2024-09-02T00:00:00"/>
    <x v="1"/>
    <n v="1429"/>
    <n v="182"/>
    <n v="101332"/>
    <n v="7.16"/>
    <n v="37829"/>
  </r>
  <r>
    <d v="2024-09-09T00:00:00"/>
    <x v="1"/>
    <n v="1592"/>
    <n v="20"/>
    <n v="378054"/>
    <n v="9.09"/>
    <n v="26663"/>
  </r>
  <r>
    <d v="2024-09-16T00:00:00"/>
    <x v="1"/>
    <n v="778"/>
    <n v="401"/>
    <n v="50793"/>
    <n v="3.4"/>
    <n v="21939"/>
  </r>
  <r>
    <d v="2024-09-23T00:00:00"/>
    <x v="1"/>
    <n v="817"/>
    <n v="151"/>
    <n v="422625"/>
    <n v="2.36"/>
    <n v="1083"/>
  </r>
  <r>
    <d v="2024-09-30T00:00:00"/>
    <x v="1"/>
    <n v="1433"/>
    <n v="408"/>
    <n v="370269"/>
    <n v="3.3"/>
    <n v="30575"/>
  </r>
  <r>
    <d v="2024-10-07T00:00:00"/>
    <x v="1"/>
    <n v="1939"/>
    <n v="67"/>
    <n v="187183"/>
    <n v="6.25"/>
    <n v="41215"/>
  </r>
  <r>
    <d v="2024-10-14T00:00:00"/>
    <x v="1"/>
    <n v="1527"/>
    <n v="303"/>
    <n v="388555"/>
    <n v="8.9"/>
    <n v="36397"/>
  </r>
  <r>
    <d v="2024-10-21T00:00:00"/>
    <x v="1"/>
    <n v="703"/>
    <n v="441"/>
    <n v="357089"/>
    <n v="6.5"/>
    <n v="32478"/>
  </r>
  <r>
    <d v="2024-10-28T00:00:00"/>
    <x v="1"/>
    <n v="642"/>
    <n v="66"/>
    <n v="346522"/>
    <n v="5.85"/>
    <n v="13116"/>
  </r>
  <r>
    <d v="2024-11-04T00:00:00"/>
    <x v="1"/>
    <n v="1466"/>
    <n v="69"/>
    <n v="54935"/>
    <n v="6.85"/>
    <n v="36484"/>
  </r>
  <r>
    <d v="2024-11-11T00:00:00"/>
    <x v="1"/>
    <n v="1075"/>
    <n v="173"/>
    <n v="51395"/>
    <n v="4.66"/>
    <n v="47812"/>
  </r>
  <r>
    <d v="2024-11-18T00:00:00"/>
    <x v="1"/>
    <n v="187"/>
    <n v="236"/>
    <n v="51087"/>
    <n v="9.41"/>
    <n v="29533"/>
  </r>
  <r>
    <d v="2024-11-25T00:00:00"/>
    <x v="1"/>
    <n v="1854"/>
    <n v="161"/>
    <n v="282466"/>
    <n v="5.17"/>
    <n v="1810"/>
  </r>
  <r>
    <d v="2024-12-02T00:00:00"/>
    <x v="1"/>
    <n v="1696"/>
    <n v="71"/>
    <n v="421957"/>
    <n v="3.79"/>
    <n v="36103"/>
  </r>
  <r>
    <d v="2024-12-09T00:00:00"/>
    <x v="1"/>
    <n v="1494"/>
    <n v="375"/>
    <n v="220616"/>
    <n v="1.81"/>
    <n v="22724"/>
  </r>
  <r>
    <d v="2024-12-16T00:00:00"/>
    <x v="1"/>
    <n v="1502"/>
    <n v="70"/>
    <n v="465553"/>
    <n v="3.32"/>
    <n v="20692"/>
  </r>
  <r>
    <d v="2024-12-23T00:00:00"/>
    <x v="1"/>
    <n v="1092"/>
    <n v="408"/>
    <n v="280795"/>
    <n v="8.44"/>
    <n v="4683"/>
  </r>
  <r>
    <d v="2024-12-30T00:00:00"/>
    <x v="1"/>
    <n v="1814"/>
    <n v="49"/>
    <n v="140804"/>
    <n v="1.76"/>
    <n v="4313"/>
  </r>
  <r>
    <d v="2025-01-06T00:00:00"/>
    <x v="1"/>
    <n v="1013"/>
    <n v="110"/>
    <n v="466382"/>
    <n v="5.3"/>
    <n v="37132"/>
  </r>
  <r>
    <d v="2025-01-13T00:00:00"/>
    <x v="1"/>
    <n v="1855"/>
    <n v="133"/>
    <n v="349413"/>
    <n v="3.3"/>
    <n v="14548"/>
  </r>
  <r>
    <d v="2025-01-20T00:00:00"/>
    <x v="1"/>
    <n v="1748"/>
    <n v="176"/>
    <n v="383681"/>
    <n v="9.24"/>
    <n v="43122"/>
  </r>
  <r>
    <d v="2025-01-27T00:00:00"/>
    <x v="1"/>
    <n v="115"/>
    <n v="281"/>
    <n v="357265"/>
    <n v="9.23"/>
    <n v="25525"/>
  </r>
  <r>
    <d v="2025-02-03T00:00:00"/>
    <x v="1"/>
    <n v="1556"/>
    <n v="476"/>
    <n v="351556"/>
    <n v="3.89"/>
    <n v="10825"/>
  </r>
  <r>
    <d v="2025-02-10T00:00:00"/>
    <x v="1"/>
    <n v="1957"/>
    <n v="234"/>
    <n v="222126"/>
    <n v="4.6100000000000003"/>
    <n v="3314"/>
  </r>
  <r>
    <d v="2025-02-17T00:00:00"/>
    <x v="1"/>
    <n v="1138"/>
    <n v="173"/>
    <n v="453243"/>
    <n v="2.86"/>
    <n v="44097"/>
  </r>
  <r>
    <d v="2025-02-24T00:00:00"/>
    <x v="1"/>
    <n v="1440"/>
    <n v="65"/>
    <n v="126524"/>
    <n v="4.34"/>
    <n v="49772"/>
  </r>
  <r>
    <d v="2025-03-03T00:00:00"/>
    <x v="1"/>
    <n v="1371"/>
    <n v="56"/>
    <n v="257579"/>
    <n v="8.6199999999999992"/>
    <n v="33799"/>
  </r>
  <r>
    <d v="2025-03-10T00:00:00"/>
    <x v="1"/>
    <n v="393"/>
    <n v="181"/>
    <n v="462142"/>
    <n v="7.23"/>
    <n v="6296"/>
  </r>
  <r>
    <d v="2025-03-17T00:00:00"/>
    <x v="1"/>
    <n v="1102"/>
    <n v="422"/>
    <n v="410330"/>
    <n v="7.74"/>
    <n v="9480"/>
  </r>
  <r>
    <d v="2025-03-24T00:00:00"/>
    <x v="1"/>
    <n v="490"/>
    <n v="29"/>
    <n v="364810"/>
    <n v="1.53"/>
    <n v="49077"/>
  </r>
  <r>
    <d v="2025-03-31T00:00:00"/>
    <x v="1"/>
    <n v="1033"/>
    <n v="392"/>
    <n v="282780"/>
    <n v="6.27"/>
    <n v="23140"/>
  </r>
  <r>
    <d v="2025-04-07T00:00:00"/>
    <x v="1"/>
    <n v="559"/>
    <n v="392"/>
    <n v="78789"/>
    <n v="3.19"/>
    <n v="2436"/>
  </r>
  <r>
    <d v="2025-04-14T00:00:00"/>
    <x v="1"/>
    <n v="198"/>
    <n v="358"/>
    <n v="66682"/>
    <n v="6.73"/>
    <n v="2293"/>
  </r>
  <r>
    <d v="2025-04-21T00:00:00"/>
    <x v="1"/>
    <n v="961"/>
    <n v="358"/>
    <n v="62942"/>
    <n v="6.8"/>
    <n v="18693"/>
  </r>
  <r>
    <d v="2025-04-28T00:00:00"/>
    <x v="1"/>
    <n v="1693"/>
    <n v="154"/>
    <n v="445944"/>
    <n v="5.69"/>
    <n v="14216"/>
  </r>
  <r>
    <d v="2025-05-05T00:00:00"/>
    <x v="1"/>
    <n v="1957"/>
    <n v="76"/>
    <n v="447902"/>
    <n v="6.09"/>
    <n v="33381"/>
  </r>
  <r>
    <d v="2025-05-12T00:00:00"/>
    <x v="1"/>
    <n v="1765"/>
    <n v="109"/>
    <n v="468301"/>
    <n v="1.82"/>
    <n v="20042"/>
  </r>
  <r>
    <d v="2024-06-03T00:00:00"/>
    <x v="2"/>
    <n v="584"/>
    <n v="169"/>
    <n v="146834"/>
    <n v="8.31"/>
    <n v="26752"/>
  </r>
  <r>
    <d v="2024-06-10T00:00:00"/>
    <x v="2"/>
    <n v="436"/>
    <n v="250"/>
    <n v="254347"/>
    <n v="4.01"/>
    <n v="8912"/>
  </r>
  <r>
    <d v="2024-06-17T00:00:00"/>
    <x v="2"/>
    <n v="1335"/>
    <n v="40"/>
    <n v="122732"/>
    <n v="8.19"/>
    <n v="22482"/>
  </r>
  <r>
    <d v="2024-06-24T00:00:00"/>
    <x v="2"/>
    <n v="1238"/>
    <n v="403"/>
    <n v="298421"/>
    <n v="3.5"/>
    <n v="31280"/>
  </r>
  <r>
    <d v="2024-07-01T00:00:00"/>
    <x v="2"/>
    <n v="1420"/>
    <n v="63"/>
    <n v="315305"/>
    <n v="6.19"/>
    <n v="5914"/>
  </r>
  <r>
    <d v="2024-07-08T00:00:00"/>
    <x v="2"/>
    <n v="987"/>
    <n v="440"/>
    <n v="389810"/>
    <n v="4.66"/>
    <n v="2932"/>
  </r>
  <r>
    <d v="2024-07-15T00:00:00"/>
    <x v="2"/>
    <n v="704"/>
    <n v="275"/>
    <n v="226002"/>
    <n v="8.56"/>
    <n v="32393"/>
  </r>
  <r>
    <d v="2024-07-22T00:00:00"/>
    <x v="2"/>
    <n v="1701"/>
    <n v="385"/>
    <n v="198278"/>
    <n v="5.34"/>
    <n v="32763"/>
  </r>
  <r>
    <d v="2024-07-29T00:00:00"/>
    <x v="2"/>
    <n v="1756"/>
    <n v="261"/>
    <n v="287574"/>
    <n v="4.3600000000000003"/>
    <n v="39272"/>
  </r>
  <r>
    <d v="2024-08-05T00:00:00"/>
    <x v="2"/>
    <n v="826"/>
    <n v="498"/>
    <n v="449994"/>
    <n v="9.43"/>
    <n v="12384"/>
  </r>
  <r>
    <d v="2024-08-12T00:00:00"/>
    <x v="2"/>
    <n v="485"/>
    <n v="448"/>
    <n v="434883"/>
    <n v="8.5500000000000007"/>
    <n v="33258"/>
  </r>
  <r>
    <d v="2024-08-19T00:00:00"/>
    <x v="2"/>
    <n v="1751"/>
    <n v="86"/>
    <n v="188655"/>
    <n v="7.24"/>
    <n v="22206"/>
  </r>
  <r>
    <d v="2024-08-26T00:00:00"/>
    <x v="2"/>
    <n v="1300"/>
    <n v="71"/>
    <n v="186454"/>
    <n v="3.91"/>
    <n v="9942"/>
  </r>
  <r>
    <d v="2024-09-02T00:00:00"/>
    <x v="2"/>
    <n v="557"/>
    <n v="360"/>
    <n v="318779"/>
    <n v="8.02"/>
    <n v="25797"/>
  </r>
  <r>
    <d v="2024-09-09T00:00:00"/>
    <x v="2"/>
    <n v="751"/>
    <n v="491"/>
    <n v="434047"/>
    <n v="9.24"/>
    <n v="15476"/>
  </r>
  <r>
    <d v="2024-09-16T00:00:00"/>
    <x v="2"/>
    <n v="1472"/>
    <n v="347"/>
    <n v="392355"/>
    <n v="8.59"/>
    <n v="30270"/>
  </r>
  <r>
    <d v="2024-09-23T00:00:00"/>
    <x v="2"/>
    <n v="1911"/>
    <n v="231"/>
    <n v="268516"/>
    <n v="8.5500000000000007"/>
    <n v="24018"/>
  </r>
  <r>
    <d v="2024-09-30T00:00:00"/>
    <x v="2"/>
    <n v="752"/>
    <n v="153"/>
    <n v="64906"/>
    <n v="2.09"/>
    <n v="12148"/>
  </r>
  <r>
    <d v="2024-10-07T00:00:00"/>
    <x v="2"/>
    <n v="437"/>
    <n v="330"/>
    <n v="476486"/>
    <n v="4.97"/>
    <n v="4509"/>
  </r>
  <r>
    <d v="2024-10-14T00:00:00"/>
    <x v="2"/>
    <n v="201"/>
    <n v="221"/>
    <n v="309772"/>
    <n v="5.9"/>
    <n v="33174"/>
  </r>
  <r>
    <d v="2024-10-21T00:00:00"/>
    <x v="2"/>
    <n v="697"/>
    <n v="61"/>
    <n v="258287"/>
    <n v="8.25"/>
    <n v="21208"/>
  </r>
  <r>
    <d v="2024-10-28T00:00:00"/>
    <x v="2"/>
    <n v="191"/>
    <n v="154"/>
    <n v="240550"/>
    <n v="5.22"/>
    <n v="15827"/>
  </r>
  <r>
    <d v="2024-11-04T00:00:00"/>
    <x v="2"/>
    <n v="1821"/>
    <n v="218"/>
    <n v="439080"/>
    <n v="5.68"/>
    <n v="36095"/>
  </r>
  <r>
    <d v="2024-11-11T00:00:00"/>
    <x v="2"/>
    <n v="1487"/>
    <n v="337"/>
    <n v="87305"/>
    <n v="2.46"/>
    <n v="30428"/>
  </r>
  <r>
    <d v="2024-11-18T00:00:00"/>
    <x v="2"/>
    <n v="628"/>
    <n v="183"/>
    <n v="487523"/>
    <n v="7.32"/>
    <n v="5391"/>
  </r>
  <r>
    <d v="2024-11-25T00:00:00"/>
    <x v="2"/>
    <n v="330"/>
    <n v="232"/>
    <n v="88455"/>
    <n v="2.69"/>
    <n v="39530"/>
  </r>
  <r>
    <d v="2024-12-02T00:00:00"/>
    <x v="2"/>
    <n v="1441"/>
    <n v="268"/>
    <n v="309904"/>
    <n v="6.37"/>
    <n v="3455"/>
  </r>
  <r>
    <d v="2024-12-09T00:00:00"/>
    <x v="2"/>
    <n v="1937"/>
    <n v="210"/>
    <n v="20607"/>
    <n v="4.2"/>
    <n v="20861"/>
  </r>
  <r>
    <d v="2024-12-16T00:00:00"/>
    <x v="2"/>
    <n v="1592"/>
    <n v="233"/>
    <n v="327183"/>
    <n v="6.66"/>
    <n v="13316"/>
  </r>
  <r>
    <d v="2024-12-23T00:00:00"/>
    <x v="2"/>
    <n v="1137"/>
    <n v="226"/>
    <n v="81119"/>
    <n v="7.74"/>
    <n v="35359"/>
  </r>
  <r>
    <d v="2024-12-30T00:00:00"/>
    <x v="2"/>
    <n v="1786"/>
    <n v="257"/>
    <n v="274831"/>
    <n v="4.68"/>
    <n v="9118"/>
  </r>
  <r>
    <d v="2025-01-06T00:00:00"/>
    <x v="2"/>
    <n v="1633"/>
    <n v="445"/>
    <n v="371156"/>
    <n v="2.2200000000000002"/>
    <n v="2798"/>
  </r>
  <r>
    <d v="2025-01-13T00:00:00"/>
    <x v="2"/>
    <n v="118"/>
    <n v="262"/>
    <n v="487896"/>
    <n v="2.56"/>
    <n v="12350"/>
  </r>
  <r>
    <d v="2025-01-20T00:00:00"/>
    <x v="2"/>
    <n v="1040"/>
    <n v="149"/>
    <n v="124404"/>
    <n v="5.23"/>
    <n v="45380"/>
  </r>
  <r>
    <d v="2025-01-27T00:00:00"/>
    <x v="2"/>
    <n v="1501"/>
    <n v="75"/>
    <n v="262569"/>
    <n v="2.0099999999999998"/>
    <n v="19119"/>
  </r>
  <r>
    <d v="2025-02-03T00:00:00"/>
    <x v="2"/>
    <n v="927"/>
    <n v="358"/>
    <n v="177554"/>
    <n v="6.95"/>
    <n v="48270"/>
  </r>
  <r>
    <d v="2025-02-10T00:00:00"/>
    <x v="2"/>
    <n v="1587"/>
    <n v="385"/>
    <n v="126582"/>
    <n v="6.99"/>
    <n v="42832"/>
  </r>
  <r>
    <d v="2025-02-17T00:00:00"/>
    <x v="2"/>
    <n v="362"/>
    <n v="399"/>
    <n v="145608"/>
    <n v="7.3"/>
    <n v="37636"/>
  </r>
  <r>
    <d v="2025-02-24T00:00:00"/>
    <x v="2"/>
    <n v="861"/>
    <n v="153"/>
    <n v="317007"/>
    <n v="3.85"/>
    <n v="8718"/>
  </r>
  <r>
    <d v="2025-03-03T00:00:00"/>
    <x v="2"/>
    <n v="946"/>
    <n v="47"/>
    <n v="466575"/>
    <n v="8.33"/>
    <n v="10002"/>
  </r>
  <r>
    <d v="2025-03-10T00:00:00"/>
    <x v="2"/>
    <n v="1399"/>
    <n v="49"/>
    <n v="12471"/>
    <n v="5.12"/>
    <n v="14722"/>
  </r>
  <r>
    <d v="2025-03-17T00:00:00"/>
    <x v="2"/>
    <n v="1077"/>
    <n v="216"/>
    <n v="12447"/>
    <n v="1.8"/>
    <n v="14068"/>
  </r>
  <r>
    <d v="2025-03-24T00:00:00"/>
    <x v="2"/>
    <n v="364"/>
    <n v="72"/>
    <n v="211090"/>
    <n v="5.53"/>
    <n v="21061"/>
  </r>
  <r>
    <d v="2025-03-31T00:00:00"/>
    <x v="2"/>
    <n v="1946"/>
    <n v="270"/>
    <n v="198350"/>
    <n v="7.5"/>
    <n v="11805"/>
  </r>
  <r>
    <d v="2025-04-07T00:00:00"/>
    <x v="2"/>
    <n v="1432"/>
    <n v="425"/>
    <n v="29589"/>
    <n v="4.5"/>
    <n v="42964"/>
  </r>
  <r>
    <d v="2025-04-14T00:00:00"/>
    <x v="2"/>
    <n v="353"/>
    <n v="300"/>
    <n v="142507"/>
    <n v="5.3"/>
    <n v="11035"/>
  </r>
  <r>
    <d v="2025-04-21T00:00:00"/>
    <x v="2"/>
    <n v="1147"/>
    <n v="388"/>
    <n v="333851"/>
    <n v="2.44"/>
    <n v="8471"/>
  </r>
  <r>
    <d v="2025-04-28T00:00:00"/>
    <x v="2"/>
    <n v="1222"/>
    <n v="274"/>
    <n v="487289"/>
    <n v="3.16"/>
    <n v="32500"/>
  </r>
  <r>
    <d v="2025-05-05T00:00:00"/>
    <x v="2"/>
    <n v="1581"/>
    <n v="71"/>
    <n v="484364"/>
    <n v="3.55"/>
    <n v="16149"/>
  </r>
  <r>
    <d v="2025-05-12T00:00:00"/>
    <x v="2"/>
    <n v="337"/>
    <n v="68"/>
    <n v="456298"/>
    <n v="7.57"/>
    <n v="4007"/>
  </r>
  <r>
    <d v="2024-06-03T00:00:00"/>
    <x v="3"/>
    <n v="1535"/>
    <n v="445"/>
    <n v="395536"/>
    <n v="4.1100000000000003"/>
    <n v="30671"/>
  </r>
  <r>
    <d v="2024-06-10T00:00:00"/>
    <x v="3"/>
    <n v="1197"/>
    <n v="203"/>
    <n v="413878"/>
    <n v="3.16"/>
    <n v="21205"/>
  </r>
  <r>
    <d v="2024-06-17T00:00:00"/>
    <x v="3"/>
    <n v="403"/>
    <n v="66"/>
    <n v="382851"/>
    <n v="3.49"/>
    <n v="24313"/>
  </r>
  <r>
    <d v="2024-06-24T00:00:00"/>
    <x v="3"/>
    <n v="308"/>
    <n v="431"/>
    <n v="426184"/>
    <n v="2.62"/>
    <n v="1783"/>
  </r>
  <r>
    <d v="2024-07-01T00:00:00"/>
    <x v="3"/>
    <n v="144"/>
    <n v="53"/>
    <n v="113678"/>
    <n v="8.7200000000000006"/>
    <n v="30060"/>
  </r>
  <r>
    <d v="2024-07-08T00:00:00"/>
    <x v="3"/>
    <n v="883"/>
    <n v="369"/>
    <n v="233694"/>
    <n v="2.88"/>
    <n v="15071"/>
  </r>
  <r>
    <d v="2024-07-15T00:00:00"/>
    <x v="3"/>
    <n v="224"/>
    <n v="64"/>
    <n v="156683"/>
    <n v="4.5599999999999996"/>
    <n v="28474"/>
  </r>
  <r>
    <d v="2024-07-22T00:00:00"/>
    <x v="3"/>
    <n v="804"/>
    <n v="487"/>
    <n v="306564"/>
    <n v="5.52"/>
    <n v="26452"/>
  </r>
  <r>
    <d v="2024-07-29T00:00:00"/>
    <x v="3"/>
    <n v="576"/>
    <n v="101"/>
    <n v="62499"/>
    <n v="3.48"/>
    <n v="16804"/>
  </r>
  <r>
    <d v="2024-08-05T00:00:00"/>
    <x v="3"/>
    <n v="460"/>
    <n v="141"/>
    <n v="320650"/>
    <n v="4.04"/>
    <n v="49372"/>
  </r>
  <r>
    <d v="2024-08-12T00:00:00"/>
    <x v="3"/>
    <n v="1210"/>
    <n v="178"/>
    <n v="102042"/>
    <n v="5.42"/>
    <n v="6915"/>
  </r>
  <r>
    <d v="2024-08-19T00:00:00"/>
    <x v="3"/>
    <n v="221"/>
    <n v="31"/>
    <n v="87443"/>
    <n v="6.19"/>
    <n v="10283"/>
  </r>
  <r>
    <d v="2024-08-26T00:00:00"/>
    <x v="3"/>
    <n v="422"/>
    <n v="394"/>
    <n v="239044"/>
    <n v="7.83"/>
    <n v="32929"/>
  </r>
  <r>
    <d v="2024-09-02T00:00:00"/>
    <x v="3"/>
    <n v="728"/>
    <n v="395"/>
    <n v="370971"/>
    <n v="3.86"/>
    <n v="12646"/>
  </r>
  <r>
    <d v="2024-09-09T00:00:00"/>
    <x v="3"/>
    <n v="1409"/>
    <n v="309"/>
    <n v="64583"/>
    <n v="8.99"/>
    <n v="10217"/>
  </r>
  <r>
    <d v="2024-09-16T00:00:00"/>
    <x v="3"/>
    <n v="123"/>
    <n v="155"/>
    <n v="119934"/>
    <n v="3.5"/>
    <n v="5442"/>
  </r>
  <r>
    <d v="2024-09-23T00:00:00"/>
    <x v="3"/>
    <n v="1218"/>
    <n v="212"/>
    <n v="63177"/>
    <n v="8.1300000000000008"/>
    <n v="38883"/>
  </r>
  <r>
    <d v="2024-09-30T00:00:00"/>
    <x v="3"/>
    <n v="1918"/>
    <n v="212"/>
    <n v="94360"/>
    <n v="7.36"/>
    <n v="36851"/>
  </r>
  <r>
    <d v="2024-10-07T00:00:00"/>
    <x v="3"/>
    <n v="307"/>
    <n v="189"/>
    <n v="117767"/>
    <n v="9.3000000000000007"/>
    <n v="27822"/>
  </r>
  <r>
    <d v="2024-10-14T00:00:00"/>
    <x v="3"/>
    <n v="414"/>
    <n v="47"/>
    <n v="199178"/>
    <n v="1.53"/>
    <n v="6742"/>
  </r>
  <r>
    <d v="2024-10-21T00:00:00"/>
    <x v="3"/>
    <n v="1707"/>
    <n v="223"/>
    <n v="256910"/>
    <n v="5.41"/>
    <n v="44321"/>
  </r>
  <r>
    <d v="2024-10-28T00:00:00"/>
    <x v="3"/>
    <n v="1814"/>
    <n v="157"/>
    <n v="305827"/>
    <n v="1.99"/>
    <n v="46643"/>
  </r>
  <r>
    <d v="2024-11-04T00:00:00"/>
    <x v="3"/>
    <n v="1507"/>
    <n v="463"/>
    <n v="258944"/>
    <n v="6.08"/>
    <n v="16443"/>
  </r>
  <r>
    <d v="2024-11-11T00:00:00"/>
    <x v="3"/>
    <n v="454"/>
    <n v="105"/>
    <n v="121091"/>
    <n v="7.97"/>
    <n v="9269"/>
  </r>
  <r>
    <d v="2024-11-18T00:00:00"/>
    <x v="3"/>
    <n v="278"/>
    <n v="218"/>
    <n v="301695"/>
    <n v="4.68"/>
    <n v="22373"/>
  </r>
  <r>
    <d v="2024-11-25T00:00:00"/>
    <x v="3"/>
    <n v="1293"/>
    <n v="408"/>
    <n v="62535"/>
    <n v="8.9"/>
    <n v="37876"/>
  </r>
  <r>
    <d v="2024-12-02T00:00:00"/>
    <x v="3"/>
    <n v="452"/>
    <n v="161"/>
    <n v="221274"/>
    <n v="2.65"/>
    <n v="40888"/>
  </r>
  <r>
    <d v="2024-12-09T00:00:00"/>
    <x v="3"/>
    <n v="736"/>
    <n v="163"/>
    <n v="451894"/>
    <n v="5.43"/>
    <n v="46625"/>
  </r>
  <r>
    <d v="2024-12-16T00:00:00"/>
    <x v="3"/>
    <n v="1004"/>
    <n v="128"/>
    <n v="488901"/>
    <n v="8.09"/>
    <n v="49558"/>
  </r>
  <r>
    <d v="2024-12-23T00:00:00"/>
    <x v="3"/>
    <n v="1900"/>
    <n v="311"/>
    <n v="25177"/>
    <n v="2.89"/>
    <n v="14154"/>
  </r>
  <r>
    <d v="2024-12-30T00:00:00"/>
    <x v="3"/>
    <n v="1495"/>
    <n v="35"/>
    <n v="136845"/>
    <n v="4.4800000000000004"/>
    <n v="39931"/>
  </r>
  <r>
    <d v="2025-01-06T00:00:00"/>
    <x v="3"/>
    <n v="891"/>
    <n v="45"/>
    <n v="95410"/>
    <n v="8.33"/>
    <n v="15045"/>
  </r>
  <r>
    <d v="2025-01-13T00:00:00"/>
    <x v="3"/>
    <n v="1331"/>
    <n v="430"/>
    <n v="14437"/>
    <n v="3.29"/>
    <n v="40868"/>
  </r>
  <r>
    <d v="2025-01-20T00:00:00"/>
    <x v="3"/>
    <n v="1166"/>
    <n v="442"/>
    <n v="336949"/>
    <n v="4.68"/>
    <n v="7705"/>
  </r>
  <r>
    <d v="2025-01-27T00:00:00"/>
    <x v="3"/>
    <n v="1411"/>
    <n v="186"/>
    <n v="461669"/>
    <n v="3.72"/>
    <n v="43999"/>
  </r>
  <r>
    <d v="2025-02-03T00:00:00"/>
    <x v="3"/>
    <n v="152"/>
    <n v="355"/>
    <n v="270766"/>
    <n v="9.48"/>
    <n v="18001"/>
  </r>
  <r>
    <d v="2025-02-10T00:00:00"/>
    <x v="3"/>
    <n v="1707"/>
    <n v="263"/>
    <n v="485280"/>
    <n v="9.0299999999999994"/>
    <n v="24494"/>
  </r>
  <r>
    <d v="2025-02-17T00:00:00"/>
    <x v="3"/>
    <n v="1662"/>
    <n v="487"/>
    <n v="105980"/>
    <n v="9.08"/>
    <n v="22996"/>
  </r>
  <r>
    <d v="2025-02-24T00:00:00"/>
    <x v="3"/>
    <n v="1063"/>
    <n v="47"/>
    <n v="464239"/>
    <n v="6.58"/>
    <n v="39031"/>
  </r>
  <r>
    <d v="2025-03-03T00:00:00"/>
    <x v="3"/>
    <n v="510"/>
    <n v="195"/>
    <n v="224534"/>
    <n v="9.4"/>
    <n v="30987"/>
  </r>
  <r>
    <d v="2025-03-10T00:00:00"/>
    <x v="3"/>
    <n v="1658"/>
    <n v="416"/>
    <n v="98397"/>
    <n v="6.11"/>
    <n v="11383"/>
  </r>
  <r>
    <d v="2025-03-17T00:00:00"/>
    <x v="3"/>
    <n v="1596"/>
    <n v="211"/>
    <n v="17380"/>
    <n v="8.64"/>
    <n v="35801"/>
  </r>
  <r>
    <d v="2025-03-24T00:00:00"/>
    <x v="3"/>
    <n v="442"/>
    <n v="53"/>
    <n v="441931"/>
    <n v="1.87"/>
    <n v="20059"/>
  </r>
  <r>
    <d v="2025-03-31T00:00:00"/>
    <x v="3"/>
    <n v="1957"/>
    <n v="490"/>
    <n v="435726"/>
    <n v="4.7300000000000004"/>
    <n v="15969"/>
  </r>
  <r>
    <d v="2025-04-07T00:00:00"/>
    <x v="3"/>
    <n v="623"/>
    <n v="414"/>
    <n v="290354"/>
    <n v="6.49"/>
    <n v="39923"/>
  </r>
  <r>
    <d v="2025-04-14T00:00:00"/>
    <x v="3"/>
    <n v="520"/>
    <n v="375"/>
    <n v="369525"/>
    <n v="6.54"/>
    <n v="20733"/>
  </r>
  <r>
    <d v="2025-04-21T00:00:00"/>
    <x v="3"/>
    <n v="1707"/>
    <n v="74"/>
    <n v="270958"/>
    <n v="3.09"/>
    <n v="14090"/>
  </r>
  <r>
    <d v="2025-04-28T00:00:00"/>
    <x v="3"/>
    <n v="777"/>
    <n v="140"/>
    <n v="11435"/>
    <n v="1.6"/>
    <n v="6832"/>
  </r>
  <r>
    <d v="2025-05-05T00:00:00"/>
    <x v="3"/>
    <n v="1035"/>
    <n v="171"/>
    <n v="148477"/>
    <n v="5.21"/>
    <n v="7541"/>
  </r>
  <r>
    <d v="2025-05-12T00:00:00"/>
    <x v="3"/>
    <n v="119"/>
    <n v="456"/>
    <n v="82558"/>
    <n v="6.81"/>
    <n v="1217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1312"/>
    <n v="310"/>
    <n v="42654"/>
    <n v="4.9800000000000004"/>
    <n v="9566"/>
    <x v="0"/>
    <n v="1002"/>
  </r>
  <r>
    <x v="1"/>
    <x v="0"/>
    <n v="1697"/>
    <n v="414"/>
    <n v="316555"/>
    <n v="2.37"/>
    <n v="7924"/>
    <x v="0"/>
    <n v="1283"/>
  </r>
  <r>
    <x v="2"/>
    <x v="0"/>
    <n v="1753"/>
    <n v="371"/>
    <n v="169496"/>
    <n v="8.11"/>
    <n v="46670"/>
    <x v="1"/>
    <n v="1382"/>
  </r>
  <r>
    <x v="3"/>
    <x v="0"/>
    <n v="1779"/>
    <n v="109"/>
    <n v="26295"/>
    <n v="9.1199999999999992"/>
    <n v="30635"/>
    <x v="1"/>
    <n v="1670"/>
  </r>
  <r>
    <x v="4"/>
    <x v="0"/>
    <n v="505"/>
    <n v="441"/>
    <n v="220020"/>
    <n v="4.4800000000000004"/>
    <n v="42307"/>
    <x v="1"/>
    <n v="64"/>
  </r>
  <r>
    <x v="5"/>
    <x v="0"/>
    <n v="350"/>
    <n v="41"/>
    <n v="251694"/>
    <n v="1.91"/>
    <n v="38610"/>
    <x v="1"/>
    <n v="309"/>
  </r>
  <r>
    <x v="6"/>
    <x v="0"/>
    <n v="170"/>
    <n v="334"/>
    <n v="334626"/>
    <n v="6.44"/>
    <n v="43420"/>
    <x v="1"/>
    <n v="-164"/>
  </r>
  <r>
    <x v="7"/>
    <x v="0"/>
    <n v="1391"/>
    <n v="430"/>
    <n v="295032"/>
    <n v="7.86"/>
    <n v="26067"/>
    <x v="1"/>
    <n v="961"/>
  </r>
  <r>
    <x v="8"/>
    <x v="0"/>
    <n v="160"/>
    <n v="478"/>
    <n v="435034"/>
    <n v="7.73"/>
    <n v="4839"/>
    <x v="1"/>
    <n v="-318"/>
  </r>
  <r>
    <x v="9"/>
    <x v="0"/>
    <n v="214"/>
    <n v="411"/>
    <n v="125034"/>
    <n v="6.11"/>
    <n v="26455"/>
    <x v="1"/>
    <n v="-197"/>
  </r>
  <r>
    <x v="10"/>
    <x v="0"/>
    <n v="1534"/>
    <n v="200"/>
    <n v="307612"/>
    <n v="6.01"/>
    <n v="37903"/>
    <x v="1"/>
    <n v="1334"/>
  </r>
  <r>
    <x v="11"/>
    <x v="0"/>
    <n v="1078"/>
    <n v="20"/>
    <n v="183924"/>
    <n v="8.84"/>
    <n v="14203"/>
    <x v="1"/>
    <n v="1058"/>
  </r>
  <r>
    <x v="12"/>
    <x v="0"/>
    <n v="248"/>
    <n v="211"/>
    <n v="379380"/>
    <n v="9.0399999999999991"/>
    <n v="26925"/>
    <x v="1"/>
    <n v="37"/>
  </r>
  <r>
    <x v="13"/>
    <x v="0"/>
    <n v="1520"/>
    <n v="475"/>
    <n v="496982"/>
    <n v="6.41"/>
    <n v="24384"/>
    <x v="2"/>
    <n v="1045"/>
  </r>
  <r>
    <x v="14"/>
    <x v="0"/>
    <n v="1842"/>
    <n v="414"/>
    <n v="307524"/>
    <n v="1.76"/>
    <n v="40478"/>
    <x v="1"/>
    <n v="1428"/>
  </r>
  <r>
    <x v="15"/>
    <x v="0"/>
    <n v="443"/>
    <n v="345"/>
    <n v="474162"/>
    <n v="9.1999999999999993"/>
    <n v="47462"/>
    <x v="1"/>
    <n v="98"/>
  </r>
  <r>
    <x v="16"/>
    <x v="0"/>
    <n v="198"/>
    <n v="217"/>
    <n v="239753"/>
    <n v="7.36"/>
    <n v="11901"/>
    <x v="1"/>
    <n v="-19"/>
  </r>
  <r>
    <x v="17"/>
    <x v="0"/>
    <n v="250"/>
    <n v="429"/>
    <n v="453423"/>
    <n v="1.77"/>
    <n v="2315"/>
    <x v="1"/>
    <n v="-179"/>
  </r>
  <r>
    <x v="18"/>
    <x v="0"/>
    <n v="1929"/>
    <n v="267"/>
    <n v="379363"/>
    <n v="1.75"/>
    <n v="43836"/>
    <x v="3"/>
    <n v="1662"/>
  </r>
  <r>
    <x v="19"/>
    <x v="0"/>
    <n v="643"/>
    <n v="358"/>
    <n v="157599"/>
    <n v="3.88"/>
    <n v="7285"/>
    <x v="3"/>
    <n v="285"/>
  </r>
  <r>
    <x v="20"/>
    <x v="0"/>
    <n v="508"/>
    <n v="69"/>
    <n v="23492"/>
    <n v="3.16"/>
    <n v="42824"/>
    <x v="3"/>
    <n v="439"/>
  </r>
  <r>
    <x v="21"/>
    <x v="0"/>
    <n v="859"/>
    <n v="473"/>
    <n v="209987"/>
    <n v="4.46"/>
    <n v="30214"/>
    <x v="3"/>
    <n v="386"/>
  </r>
  <r>
    <x v="22"/>
    <x v="0"/>
    <n v="947"/>
    <n v="407"/>
    <n v="319186"/>
    <n v="3.32"/>
    <n v="4996"/>
    <x v="4"/>
    <n v="540"/>
  </r>
  <r>
    <x v="23"/>
    <x v="0"/>
    <n v="171"/>
    <n v="277"/>
    <n v="309483"/>
    <n v="8.6999999999999993"/>
    <n v="38452"/>
    <x v="4"/>
    <n v="-106"/>
  </r>
  <r>
    <x v="24"/>
    <x v="0"/>
    <n v="513"/>
    <n v="441"/>
    <n v="338847"/>
    <n v="2.68"/>
    <n v="39997"/>
    <x v="4"/>
    <n v="72"/>
  </r>
  <r>
    <x v="25"/>
    <x v="0"/>
    <n v="1710"/>
    <n v="378"/>
    <n v="336661"/>
    <n v="6.2"/>
    <n v="28498"/>
    <x v="2"/>
    <n v="1332"/>
  </r>
  <r>
    <x v="26"/>
    <x v="0"/>
    <n v="1902"/>
    <n v="196"/>
    <n v="470269"/>
    <n v="4.79"/>
    <n v="26103"/>
    <x v="2"/>
    <n v="1706"/>
  </r>
  <r>
    <x v="27"/>
    <x v="0"/>
    <n v="1514"/>
    <n v="141"/>
    <n v="35842"/>
    <n v="7.47"/>
    <n v="18601"/>
    <x v="4"/>
    <n v="1373"/>
  </r>
  <r>
    <x v="28"/>
    <x v="0"/>
    <n v="1623"/>
    <n v="246"/>
    <n v="415815"/>
    <n v="8.11"/>
    <n v="18656"/>
    <x v="4"/>
    <n v="1377"/>
  </r>
  <r>
    <x v="29"/>
    <x v="0"/>
    <n v="1155"/>
    <n v="425"/>
    <n v="93347"/>
    <n v="2.02"/>
    <n v="47502"/>
    <x v="4"/>
    <n v="730"/>
  </r>
  <r>
    <x v="30"/>
    <x v="0"/>
    <n v="1980"/>
    <n v="204"/>
    <n v="379431"/>
    <n v="3.09"/>
    <n v="25140"/>
    <x v="5"/>
    <n v="1776"/>
  </r>
  <r>
    <x v="31"/>
    <x v="0"/>
    <n v="816"/>
    <n v="196"/>
    <n v="95728"/>
    <n v="8.1999999999999993"/>
    <n v="17951"/>
    <x v="5"/>
    <n v="620"/>
  </r>
  <r>
    <x v="32"/>
    <x v="0"/>
    <n v="651"/>
    <n v="353"/>
    <n v="224699"/>
    <n v="5.61"/>
    <n v="45708"/>
    <x v="6"/>
    <n v="298"/>
  </r>
  <r>
    <x v="33"/>
    <x v="0"/>
    <n v="663"/>
    <n v="236"/>
    <n v="479490"/>
    <n v="4.51"/>
    <n v="23853"/>
    <x v="6"/>
    <n v="427"/>
  </r>
  <r>
    <x v="34"/>
    <x v="0"/>
    <n v="1249"/>
    <n v="351"/>
    <n v="321307"/>
    <n v="6.37"/>
    <n v="20560"/>
    <x v="6"/>
    <n v="898"/>
  </r>
  <r>
    <x v="35"/>
    <x v="0"/>
    <n v="1159"/>
    <n v="411"/>
    <n v="135987"/>
    <n v="8.6999999999999993"/>
    <n v="40323"/>
    <x v="6"/>
    <n v="748"/>
  </r>
  <r>
    <x v="36"/>
    <x v="0"/>
    <n v="1294"/>
    <n v="382"/>
    <n v="309914"/>
    <n v="8.0299999999999994"/>
    <n v="23489"/>
    <x v="6"/>
    <n v="912"/>
  </r>
  <r>
    <x v="37"/>
    <x v="0"/>
    <n v="1895"/>
    <n v="305"/>
    <n v="104967"/>
    <n v="3.85"/>
    <n v="31853"/>
    <x v="6"/>
    <n v="1590"/>
  </r>
  <r>
    <x v="38"/>
    <x v="0"/>
    <n v="1884"/>
    <n v="177"/>
    <n v="230448"/>
    <n v="7.8"/>
    <n v="22713"/>
    <x v="2"/>
    <n v="1707"/>
  </r>
  <r>
    <x v="39"/>
    <x v="0"/>
    <n v="345"/>
    <n v="464"/>
    <n v="366881"/>
    <n v="4.55"/>
    <n v="20553"/>
    <x v="7"/>
    <n v="-119"/>
  </r>
  <r>
    <x v="40"/>
    <x v="0"/>
    <n v="1098"/>
    <n v="190"/>
    <n v="340842"/>
    <n v="9.39"/>
    <n v="21539"/>
    <x v="7"/>
    <n v="908"/>
  </r>
  <r>
    <x v="41"/>
    <x v="0"/>
    <n v="1358"/>
    <n v="242"/>
    <n v="342129"/>
    <n v="4.9400000000000004"/>
    <n v="29116"/>
    <x v="7"/>
    <n v="1116"/>
  </r>
  <r>
    <x v="42"/>
    <x v="0"/>
    <n v="609"/>
    <n v="135"/>
    <n v="373606"/>
    <n v="8.52"/>
    <n v="21453"/>
    <x v="7"/>
    <n v="474"/>
  </r>
  <r>
    <x v="43"/>
    <x v="0"/>
    <n v="988"/>
    <n v="474"/>
    <n v="370070"/>
    <n v="9.4600000000000009"/>
    <n v="23461"/>
    <x v="8"/>
    <n v="514"/>
  </r>
  <r>
    <x v="44"/>
    <x v="0"/>
    <n v="1307"/>
    <n v="278"/>
    <n v="98596"/>
    <n v="2.4900000000000002"/>
    <n v="47603"/>
    <x v="8"/>
    <n v="1029"/>
  </r>
  <r>
    <x v="45"/>
    <x v="0"/>
    <n v="198"/>
    <n v="373"/>
    <n v="70707"/>
    <n v="4.83"/>
    <n v="25920"/>
    <x v="8"/>
    <n v="-175"/>
  </r>
  <r>
    <x v="46"/>
    <x v="0"/>
    <n v="1375"/>
    <n v="330"/>
    <n v="377382"/>
    <n v="2.6"/>
    <n v="7875"/>
    <x v="8"/>
    <n v="1045"/>
  </r>
  <r>
    <x v="47"/>
    <x v="0"/>
    <n v="833"/>
    <n v="380"/>
    <n v="224830"/>
    <n v="3.86"/>
    <n v="3582"/>
    <x v="8"/>
    <n v="453"/>
  </r>
  <r>
    <x v="48"/>
    <x v="0"/>
    <n v="405"/>
    <n v="66"/>
    <n v="418696"/>
    <n v="5.59"/>
    <n v="48419"/>
    <x v="8"/>
    <n v="339"/>
  </r>
  <r>
    <x v="49"/>
    <x v="0"/>
    <n v="837"/>
    <n v="430"/>
    <n v="364820"/>
    <n v="4"/>
    <n v="49400"/>
    <x v="8"/>
    <n v="407"/>
  </r>
  <r>
    <x v="0"/>
    <x v="1"/>
    <n v="1135"/>
    <n v="88"/>
    <n v="344084"/>
    <n v="8.06"/>
    <n v="5904"/>
    <x v="0"/>
    <n v="1047"/>
  </r>
  <r>
    <x v="1"/>
    <x v="1"/>
    <n v="656"/>
    <n v="139"/>
    <n v="49157"/>
    <n v="9.0500000000000007"/>
    <n v="9920"/>
    <x v="0"/>
    <n v="517"/>
  </r>
  <r>
    <x v="2"/>
    <x v="1"/>
    <n v="1048"/>
    <n v="155"/>
    <n v="456946"/>
    <n v="2.46"/>
    <n v="11329"/>
    <x v="1"/>
    <n v="893"/>
  </r>
  <r>
    <x v="3"/>
    <x v="1"/>
    <n v="911"/>
    <n v="282"/>
    <n v="35664"/>
    <n v="6.92"/>
    <n v="18050"/>
    <x v="1"/>
    <n v="629"/>
  </r>
  <r>
    <x v="4"/>
    <x v="1"/>
    <n v="226"/>
    <n v="445"/>
    <n v="419447"/>
    <n v="9.36"/>
    <n v="9566"/>
    <x v="1"/>
    <n v="-219"/>
  </r>
  <r>
    <x v="5"/>
    <x v="1"/>
    <n v="1757"/>
    <n v="85"/>
    <n v="58223"/>
    <n v="8.74"/>
    <n v="22728"/>
    <x v="1"/>
    <n v="1672"/>
  </r>
  <r>
    <x v="6"/>
    <x v="1"/>
    <n v="1960"/>
    <n v="115"/>
    <n v="154169"/>
    <n v="3.74"/>
    <n v="10740"/>
    <x v="1"/>
    <n v="1845"/>
  </r>
  <r>
    <x v="7"/>
    <x v="1"/>
    <n v="508"/>
    <n v="349"/>
    <n v="473812"/>
    <n v="7.88"/>
    <n v="17328"/>
    <x v="1"/>
    <n v="159"/>
  </r>
  <r>
    <x v="8"/>
    <x v="1"/>
    <n v="653"/>
    <n v="112"/>
    <n v="23664"/>
    <n v="4.05"/>
    <n v="15353"/>
    <x v="1"/>
    <n v="541"/>
  </r>
  <r>
    <x v="9"/>
    <x v="1"/>
    <n v="645"/>
    <n v="293"/>
    <n v="437968"/>
    <n v="7.83"/>
    <n v="49303"/>
    <x v="1"/>
    <n v="352"/>
  </r>
  <r>
    <x v="10"/>
    <x v="1"/>
    <n v="1528"/>
    <n v="203"/>
    <n v="489188"/>
    <n v="6.23"/>
    <n v="47101"/>
    <x v="1"/>
    <n v="1325"/>
  </r>
  <r>
    <x v="11"/>
    <x v="1"/>
    <n v="215"/>
    <n v="139"/>
    <n v="325444"/>
    <n v="3.25"/>
    <n v="35501"/>
    <x v="1"/>
    <n v="76"/>
  </r>
  <r>
    <x v="12"/>
    <x v="1"/>
    <n v="1685"/>
    <n v="76"/>
    <n v="453799"/>
    <n v="5.71"/>
    <n v="24913"/>
    <x v="1"/>
    <n v="1609"/>
  </r>
  <r>
    <x v="13"/>
    <x v="1"/>
    <n v="1429"/>
    <n v="182"/>
    <n v="101332"/>
    <n v="7.16"/>
    <n v="37829"/>
    <x v="2"/>
    <n v="1247"/>
  </r>
  <r>
    <x v="14"/>
    <x v="1"/>
    <n v="1592"/>
    <n v="20"/>
    <n v="378054"/>
    <n v="9.09"/>
    <n v="26663"/>
    <x v="2"/>
    <n v="1572"/>
  </r>
  <r>
    <x v="15"/>
    <x v="1"/>
    <n v="778"/>
    <n v="401"/>
    <n v="50793"/>
    <n v="3.4"/>
    <n v="21939"/>
    <x v="1"/>
    <n v="377"/>
  </r>
  <r>
    <x v="16"/>
    <x v="1"/>
    <n v="817"/>
    <n v="151"/>
    <n v="422625"/>
    <n v="2.36"/>
    <n v="1083"/>
    <x v="1"/>
    <n v="666"/>
  </r>
  <r>
    <x v="17"/>
    <x v="1"/>
    <n v="1433"/>
    <n v="408"/>
    <n v="370269"/>
    <n v="3.3"/>
    <n v="30575"/>
    <x v="1"/>
    <n v="1025"/>
  </r>
  <r>
    <x v="18"/>
    <x v="1"/>
    <n v="1939"/>
    <n v="67"/>
    <n v="187183"/>
    <n v="6.25"/>
    <n v="41215"/>
    <x v="3"/>
    <n v="1872"/>
  </r>
  <r>
    <x v="19"/>
    <x v="1"/>
    <n v="1527"/>
    <n v="303"/>
    <n v="388555"/>
    <n v="8.9"/>
    <n v="36397"/>
    <x v="3"/>
    <n v="1224"/>
  </r>
  <r>
    <x v="20"/>
    <x v="1"/>
    <n v="703"/>
    <n v="441"/>
    <n v="357089"/>
    <n v="6.5"/>
    <n v="32478"/>
    <x v="3"/>
    <n v="262"/>
  </r>
  <r>
    <x v="21"/>
    <x v="1"/>
    <n v="642"/>
    <n v="66"/>
    <n v="346522"/>
    <n v="5.85"/>
    <n v="13116"/>
    <x v="3"/>
    <n v="576"/>
  </r>
  <r>
    <x v="22"/>
    <x v="1"/>
    <n v="1466"/>
    <n v="69"/>
    <n v="54935"/>
    <n v="6.85"/>
    <n v="36484"/>
    <x v="4"/>
    <n v="1397"/>
  </r>
  <r>
    <x v="23"/>
    <x v="1"/>
    <n v="1075"/>
    <n v="173"/>
    <n v="51395"/>
    <n v="4.66"/>
    <n v="47812"/>
    <x v="4"/>
    <n v="902"/>
  </r>
  <r>
    <x v="24"/>
    <x v="1"/>
    <n v="187"/>
    <n v="236"/>
    <n v="51087"/>
    <n v="9.41"/>
    <n v="29533"/>
    <x v="4"/>
    <n v="-49"/>
  </r>
  <r>
    <x v="25"/>
    <x v="1"/>
    <n v="1854"/>
    <n v="161"/>
    <n v="282466"/>
    <n v="5.17"/>
    <n v="1810"/>
    <x v="2"/>
    <n v="1693"/>
  </r>
  <r>
    <x v="26"/>
    <x v="1"/>
    <n v="1696"/>
    <n v="71"/>
    <n v="421957"/>
    <n v="3.79"/>
    <n v="36103"/>
    <x v="2"/>
    <n v="1625"/>
  </r>
  <r>
    <x v="27"/>
    <x v="1"/>
    <n v="1494"/>
    <n v="375"/>
    <n v="220616"/>
    <n v="1.81"/>
    <n v="22724"/>
    <x v="4"/>
    <n v="1119"/>
  </r>
  <r>
    <x v="28"/>
    <x v="1"/>
    <n v="1502"/>
    <n v="70"/>
    <n v="465553"/>
    <n v="3.32"/>
    <n v="20692"/>
    <x v="4"/>
    <n v="1432"/>
  </r>
  <r>
    <x v="29"/>
    <x v="1"/>
    <n v="1092"/>
    <n v="408"/>
    <n v="280795"/>
    <n v="8.44"/>
    <n v="4683"/>
    <x v="4"/>
    <n v="684"/>
  </r>
  <r>
    <x v="30"/>
    <x v="1"/>
    <n v="1814"/>
    <n v="49"/>
    <n v="140804"/>
    <n v="1.76"/>
    <n v="4313"/>
    <x v="5"/>
    <n v="1765"/>
  </r>
  <r>
    <x v="31"/>
    <x v="1"/>
    <n v="1013"/>
    <n v="110"/>
    <n v="466382"/>
    <n v="5.3"/>
    <n v="37132"/>
    <x v="5"/>
    <n v="903"/>
  </r>
  <r>
    <x v="32"/>
    <x v="1"/>
    <n v="1855"/>
    <n v="133"/>
    <n v="349413"/>
    <n v="3.3"/>
    <n v="14548"/>
    <x v="6"/>
    <n v="1722"/>
  </r>
  <r>
    <x v="33"/>
    <x v="1"/>
    <n v="1748"/>
    <n v="176"/>
    <n v="383681"/>
    <n v="9.24"/>
    <n v="43122"/>
    <x v="6"/>
    <n v="1572"/>
  </r>
  <r>
    <x v="34"/>
    <x v="1"/>
    <n v="115"/>
    <n v="281"/>
    <n v="357265"/>
    <n v="9.23"/>
    <n v="25525"/>
    <x v="6"/>
    <n v="-166"/>
  </r>
  <r>
    <x v="35"/>
    <x v="1"/>
    <n v="1556"/>
    <n v="476"/>
    <n v="351556"/>
    <n v="3.89"/>
    <n v="10825"/>
    <x v="6"/>
    <n v="1080"/>
  </r>
  <r>
    <x v="36"/>
    <x v="1"/>
    <n v="1957"/>
    <n v="234"/>
    <n v="222126"/>
    <n v="4.6100000000000003"/>
    <n v="3314"/>
    <x v="6"/>
    <n v="1723"/>
  </r>
  <r>
    <x v="37"/>
    <x v="1"/>
    <n v="1138"/>
    <n v="173"/>
    <n v="453243"/>
    <n v="2.86"/>
    <n v="44097"/>
    <x v="6"/>
    <n v="965"/>
  </r>
  <r>
    <x v="38"/>
    <x v="1"/>
    <n v="1440"/>
    <n v="65"/>
    <n v="126524"/>
    <n v="4.34"/>
    <n v="49772"/>
    <x v="2"/>
    <n v="1375"/>
  </r>
  <r>
    <x v="39"/>
    <x v="1"/>
    <n v="1371"/>
    <n v="56"/>
    <n v="257579"/>
    <n v="8.6199999999999992"/>
    <n v="33799"/>
    <x v="2"/>
    <n v="1315"/>
  </r>
  <r>
    <x v="40"/>
    <x v="1"/>
    <n v="393"/>
    <n v="181"/>
    <n v="462142"/>
    <n v="7.23"/>
    <n v="6296"/>
    <x v="7"/>
    <n v="212"/>
  </r>
  <r>
    <x v="41"/>
    <x v="1"/>
    <n v="1102"/>
    <n v="422"/>
    <n v="410330"/>
    <n v="7.74"/>
    <n v="9480"/>
    <x v="7"/>
    <n v="680"/>
  </r>
  <r>
    <x v="42"/>
    <x v="1"/>
    <n v="490"/>
    <n v="29"/>
    <n v="364810"/>
    <n v="1.53"/>
    <n v="49077"/>
    <x v="7"/>
    <n v="461"/>
  </r>
  <r>
    <x v="43"/>
    <x v="1"/>
    <n v="1033"/>
    <n v="392"/>
    <n v="282780"/>
    <n v="6.27"/>
    <n v="23140"/>
    <x v="8"/>
    <n v="641"/>
  </r>
  <r>
    <x v="44"/>
    <x v="1"/>
    <n v="559"/>
    <n v="392"/>
    <n v="78789"/>
    <n v="3.19"/>
    <n v="2436"/>
    <x v="8"/>
    <n v="167"/>
  </r>
  <r>
    <x v="45"/>
    <x v="1"/>
    <n v="198"/>
    <n v="358"/>
    <n v="66682"/>
    <n v="6.73"/>
    <n v="2293"/>
    <x v="8"/>
    <n v="-160"/>
  </r>
  <r>
    <x v="46"/>
    <x v="1"/>
    <n v="961"/>
    <n v="358"/>
    <n v="62942"/>
    <n v="6.8"/>
    <n v="18693"/>
    <x v="8"/>
    <n v="603"/>
  </r>
  <r>
    <x v="47"/>
    <x v="1"/>
    <n v="1693"/>
    <n v="154"/>
    <n v="445944"/>
    <n v="5.69"/>
    <n v="14216"/>
    <x v="8"/>
    <n v="1539"/>
  </r>
  <r>
    <x v="48"/>
    <x v="1"/>
    <n v="1957"/>
    <n v="76"/>
    <n v="447902"/>
    <n v="6.09"/>
    <n v="33381"/>
    <x v="8"/>
    <n v="1881"/>
  </r>
  <r>
    <x v="49"/>
    <x v="1"/>
    <n v="1765"/>
    <n v="109"/>
    <n v="468301"/>
    <n v="1.82"/>
    <n v="20042"/>
    <x v="8"/>
    <n v="1656"/>
  </r>
  <r>
    <x v="0"/>
    <x v="2"/>
    <n v="584"/>
    <n v="169"/>
    <n v="146834"/>
    <n v="8.31"/>
    <n v="26752"/>
    <x v="0"/>
    <n v="415"/>
  </r>
  <r>
    <x v="1"/>
    <x v="2"/>
    <n v="436"/>
    <n v="250"/>
    <n v="254347"/>
    <n v="4.01"/>
    <n v="8912"/>
    <x v="0"/>
    <n v="186"/>
  </r>
  <r>
    <x v="2"/>
    <x v="2"/>
    <n v="1335"/>
    <n v="40"/>
    <n v="122732"/>
    <n v="8.19"/>
    <n v="22482"/>
    <x v="1"/>
    <n v="1295"/>
  </r>
  <r>
    <x v="3"/>
    <x v="2"/>
    <n v="1238"/>
    <n v="403"/>
    <n v="298421"/>
    <n v="3.5"/>
    <n v="31280"/>
    <x v="1"/>
    <n v="835"/>
  </r>
  <r>
    <x v="4"/>
    <x v="2"/>
    <n v="1420"/>
    <n v="63"/>
    <n v="315305"/>
    <n v="6.19"/>
    <n v="5914"/>
    <x v="1"/>
    <n v="1357"/>
  </r>
  <r>
    <x v="5"/>
    <x v="2"/>
    <n v="987"/>
    <n v="440"/>
    <n v="389810"/>
    <n v="4.66"/>
    <n v="2932"/>
    <x v="1"/>
    <n v="547"/>
  </r>
  <r>
    <x v="6"/>
    <x v="2"/>
    <n v="704"/>
    <n v="275"/>
    <n v="226002"/>
    <n v="8.56"/>
    <n v="32393"/>
    <x v="1"/>
    <n v="429"/>
  </r>
  <r>
    <x v="7"/>
    <x v="2"/>
    <n v="1701"/>
    <n v="385"/>
    <n v="198278"/>
    <n v="5.34"/>
    <n v="32763"/>
    <x v="1"/>
    <n v="1316"/>
  </r>
  <r>
    <x v="8"/>
    <x v="2"/>
    <n v="1756"/>
    <n v="261"/>
    <n v="287574"/>
    <n v="4.3600000000000003"/>
    <n v="39272"/>
    <x v="1"/>
    <n v="1495"/>
  </r>
  <r>
    <x v="9"/>
    <x v="2"/>
    <n v="826"/>
    <n v="498"/>
    <n v="449994"/>
    <n v="9.43"/>
    <n v="12384"/>
    <x v="1"/>
    <n v="328"/>
  </r>
  <r>
    <x v="10"/>
    <x v="2"/>
    <n v="485"/>
    <n v="448"/>
    <n v="434883"/>
    <n v="8.5500000000000007"/>
    <n v="33258"/>
    <x v="1"/>
    <n v="37"/>
  </r>
  <r>
    <x v="11"/>
    <x v="2"/>
    <n v="1751"/>
    <n v="86"/>
    <n v="188655"/>
    <n v="7.24"/>
    <n v="22206"/>
    <x v="1"/>
    <n v="1665"/>
  </r>
  <r>
    <x v="12"/>
    <x v="2"/>
    <n v="1300"/>
    <n v="71"/>
    <n v="186454"/>
    <n v="3.91"/>
    <n v="9942"/>
    <x v="2"/>
    <n v="1229"/>
  </r>
  <r>
    <x v="13"/>
    <x v="2"/>
    <n v="557"/>
    <n v="360"/>
    <n v="318779"/>
    <n v="8.02"/>
    <n v="25797"/>
    <x v="2"/>
    <n v="197"/>
  </r>
  <r>
    <x v="14"/>
    <x v="2"/>
    <n v="751"/>
    <n v="491"/>
    <n v="434047"/>
    <n v="9.24"/>
    <n v="15476"/>
    <x v="1"/>
    <n v="260"/>
  </r>
  <r>
    <x v="15"/>
    <x v="2"/>
    <n v="1472"/>
    <n v="347"/>
    <n v="392355"/>
    <n v="8.59"/>
    <n v="30270"/>
    <x v="1"/>
    <n v="1125"/>
  </r>
  <r>
    <x v="16"/>
    <x v="2"/>
    <n v="1911"/>
    <n v="231"/>
    <n v="268516"/>
    <n v="8.5500000000000007"/>
    <n v="24018"/>
    <x v="1"/>
    <n v="1680"/>
  </r>
  <r>
    <x v="17"/>
    <x v="2"/>
    <n v="752"/>
    <n v="153"/>
    <n v="64906"/>
    <n v="2.09"/>
    <n v="12148"/>
    <x v="1"/>
    <n v="599"/>
  </r>
  <r>
    <x v="18"/>
    <x v="2"/>
    <n v="437"/>
    <n v="330"/>
    <n v="476486"/>
    <n v="4.97"/>
    <n v="4509"/>
    <x v="3"/>
    <n v="107"/>
  </r>
  <r>
    <x v="19"/>
    <x v="2"/>
    <n v="201"/>
    <n v="221"/>
    <n v="309772"/>
    <n v="5.9"/>
    <n v="33174"/>
    <x v="3"/>
    <n v="-20"/>
  </r>
  <r>
    <x v="20"/>
    <x v="2"/>
    <n v="697"/>
    <n v="61"/>
    <n v="258287"/>
    <n v="8.25"/>
    <n v="21208"/>
    <x v="3"/>
    <n v="636"/>
  </r>
  <r>
    <x v="21"/>
    <x v="2"/>
    <n v="191"/>
    <n v="154"/>
    <n v="240550"/>
    <n v="5.22"/>
    <n v="15827"/>
    <x v="3"/>
    <n v="37"/>
  </r>
  <r>
    <x v="22"/>
    <x v="2"/>
    <n v="1821"/>
    <n v="218"/>
    <n v="439080"/>
    <n v="5.68"/>
    <n v="36095"/>
    <x v="4"/>
    <n v="1603"/>
  </r>
  <r>
    <x v="23"/>
    <x v="2"/>
    <n v="1487"/>
    <n v="337"/>
    <n v="87305"/>
    <n v="2.46"/>
    <n v="30428"/>
    <x v="4"/>
    <n v="1150"/>
  </r>
  <r>
    <x v="24"/>
    <x v="2"/>
    <n v="628"/>
    <n v="183"/>
    <n v="487523"/>
    <n v="7.32"/>
    <n v="5391"/>
    <x v="4"/>
    <n v="445"/>
  </r>
  <r>
    <x v="25"/>
    <x v="2"/>
    <n v="330"/>
    <n v="232"/>
    <n v="88455"/>
    <n v="2.69"/>
    <n v="39530"/>
    <x v="2"/>
    <n v="98"/>
  </r>
  <r>
    <x v="26"/>
    <x v="2"/>
    <n v="1441"/>
    <n v="268"/>
    <n v="309904"/>
    <n v="6.37"/>
    <n v="3455"/>
    <x v="2"/>
    <n v="1173"/>
  </r>
  <r>
    <x v="27"/>
    <x v="2"/>
    <n v="1937"/>
    <n v="210"/>
    <n v="20607"/>
    <n v="4.2"/>
    <n v="20861"/>
    <x v="4"/>
    <n v="1727"/>
  </r>
  <r>
    <x v="28"/>
    <x v="2"/>
    <n v="1592"/>
    <n v="233"/>
    <n v="327183"/>
    <n v="6.66"/>
    <n v="13316"/>
    <x v="4"/>
    <n v="1359"/>
  </r>
  <r>
    <x v="29"/>
    <x v="2"/>
    <n v="1137"/>
    <n v="226"/>
    <n v="81119"/>
    <n v="7.74"/>
    <n v="35359"/>
    <x v="4"/>
    <n v="911"/>
  </r>
  <r>
    <x v="30"/>
    <x v="2"/>
    <n v="1786"/>
    <n v="257"/>
    <n v="274831"/>
    <n v="4.68"/>
    <n v="9118"/>
    <x v="5"/>
    <n v="1529"/>
  </r>
  <r>
    <x v="31"/>
    <x v="2"/>
    <n v="1633"/>
    <n v="445"/>
    <n v="371156"/>
    <n v="2.2200000000000002"/>
    <n v="2798"/>
    <x v="5"/>
    <n v="1188"/>
  </r>
  <r>
    <x v="32"/>
    <x v="2"/>
    <n v="118"/>
    <n v="262"/>
    <n v="487896"/>
    <n v="2.56"/>
    <n v="12350"/>
    <x v="6"/>
    <n v="-144"/>
  </r>
  <r>
    <x v="33"/>
    <x v="2"/>
    <n v="1040"/>
    <n v="149"/>
    <n v="124404"/>
    <n v="5.23"/>
    <n v="45380"/>
    <x v="6"/>
    <n v="891"/>
  </r>
  <r>
    <x v="34"/>
    <x v="2"/>
    <n v="1501"/>
    <n v="75"/>
    <n v="262569"/>
    <n v="2.0099999999999998"/>
    <n v="19119"/>
    <x v="6"/>
    <n v="1426"/>
  </r>
  <r>
    <x v="35"/>
    <x v="2"/>
    <n v="927"/>
    <n v="358"/>
    <n v="177554"/>
    <n v="6.95"/>
    <n v="48270"/>
    <x v="6"/>
    <n v="569"/>
  </r>
  <r>
    <x v="36"/>
    <x v="2"/>
    <n v="1587"/>
    <n v="385"/>
    <n v="126582"/>
    <n v="6.99"/>
    <n v="42832"/>
    <x v="6"/>
    <n v="1202"/>
  </r>
  <r>
    <x v="37"/>
    <x v="2"/>
    <n v="362"/>
    <n v="399"/>
    <n v="145608"/>
    <n v="7.3"/>
    <n v="37636"/>
    <x v="2"/>
    <n v="-37"/>
  </r>
  <r>
    <x v="38"/>
    <x v="2"/>
    <n v="861"/>
    <n v="153"/>
    <n v="317007"/>
    <n v="3.85"/>
    <n v="8718"/>
    <x v="2"/>
    <n v="708"/>
  </r>
  <r>
    <x v="39"/>
    <x v="2"/>
    <n v="946"/>
    <n v="47"/>
    <n v="466575"/>
    <n v="8.33"/>
    <n v="10002"/>
    <x v="7"/>
    <n v="899"/>
  </r>
  <r>
    <x v="40"/>
    <x v="2"/>
    <n v="1399"/>
    <n v="49"/>
    <n v="12471"/>
    <n v="5.12"/>
    <n v="14722"/>
    <x v="7"/>
    <n v="1350"/>
  </r>
  <r>
    <x v="41"/>
    <x v="2"/>
    <n v="1077"/>
    <n v="216"/>
    <n v="12447"/>
    <n v="1.8"/>
    <n v="14068"/>
    <x v="7"/>
    <n v="861"/>
  </r>
  <r>
    <x v="42"/>
    <x v="2"/>
    <n v="364"/>
    <n v="72"/>
    <n v="211090"/>
    <n v="5.53"/>
    <n v="21061"/>
    <x v="7"/>
    <n v="292"/>
  </r>
  <r>
    <x v="43"/>
    <x v="2"/>
    <n v="1946"/>
    <n v="270"/>
    <n v="198350"/>
    <n v="7.5"/>
    <n v="11805"/>
    <x v="8"/>
    <n v="1676"/>
  </r>
  <r>
    <x v="44"/>
    <x v="2"/>
    <n v="1432"/>
    <n v="425"/>
    <n v="29589"/>
    <n v="4.5"/>
    <n v="42964"/>
    <x v="8"/>
    <n v="1007"/>
  </r>
  <r>
    <x v="45"/>
    <x v="2"/>
    <n v="353"/>
    <n v="300"/>
    <n v="142507"/>
    <n v="5.3"/>
    <n v="11035"/>
    <x v="8"/>
    <n v="53"/>
  </r>
  <r>
    <x v="46"/>
    <x v="2"/>
    <n v="1147"/>
    <n v="388"/>
    <n v="333851"/>
    <n v="2.44"/>
    <n v="8471"/>
    <x v="8"/>
    <n v="759"/>
  </r>
  <r>
    <x v="47"/>
    <x v="2"/>
    <n v="1222"/>
    <n v="274"/>
    <n v="487289"/>
    <n v="3.16"/>
    <n v="32500"/>
    <x v="8"/>
    <n v="948"/>
  </r>
  <r>
    <x v="48"/>
    <x v="2"/>
    <n v="1581"/>
    <n v="71"/>
    <n v="484364"/>
    <n v="3.55"/>
    <n v="16149"/>
    <x v="8"/>
    <n v="1510"/>
  </r>
  <r>
    <x v="49"/>
    <x v="2"/>
    <n v="337"/>
    <n v="68"/>
    <n v="456298"/>
    <n v="7.57"/>
    <n v="4007"/>
    <x v="8"/>
    <n v="269"/>
  </r>
  <r>
    <x v="0"/>
    <x v="3"/>
    <n v="1535"/>
    <n v="445"/>
    <n v="395536"/>
    <n v="4.1100000000000003"/>
    <n v="30671"/>
    <x v="0"/>
    <n v="1090"/>
  </r>
  <r>
    <x v="1"/>
    <x v="3"/>
    <n v="1197"/>
    <n v="203"/>
    <n v="413878"/>
    <n v="3.16"/>
    <n v="21205"/>
    <x v="0"/>
    <n v="994"/>
  </r>
  <r>
    <x v="2"/>
    <x v="3"/>
    <n v="403"/>
    <n v="66"/>
    <n v="382851"/>
    <n v="3.49"/>
    <n v="24313"/>
    <x v="1"/>
    <n v="337"/>
  </r>
  <r>
    <x v="3"/>
    <x v="3"/>
    <n v="308"/>
    <n v="431"/>
    <n v="426184"/>
    <n v="2.62"/>
    <n v="1783"/>
    <x v="1"/>
    <n v="-123"/>
  </r>
  <r>
    <x v="4"/>
    <x v="3"/>
    <n v="144"/>
    <n v="53"/>
    <n v="113678"/>
    <n v="8.7200000000000006"/>
    <n v="30060"/>
    <x v="1"/>
    <n v="91"/>
  </r>
  <r>
    <x v="5"/>
    <x v="3"/>
    <n v="883"/>
    <n v="369"/>
    <n v="233694"/>
    <n v="2.88"/>
    <n v="15071"/>
    <x v="1"/>
    <n v="514"/>
  </r>
  <r>
    <x v="6"/>
    <x v="3"/>
    <n v="224"/>
    <n v="64"/>
    <n v="156683"/>
    <n v="4.5599999999999996"/>
    <n v="28474"/>
    <x v="1"/>
    <n v="160"/>
  </r>
  <r>
    <x v="7"/>
    <x v="3"/>
    <n v="804"/>
    <n v="487"/>
    <n v="306564"/>
    <n v="5.52"/>
    <n v="26452"/>
    <x v="1"/>
    <n v="317"/>
  </r>
  <r>
    <x v="8"/>
    <x v="3"/>
    <n v="576"/>
    <n v="101"/>
    <n v="62499"/>
    <n v="3.48"/>
    <n v="16804"/>
    <x v="1"/>
    <n v="475"/>
  </r>
  <r>
    <x v="9"/>
    <x v="3"/>
    <n v="460"/>
    <n v="141"/>
    <n v="320650"/>
    <n v="4.04"/>
    <n v="49372"/>
    <x v="1"/>
    <n v="319"/>
  </r>
  <r>
    <x v="10"/>
    <x v="3"/>
    <n v="1210"/>
    <n v="178"/>
    <n v="102042"/>
    <n v="5.42"/>
    <n v="6915"/>
    <x v="1"/>
    <n v="1032"/>
  </r>
  <r>
    <x v="11"/>
    <x v="3"/>
    <n v="221"/>
    <n v="31"/>
    <n v="87443"/>
    <n v="6.19"/>
    <n v="10283"/>
    <x v="1"/>
    <n v="190"/>
  </r>
  <r>
    <x v="12"/>
    <x v="3"/>
    <n v="422"/>
    <n v="394"/>
    <n v="239044"/>
    <n v="7.83"/>
    <n v="32929"/>
    <x v="2"/>
    <n v="28"/>
  </r>
  <r>
    <x v="13"/>
    <x v="3"/>
    <n v="728"/>
    <n v="395"/>
    <n v="370971"/>
    <n v="3.86"/>
    <n v="12646"/>
    <x v="2"/>
    <n v="333"/>
  </r>
  <r>
    <x v="14"/>
    <x v="3"/>
    <n v="1409"/>
    <n v="309"/>
    <n v="64583"/>
    <n v="8.99"/>
    <n v="10217"/>
    <x v="1"/>
    <n v="1100"/>
  </r>
  <r>
    <x v="15"/>
    <x v="3"/>
    <n v="123"/>
    <n v="155"/>
    <n v="119934"/>
    <n v="3.5"/>
    <n v="5442"/>
    <x v="1"/>
    <n v="-32"/>
  </r>
  <r>
    <x v="16"/>
    <x v="3"/>
    <n v="1218"/>
    <n v="212"/>
    <n v="63177"/>
    <n v="8.1300000000000008"/>
    <n v="38883"/>
    <x v="1"/>
    <n v="1006"/>
  </r>
  <r>
    <x v="17"/>
    <x v="3"/>
    <n v="1918"/>
    <n v="212"/>
    <n v="94360"/>
    <n v="7.36"/>
    <n v="36851"/>
    <x v="1"/>
    <n v="1706"/>
  </r>
  <r>
    <x v="18"/>
    <x v="3"/>
    <n v="307"/>
    <n v="189"/>
    <n v="117767"/>
    <n v="9.3000000000000007"/>
    <n v="27822"/>
    <x v="3"/>
    <n v="118"/>
  </r>
  <r>
    <x v="19"/>
    <x v="3"/>
    <n v="414"/>
    <n v="47"/>
    <n v="199178"/>
    <n v="1.53"/>
    <n v="6742"/>
    <x v="3"/>
    <n v="367"/>
  </r>
  <r>
    <x v="20"/>
    <x v="3"/>
    <n v="1707"/>
    <n v="223"/>
    <n v="256910"/>
    <n v="5.41"/>
    <n v="44321"/>
    <x v="3"/>
    <n v="1484"/>
  </r>
  <r>
    <x v="21"/>
    <x v="3"/>
    <n v="1814"/>
    <n v="157"/>
    <n v="305827"/>
    <n v="1.99"/>
    <n v="46643"/>
    <x v="3"/>
    <n v="1657"/>
  </r>
  <r>
    <x v="22"/>
    <x v="3"/>
    <n v="1507"/>
    <n v="463"/>
    <n v="258944"/>
    <n v="6.08"/>
    <n v="16443"/>
    <x v="4"/>
    <n v="1044"/>
  </r>
  <r>
    <x v="23"/>
    <x v="3"/>
    <n v="454"/>
    <n v="105"/>
    <n v="121091"/>
    <n v="7.97"/>
    <n v="9269"/>
    <x v="4"/>
    <n v="349"/>
  </r>
  <r>
    <x v="24"/>
    <x v="3"/>
    <n v="278"/>
    <n v="218"/>
    <n v="301695"/>
    <n v="4.68"/>
    <n v="22373"/>
    <x v="4"/>
    <n v="60"/>
  </r>
  <r>
    <x v="25"/>
    <x v="3"/>
    <n v="1293"/>
    <n v="408"/>
    <n v="62535"/>
    <n v="8.9"/>
    <n v="37876"/>
    <x v="2"/>
    <n v="885"/>
  </r>
  <r>
    <x v="26"/>
    <x v="3"/>
    <n v="452"/>
    <n v="161"/>
    <n v="221274"/>
    <n v="2.65"/>
    <n v="40888"/>
    <x v="4"/>
    <n v="291"/>
  </r>
  <r>
    <x v="27"/>
    <x v="3"/>
    <n v="736"/>
    <n v="163"/>
    <n v="451894"/>
    <n v="5.43"/>
    <n v="46625"/>
    <x v="4"/>
    <n v="573"/>
  </r>
  <r>
    <x v="28"/>
    <x v="3"/>
    <n v="1004"/>
    <n v="128"/>
    <n v="488901"/>
    <n v="8.09"/>
    <n v="49558"/>
    <x v="4"/>
    <n v="876"/>
  </r>
  <r>
    <x v="29"/>
    <x v="3"/>
    <n v="1900"/>
    <n v="311"/>
    <n v="25177"/>
    <n v="2.89"/>
    <n v="14154"/>
    <x v="4"/>
    <n v="1589"/>
  </r>
  <r>
    <x v="30"/>
    <x v="3"/>
    <n v="1495"/>
    <n v="35"/>
    <n v="136845"/>
    <n v="4.4800000000000004"/>
    <n v="39931"/>
    <x v="5"/>
    <n v="1460"/>
  </r>
  <r>
    <x v="31"/>
    <x v="3"/>
    <n v="891"/>
    <n v="45"/>
    <n v="95410"/>
    <n v="8.33"/>
    <n v="15045"/>
    <x v="5"/>
    <n v="846"/>
  </r>
  <r>
    <x v="32"/>
    <x v="3"/>
    <n v="1331"/>
    <n v="430"/>
    <n v="14437"/>
    <n v="3.29"/>
    <n v="40868"/>
    <x v="6"/>
    <n v="901"/>
  </r>
  <r>
    <x v="33"/>
    <x v="3"/>
    <n v="1166"/>
    <n v="442"/>
    <n v="336949"/>
    <n v="4.68"/>
    <n v="7705"/>
    <x v="6"/>
    <n v="724"/>
  </r>
  <r>
    <x v="34"/>
    <x v="3"/>
    <n v="1411"/>
    <n v="186"/>
    <n v="461669"/>
    <n v="3.72"/>
    <n v="43999"/>
    <x v="6"/>
    <n v="1225"/>
  </r>
  <r>
    <x v="35"/>
    <x v="3"/>
    <n v="152"/>
    <n v="355"/>
    <n v="270766"/>
    <n v="9.48"/>
    <n v="18001"/>
    <x v="6"/>
    <n v="-203"/>
  </r>
  <r>
    <x v="36"/>
    <x v="3"/>
    <n v="1707"/>
    <n v="263"/>
    <n v="485280"/>
    <n v="9.0299999999999994"/>
    <n v="24494"/>
    <x v="6"/>
    <n v="1444"/>
  </r>
  <r>
    <x v="37"/>
    <x v="3"/>
    <n v="1662"/>
    <n v="487"/>
    <n v="105980"/>
    <n v="9.08"/>
    <n v="22996"/>
    <x v="2"/>
    <n v="1175"/>
  </r>
  <r>
    <x v="38"/>
    <x v="3"/>
    <n v="1063"/>
    <n v="47"/>
    <n v="464239"/>
    <n v="6.58"/>
    <n v="39031"/>
    <x v="2"/>
    <n v="1016"/>
  </r>
  <r>
    <x v="39"/>
    <x v="3"/>
    <n v="510"/>
    <n v="195"/>
    <n v="224534"/>
    <n v="9.4"/>
    <n v="30987"/>
    <x v="7"/>
    <n v="315"/>
  </r>
  <r>
    <x v="40"/>
    <x v="3"/>
    <n v="1658"/>
    <n v="416"/>
    <n v="98397"/>
    <n v="6.11"/>
    <n v="11383"/>
    <x v="7"/>
    <n v="1242"/>
  </r>
  <r>
    <x v="41"/>
    <x v="3"/>
    <n v="1596"/>
    <n v="211"/>
    <n v="17380"/>
    <n v="8.64"/>
    <n v="35801"/>
    <x v="7"/>
    <n v="1385"/>
  </r>
  <r>
    <x v="42"/>
    <x v="3"/>
    <n v="442"/>
    <n v="53"/>
    <n v="441931"/>
    <n v="1.87"/>
    <n v="20059"/>
    <x v="7"/>
    <n v="389"/>
  </r>
  <r>
    <x v="43"/>
    <x v="3"/>
    <n v="1957"/>
    <n v="490"/>
    <n v="435726"/>
    <n v="4.7300000000000004"/>
    <n v="15969"/>
    <x v="8"/>
    <n v="1467"/>
  </r>
  <r>
    <x v="44"/>
    <x v="3"/>
    <n v="623"/>
    <n v="414"/>
    <n v="290354"/>
    <n v="6.49"/>
    <n v="39923"/>
    <x v="8"/>
    <n v="209"/>
  </r>
  <r>
    <x v="45"/>
    <x v="3"/>
    <n v="520"/>
    <n v="375"/>
    <n v="369525"/>
    <n v="6.54"/>
    <n v="20733"/>
    <x v="8"/>
    <n v="145"/>
  </r>
  <r>
    <x v="46"/>
    <x v="3"/>
    <n v="1707"/>
    <n v="74"/>
    <n v="270958"/>
    <n v="3.09"/>
    <n v="14090"/>
    <x v="8"/>
    <n v="1633"/>
  </r>
  <r>
    <x v="47"/>
    <x v="3"/>
    <n v="777"/>
    <n v="140"/>
    <n v="11435"/>
    <n v="1.6"/>
    <n v="6832"/>
    <x v="8"/>
    <n v="637"/>
  </r>
  <r>
    <x v="48"/>
    <x v="3"/>
    <n v="1035"/>
    <n v="171"/>
    <n v="148477"/>
    <n v="5.21"/>
    <n v="7541"/>
    <x v="8"/>
    <n v="864"/>
  </r>
  <r>
    <x v="49"/>
    <x v="3"/>
    <n v="119"/>
    <n v="456"/>
    <n v="82558"/>
    <n v="6.81"/>
    <n v="12174"/>
    <x v="8"/>
    <n v="-3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F870A7-1A43-7245-A4BE-BEAB823FB83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F31" firstHeaderRow="1" firstDataRow="2" firstDataCol="1"/>
  <pivotFields count="17">
    <pivotField showAll="0"/>
    <pivotField axis="axisCol" showAll="0">
      <items count="5">
        <item x="3"/>
        <item x="0"/>
        <item x="1"/>
        <item x="2"/>
        <item t="default"/>
      </items>
    </pivotField>
    <pivotField numFmtId="14" showAll="0"/>
    <pivotField axis="axisRow" showAll="0">
      <items count="7">
        <item x="3"/>
        <item x="4"/>
        <item x="1"/>
        <item x="0"/>
        <item x="5"/>
        <item x="2"/>
        <item t="default"/>
      </items>
    </pivotField>
    <pivotField showAll="0"/>
    <pivotField showAll="0"/>
    <pivotField showAll="0"/>
    <pivotField showAll="0"/>
    <pivotField showAll="0"/>
    <pivotField showAll="0"/>
    <pivotField showAll="0"/>
    <pivotField dataField="1" numFmtId="9"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3"/>
  </rowFields>
  <rowItems count="7">
    <i>
      <x/>
    </i>
    <i>
      <x v="1"/>
    </i>
    <i>
      <x v="2"/>
    </i>
    <i>
      <x v="3"/>
    </i>
    <i>
      <x v="4"/>
    </i>
    <i>
      <x v="5"/>
    </i>
    <i t="grand">
      <x/>
    </i>
  </rowItems>
  <colFields count="1">
    <field x="1"/>
  </colFields>
  <colItems count="5">
    <i>
      <x/>
    </i>
    <i>
      <x v="1"/>
    </i>
    <i>
      <x v="2"/>
    </i>
    <i>
      <x v="3"/>
    </i>
    <i t="grand">
      <x/>
    </i>
  </colItems>
  <dataFields count="1">
    <dataField name="Average of Engagement Rate" fld="11"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6E2088-4C43-774D-88EB-7D49B33E4CDD}"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2:Q20" firstHeaderRow="1" firstDataRow="3" firstDataCol="1"/>
  <pivotFields count="17">
    <pivotField showAll="0"/>
    <pivotField axis="axisCol" showAll="0">
      <items count="5">
        <item x="3"/>
        <item x="0"/>
        <item x="1"/>
        <item x="2"/>
        <item t="default"/>
      </items>
    </pivotField>
    <pivotField numFmtId="14" showAll="0"/>
    <pivotField axis="axisRow" showAll="0">
      <items count="7">
        <item x="3"/>
        <item x="4"/>
        <item x="1"/>
        <item x="0"/>
        <item x="5"/>
        <item x="2"/>
        <item t="default"/>
      </items>
    </pivotField>
    <pivotField showAll="0"/>
    <pivotField dataField="1" showAll="0"/>
    <pivotField dataField="1" showAll="0"/>
    <pivotField dataField="1" showAll="0"/>
    <pivotField showAll="0"/>
    <pivotField showAll="0"/>
    <pivotField showAll="0"/>
    <pivotField numFmtId="9"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s>
  <rowFields count="1">
    <field x="3"/>
  </rowFields>
  <rowItems count="6">
    <i>
      <x/>
    </i>
    <i>
      <x v="1"/>
    </i>
    <i>
      <x v="2"/>
    </i>
    <i>
      <x v="3"/>
    </i>
    <i>
      <x v="4"/>
    </i>
    <i>
      <x v="5"/>
    </i>
  </rowItems>
  <colFields count="2">
    <field x="1"/>
    <field x="-2"/>
  </colFields>
  <colItems count="16">
    <i>
      <x/>
      <x/>
    </i>
    <i r="1" i="1">
      <x v="1"/>
    </i>
    <i r="1" i="2">
      <x v="2"/>
    </i>
    <i r="1" i="3">
      <x v="3"/>
    </i>
    <i>
      <x v="1"/>
      <x/>
    </i>
    <i r="1" i="1">
      <x v="1"/>
    </i>
    <i r="1" i="2">
      <x v="2"/>
    </i>
    <i r="1" i="3">
      <x v="3"/>
    </i>
    <i>
      <x v="2"/>
      <x/>
    </i>
    <i r="1" i="1">
      <x v="1"/>
    </i>
    <i r="1" i="2">
      <x v="2"/>
    </i>
    <i r="1" i="3">
      <x v="3"/>
    </i>
    <i>
      <x v="3"/>
      <x/>
    </i>
    <i r="1" i="1">
      <x v="1"/>
    </i>
    <i r="1" i="2">
      <x v="2"/>
    </i>
    <i r="1" i="3">
      <x v="3"/>
    </i>
  </colItems>
  <dataFields count="4">
    <dataField name="Sum of Likes" fld="5" baseField="0" baseItem="0"/>
    <dataField name="Sum of Shares" fld="6" baseField="0" baseItem="0"/>
    <dataField name="Sum of Comments" fld="7" baseField="0" baseItem="0"/>
    <dataField name="Sum of Total"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1F6A99-5D8D-E14E-B198-AB8D706A40A9}" name="PivotTable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D9" firstHeaderRow="0" firstDataRow="1" firstDataCol="1"/>
  <pivotFields count="14">
    <pivotField showAll="0">
      <items count="3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axis="axisRow" dataField="1" showAll="0" sortType="descending">
      <items count="8">
        <item h="1" x="6"/>
        <item x="2"/>
        <item x="5"/>
        <item x="0"/>
        <item x="4"/>
        <item x="3"/>
        <item x="1"/>
        <item t="default"/>
      </items>
      <autoSortScope>
        <pivotArea dataOnly="0" outline="0" fieldPosition="0">
          <references count="1">
            <reference field="4294967294" count="1" selected="0">
              <x v="0"/>
            </reference>
          </references>
        </pivotArea>
      </autoSortScope>
    </pivotField>
    <pivotField showAll="0"/>
  </pivotFields>
  <rowFields count="1">
    <field x="12"/>
  </rowFields>
  <rowItems count="6">
    <i>
      <x v="6"/>
    </i>
    <i>
      <x v="1"/>
    </i>
    <i>
      <x v="4"/>
    </i>
    <i>
      <x v="3"/>
    </i>
    <i>
      <x v="5"/>
    </i>
    <i>
      <x v="2"/>
    </i>
  </rowItems>
  <colFields count="1">
    <field x="-2"/>
  </colFields>
  <colItems count="3">
    <i>
      <x/>
    </i>
    <i i="1">
      <x v="1"/>
    </i>
    <i i="2">
      <x v="2"/>
    </i>
  </colItems>
  <dataFields count="3">
    <dataField name="Average of Clicks" fld="10" subtotal="average" baseField="0" baseItem="0"/>
    <dataField name="Average of Engagement Rate" fld="11" subtotal="average" baseField="0" baseItem="0"/>
    <dataField name="Count of Hashtags Used"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D9AEB4-FF4F-F34D-8EA4-3128582F1518}" name="PivotTable14"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10:C14" firstHeaderRow="0" firstDataRow="1" firstDataCol="1"/>
  <pivotFields count="8">
    <pivotField numFmtId="14" showAll="0"/>
    <pivotField axis="axisRow" showAll="0">
      <items count="5">
        <item x="0"/>
        <item x="1"/>
        <item x="2"/>
        <item x="3"/>
        <item t="default"/>
      </items>
    </pivotField>
    <pivotField showAll="0"/>
    <pivotField showAll="0"/>
    <pivotField showAll="0"/>
    <pivotField dataField="1" showAll="0"/>
    <pivotField dataField="1" showAll="0"/>
    <pivotField dragToRow="0" dragToCol="0" dragToPage="0" showAll="0" defaultSubtotal="0"/>
  </pivotFields>
  <rowFields count="1">
    <field x="1"/>
  </rowFields>
  <rowItems count="4">
    <i>
      <x/>
    </i>
    <i>
      <x v="1"/>
    </i>
    <i>
      <x v="2"/>
    </i>
    <i>
      <x v="3"/>
    </i>
  </rowItems>
  <colFields count="1">
    <field x="-2"/>
  </colFields>
  <colItems count="2">
    <i>
      <x/>
    </i>
    <i i="1">
      <x v="1"/>
    </i>
  </colItems>
  <dataFields count="2">
    <dataField name="Average of Engagement_Rate" fld="5" subtotal="average" baseField="0" baseItem="0"/>
    <dataField name="Average of Ad_Spend" fld="6" subtotal="average" baseField="0" baseItem="0"/>
  </dataField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7036E8-6B90-504D-98CA-6EEBD1003605}" name="PivotTable13"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D7" firstHeaderRow="0" firstDataRow="1" firstDataCol="1"/>
  <pivotFields count="8">
    <pivotField numFmtId="14" showAll="0"/>
    <pivotField axis="axisRow" showAll="0">
      <items count="5">
        <item x="0"/>
        <item x="1"/>
        <item x="2"/>
        <item x="3"/>
        <item t="default"/>
      </items>
    </pivotField>
    <pivotField dataField="1" showAll="0"/>
    <pivotField dataField="1" showAll="0"/>
    <pivotField showAll="0"/>
    <pivotField showAll="0"/>
    <pivotField showAll="0"/>
    <pivotField dataField="1" dragToRow="0" dragToCol="0" dragToPage="0" showAll="0" defaultSubtotal="0"/>
  </pivotFields>
  <rowFields count="1">
    <field x="1"/>
  </rowFields>
  <rowItems count="4">
    <i>
      <x/>
    </i>
    <i>
      <x v="1"/>
    </i>
    <i>
      <x v="2"/>
    </i>
    <i>
      <x v="3"/>
    </i>
  </rowItems>
  <colFields count="1">
    <field x="-2"/>
  </colFields>
  <colItems count="3">
    <i>
      <x/>
    </i>
    <i i="1">
      <x v="1"/>
    </i>
    <i i="2">
      <x v="2"/>
    </i>
  </colItems>
  <dataFields count="3">
    <dataField name="Sum of New_Followers" fld="2" baseField="0" baseItem="0"/>
    <dataField name="Sum of Unfollows" fld="3" baseField="0" baseItem="0"/>
    <dataField name="Sum of Growth" fld="7" baseField="0" baseItem="0"/>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0775E3-CA02-2E43-A9AA-55DA2A95952B}" name="PivotTable4"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10:C18" firstHeaderRow="0" firstDataRow="1" firstDataCol="1"/>
  <pivotFields count="1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
        <item x="0"/>
        <item x="1"/>
        <item h="1" x="2"/>
        <item h="1" x="3"/>
        <item t="default"/>
      </items>
    </pivotField>
    <pivotField showAll="0"/>
    <pivotField showAll="0"/>
    <pivotField showAll="0"/>
    <pivotField dataField="1" showAll="0"/>
    <pivotField showAll="0"/>
    <pivotField axis="axisRow" showAll="0">
      <items count="10">
        <item x="0"/>
        <item x="4"/>
        <item x="1"/>
        <item x="6"/>
        <item x="2"/>
        <item x="5"/>
        <item x="3"/>
        <item x="7"/>
        <item h="1" x="8"/>
        <item t="default"/>
      </items>
    </pivotField>
    <pivotField dataField="1" showAll="0"/>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s>
  <rowFields count="1">
    <field x="7"/>
  </rowFields>
  <rowItems count="8">
    <i>
      <x/>
    </i>
    <i>
      <x v="1"/>
    </i>
    <i>
      <x v="2"/>
    </i>
    <i>
      <x v="3"/>
    </i>
    <i>
      <x v="4"/>
    </i>
    <i>
      <x v="5"/>
    </i>
    <i>
      <x v="6"/>
    </i>
    <i>
      <x v="7"/>
    </i>
  </rowItems>
  <colFields count="1">
    <field x="-2"/>
  </colFields>
  <colItems count="2">
    <i>
      <x/>
    </i>
    <i i="1">
      <x v="1"/>
    </i>
  </colItems>
  <dataFields count="2">
    <dataField name="Average of Engagement_Rate" fld="5" subtotal="average" baseField="0" baseItem="0"/>
    <dataField name="Average of Follower Growth"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B043E5-E4EF-8D48-A6DD-94269DDD7951}"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G7" firstHeaderRow="0" firstDataRow="1" firstDataCol="1"/>
  <pivotFields count="17">
    <pivotField showAll="0"/>
    <pivotField showAll="0"/>
    <pivotField numFmtId="14" showAll="0"/>
    <pivotField showAll="0"/>
    <pivotField showAll="0"/>
    <pivotField dataField="1" showAll="0"/>
    <pivotField showAll="0"/>
    <pivotField showAll="0"/>
    <pivotField dataField="1" showAll="0"/>
    <pivotField showAll="0"/>
    <pivotField dataField="1" showAll="0"/>
    <pivotField numFmtId="9" showAll="0"/>
    <pivotField showAll="0"/>
    <pivotField axis="axisRow" showAll="0">
      <items count="6">
        <item x="4"/>
        <item x="2"/>
        <item x="3"/>
        <item x="1"/>
        <item h="1" x="0"/>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3"/>
  </rowFields>
  <rowItems count="4">
    <i>
      <x/>
    </i>
    <i>
      <x v="1"/>
    </i>
    <i>
      <x v="2"/>
    </i>
    <i>
      <x v="3"/>
    </i>
  </rowItems>
  <colFields count="1">
    <field x="-2"/>
  </colFields>
  <colItems count="6">
    <i>
      <x/>
    </i>
    <i i="1">
      <x v="1"/>
    </i>
    <i i="2">
      <x v="2"/>
    </i>
    <i i="3">
      <x v="3"/>
    </i>
    <i i="4">
      <x v="4"/>
    </i>
    <i i="5">
      <x v="5"/>
    </i>
  </colItems>
  <dataFields count="6">
    <dataField name="Average of Impressions" fld="8" subtotal="average" baseField="0" baseItem="0"/>
    <dataField name="Average of Likes" fld="5" subtotal="average" baseField="0" baseItem="0"/>
    <dataField name="Average of Clicks" fld="10" subtotal="average" baseField="0" baseItem="0"/>
    <dataField name="Sum of Impressions" fld="8" baseField="0" baseItem="0"/>
    <dataField name="Sum of Likes" fld="5" baseField="0" baseItem="0"/>
    <dataField name="Sum of Click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D750BE-B6D0-0E49-AC6E-FBA38F1CBD23}"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10:G15" firstHeaderRow="0" firstDataRow="1" firstDataCol="1"/>
  <pivotFields count="1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pivotField dataField="1" showAll="0"/>
    <pivotField dataField="1" showAll="0"/>
    <pivotField axis="axisRow" showAll="0">
      <items count="10">
        <item h="1" x="0"/>
        <item h="1" x="4"/>
        <item h="1" x="1"/>
        <item h="1" x="6"/>
        <item x="2"/>
        <item x="5"/>
        <item x="3"/>
        <item x="7"/>
        <item h="1" x="8"/>
        <item t="default"/>
      </items>
    </pivotField>
    <pivotField showAll="0"/>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s>
  <rowFields count="1">
    <field x="7"/>
  </rowFields>
  <rowItems count="5">
    <i>
      <x v="4"/>
    </i>
    <i>
      <x v="5"/>
    </i>
    <i>
      <x v="6"/>
    </i>
    <i>
      <x v="7"/>
    </i>
    <i t="grand">
      <x/>
    </i>
  </rowItems>
  <colFields count="1">
    <field x="-2"/>
  </colFields>
  <colItems count="2">
    <i>
      <x/>
    </i>
    <i i="1">
      <x v="1"/>
    </i>
  </colItems>
  <dataFields count="2">
    <dataField name="Sum of Engagement_Rate" fld="5" baseField="0" baseItem="0"/>
    <dataField name="Sum of Ad_Spend" fld="6"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57279E-B73D-1E4D-AD11-366BC431DA16}"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27:E32" firstHeaderRow="1" firstDataRow="1" firstDataCol="1"/>
  <pivotFields count="1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dataField="1" showAll="0"/>
    <pivotField showAll="0"/>
    <pivotField showAll="0"/>
    <pivotField showAll="0"/>
    <pivotField axis="axisRow" showAll="0">
      <items count="10">
        <item h="1" x="0"/>
        <item h="1" x="4"/>
        <item h="1" x="1"/>
        <item h="1" x="6"/>
        <item x="2"/>
        <item x="5"/>
        <item x="3"/>
        <item x="7"/>
        <item h="1" x="8"/>
        <item t="default"/>
      </items>
    </pivotField>
    <pivotField showAll="0"/>
    <pivotField showAll="0" defaultSubtota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s>
    </pivotField>
  </pivotFields>
  <rowFields count="1">
    <field x="7"/>
  </rowFields>
  <rowItems count="5">
    <i>
      <x v="4"/>
    </i>
    <i>
      <x v="5"/>
    </i>
    <i>
      <x v="6"/>
    </i>
    <i>
      <x v="7"/>
    </i>
    <i t="grand">
      <x/>
    </i>
  </rowItems>
  <colItems count="1">
    <i/>
  </colItems>
  <dataFields count="1">
    <dataField name="Average of Unfollows" fld="3" subtotal="average" baseField="0" baseItem="0"/>
  </dataFields>
  <chartFormats count="2">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4C57DE3-21A4-3749-AE4E-B69C72F65539}"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4" firstHeaderRow="1" firstDataRow="1" firstDataCol="1"/>
  <pivotFields count="1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
        <item x="0"/>
        <item x="1"/>
        <item x="2"/>
        <item x="3"/>
        <item t="default"/>
      </items>
    </pivotField>
    <pivotField showAll="0"/>
    <pivotField showAll="0"/>
    <pivotField showAll="0"/>
    <pivotField showAll="0"/>
    <pivotField showAll="0"/>
    <pivotField showAll="0"/>
    <pivotField dataField="1" showAll="0"/>
    <pivotField axis="axisRow"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s>
  <rowFields count="1">
    <field x="9"/>
  </rowFields>
  <rowItems count="51">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Items count="1">
    <i/>
  </colItems>
  <dataFields count="1">
    <dataField name="Sum of Follower Growth"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A718D469-72FB-DD42-AEA7-4A0155489B99}" autoFormatId="16" applyNumberFormats="0" applyBorderFormats="0" applyFontFormats="0" applyPatternFormats="0" applyAlignmentFormats="0" applyWidthHeightFormats="0">
  <queryTableRefresh nextId="15">
    <queryTableFields count="14">
      <queryTableField id="1" name="Post ID" tableColumnId="1"/>
      <queryTableField id="2" name="Platform" tableColumnId="2"/>
      <queryTableField id="3" name="Date" tableColumnId="3"/>
      <queryTableField id="4" name="Content Type" tableColumnId="4"/>
      <queryTableField id="5" name="Post Text" tableColumnId="5"/>
      <queryTableField id="6" name="Likes" tableColumnId="6"/>
      <queryTableField id="7" name="Shares" tableColumnId="7"/>
      <queryTableField id="8" name="Comments" tableColumnId="8"/>
      <queryTableField id="9" name="Impressions" tableColumnId="9"/>
      <queryTableField id="10" name="Reach" tableColumnId="10"/>
      <queryTableField id="11" name="Clicks" tableColumnId="11"/>
      <queryTableField id="14" dataBound="0" tableColumnId="14"/>
      <queryTableField id="12" name="Hashtags Used" tableColumnId="12"/>
      <queryTableField id="13" name="Campaign_Name"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E15F9623-23A3-1E4B-A830-34ECC11D20A2}" sourceName="Platform">
  <pivotTables>
    <pivotTable tabId="12" name="PivotTable2"/>
  </pivotTables>
  <data>
    <tabular pivotCacheId="633711202">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1" xr10:uid="{B7A00B92-FA82-B54E-B4E4-1D3DB9385432}" sourceName="Platform">
  <pivotTables>
    <pivotTable tabId="9" name="PivotTable4"/>
  </pivotTables>
  <data>
    <tabular pivotCacheId="633711202">
      <items count="4">
        <i x="0" s="1"/>
        <i x="1" s="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 xr10:uid="{8F6E2808-C328-A44C-B696-7A38FB025C3B}" cache="Slicer_Platform1" caption="Platform"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57A1E4D7-B9DA-534A-B13E-40FA11F58367}" cache="Slicer_Platform" caption="Platform"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0270A3-5C71-8241-AA52-C58A97E83599}" name="Posts" displayName="Posts" ref="A1:N1039" tableType="queryTable" totalsRowShown="0">
  <autoFilter ref="A1:N1039" xr:uid="{CD0270A3-5C71-8241-AA52-C58A97E83599}"/>
  <sortState xmlns:xlrd2="http://schemas.microsoft.com/office/spreadsheetml/2017/richdata2" ref="A2:N1039">
    <sortCondition ref="A1:A1039"/>
  </sortState>
  <tableColumns count="14">
    <tableColumn id="1" xr3:uid="{3FCBC13F-E6DB-F141-823D-EF042FABE514}" uniqueName="1" name="Post ID" queryTableFieldId="1" dataDxfId="7"/>
    <tableColumn id="2" xr3:uid="{676A9168-B2C7-8D4B-9751-541BC69A150B}" uniqueName="2" name="Platform" queryTableFieldId="2" dataDxfId="6"/>
    <tableColumn id="3" xr3:uid="{C9274F86-CC43-E946-927C-ED67FCE93C56}" uniqueName="3" name="Date" queryTableFieldId="3" dataDxfId="5"/>
    <tableColumn id="4" xr3:uid="{F61D58D0-847D-7849-9137-2D9255F24E68}" uniqueName="4" name="Content Type" queryTableFieldId="4" dataDxfId="4"/>
    <tableColumn id="5" xr3:uid="{E0B7C618-62FB-A54E-A06B-895DFCEBFCC0}" uniqueName="5" name="Post Text" queryTableFieldId="5" dataDxfId="3"/>
    <tableColumn id="6" xr3:uid="{6985012D-1986-394F-8DDF-13A3B83AC38E}" uniqueName="6" name="Likes" queryTableFieldId="6"/>
    <tableColumn id="7" xr3:uid="{4B261196-F353-D042-A687-D9F909768ADD}" uniqueName="7" name="Shares" queryTableFieldId="7"/>
    <tableColumn id="8" xr3:uid="{9F89404D-A3AA-F24F-B80B-ADB53A033063}" uniqueName="8" name="Comments" queryTableFieldId="8"/>
    <tableColumn id="9" xr3:uid="{FBA6F266-D1B1-784D-8F06-14B5E91D3749}" uniqueName="9" name="Impressions" queryTableFieldId="9"/>
    <tableColumn id="10" xr3:uid="{B648F477-932A-F547-9DF2-EB5C0FC88CEB}" uniqueName="10" name="Reach" queryTableFieldId="10"/>
    <tableColumn id="11" xr3:uid="{26450510-F36D-0441-A305-0AA721F95C57}" uniqueName="11" name="Clicks" queryTableFieldId="11"/>
    <tableColumn id="14" xr3:uid="{098AD4E1-EDC3-F143-8FF8-B16F85FEDE5D}" uniqueName="14" name="Engagement Rate" queryTableFieldId="14" dataDxfId="2" dataCellStyle="Per cent">
      <calculatedColumnFormula>(Posts[[#This Row],[Likes]]+Posts[[#This Row],[Shares]]+Posts[[#This Row],[Comments]])/Posts[[#This Row],[Impressions]]</calculatedColumnFormula>
    </tableColumn>
    <tableColumn id="12" xr3:uid="{4350C0E2-D88C-9F4F-954A-87796A7529A6}" uniqueName="12" name="Hashtags Used" queryTableFieldId="12" dataDxfId="1"/>
    <tableColumn id="13" xr3:uid="{BBD9A979-3C15-C949-87D4-42F03982C8DA}" uniqueName="13" name="Campaign_Name" queryTableFieldId="1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1lhKxGlFVVRo0KJs1vJ4y3b64r5tW5op/view?usp=sharing"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microsoft.com/office/2007/relationships/slicer" Target="../slicers/slicer1.xml"/><Relationship Id="rId4"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34E0E-770A-5D46-8CBF-3CF6A1B4915B}">
  <dimension ref="A1:N1039"/>
  <sheetViews>
    <sheetView workbookViewId="0">
      <selection activeCell="M11" sqref="M11"/>
    </sheetView>
  </sheetViews>
  <sheetFormatPr baseColWidth="10" defaultRowHeight="16" x14ac:dyDescent="0.2"/>
  <cols>
    <col min="1" max="1" width="9.6640625" bestFit="1" customWidth="1"/>
    <col min="2" max="2" width="11" bestFit="1" customWidth="1"/>
    <col min="3" max="3" width="8.5" bestFit="1" customWidth="1"/>
    <col min="4" max="4" width="14.33203125" bestFit="1" customWidth="1"/>
    <col min="5" max="5" width="36.6640625" bestFit="1" customWidth="1"/>
    <col min="6" max="6" width="8.1640625" bestFit="1" customWidth="1"/>
    <col min="7" max="7" width="9.33203125" bestFit="1" customWidth="1"/>
    <col min="8" max="8" width="13" bestFit="1" customWidth="1"/>
    <col min="9" max="9" width="14" bestFit="1" customWidth="1"/>
    <col min="10" max="10" width="8.83203125" bestFit="1" customWidth="1"/>
    <col min="11" max="11" width="9" bestFit="1" customWidth="1"/>
    <col min="12" max="12" width="18.1640625" bestFit="1" customWidth="1"/>
    <col min="13" max="13" width="20" bestFit="1" customWidth="1"/>
    <col min="14" max="14" width="18" bestFit="1" customWidth="1"/>
  </cols>
  <sheetData>
    <row r="1" spans="1:14" x14ac:dyDescent="0.2">
      <c r="A1" t="s">
        <v>0</v>
      </c>
      <c r="B1" t="s">
        <v>1</v>
      </c>
      <c r="C1" t="s">
        <v>2</v>
      </c>
      <c r="D1" t="s">
        <v>3</v>
      </c>
      <c r="E1" t="s">
        <v>4</v>
      </c>
      <c r="F1" t="s">
        <v>5</v>
      </c>
      <c r="G1" t="s">
        <v>6</v>
      </c>
      <c r="H1" t="s">
        <v>7</v>
      </c>
      <c r="I1" t="s">
        <v>8</v>
      </c>
      <c r="J1" t="s">
        <v>9</v>
      </c>
      <c r="K1" t="s">
        <v>10</v>
      </c>
      <c r="L1" t="s">
        <v>375</v>
      </c>
      <c r="M1" t="s">
        <v>11</v>
      </c>
      <c r="N1" t="s">
        <v>12</v>
      </c>
    </row>
    <row r="2" spans="1:14" x14ac:dyDescent="0.2">
      <c r="A2" t="s">
        <v>13</v>
      </c>
      <c r="B2" t="s">
        <v>14</v>
      </c>
      <c r="C2" s="1">
        <v>45649</v>
      </c>
      <c r="D2" t="s">
        <v>15</v>
      </c>
      <c r="E2" t="s">
        <v>16</v>
      </c>
      <c r="F2">
        <v>1461</v>
      </c>
      <c r="G2">
        <v>184</v>
      </c>
      <c r="H2">
        <v>344</v>
      </c>
      <c r="I2">
        <v>21915</v>
      </c>
      <c r="J2">
        <v>21675</v>
      </c>
      <c r="K2">
        <v>15</v>
      </c>
      <c r="L2" s="23">
        <f>(Posts[[#This Row],[Likes]]+Posts[[#This Row],[Shares]]+Posts[[#This Row],[Comments]])/Posts[[#This Row],[Impressions]]</f>
        <v>9.0759753593429152E-2</v>
      </c>
      <c r="M2" t="s">
        <v>17</v>
      </c>
      <c r="N2" t="s">
        <v>18</v>
      </c>
    </row>
    <row r="3" spans="1:14" x14ac:dyDescent="0.2">
      <c r="A3" t="s">
        <v>13</v>
      </c>
      <c r="B3" t="s">
        <v>14</v>
      </c>
      <c r="C3" s="1">
        <v>45649</v>
      </c>
      <c r="D3" t="s">
        <v>15</v>
      </c>
      <c r="E3" t="s">
        <v>16</v>
      </c>
      <c r="F3">
        <v>1461</v>
      </c>
      <c r="G3">
        <v>184</v>
      </c>
      <c r="H3">
        <v>344</v>
      </c>
      <c r="I3">
        <v>21915</v>
      </c>
      <c r="J3">
        <v>21675</v>
      </c>
      <c r="K3">
        <v>15</v>
      </c>
      <c r="L3" s="23">
        <f>(Posts[[#This Row],[Likes]]+Posts[[#This Row],[Shares]]+Posts[[#This Row],[Comments]])/Posts[[#This Row],[Impressions]]</f>
        <v>9.0759753593429152E-2</v>
      </c>
      <c r="M3" t="s">
        <v>19</v>
      </c>
      <c r="N3" t="s">
        <v>18</v>
      </c>
    </row>
    <row r="4" spans="1:14" x14ac:dyDescent="0.2">
      <c r="A4" t="s">
        <v>20</v>
      </c>
      <c r="B4" t="s">
        <v>14</v>
      </c>
      <c r="C4" s="1">
        <v>45750</v>
      </c>
      <c r="D4" t="s">
        <v>21</v>
      </c>
      <c r="E4" t="s">
        <v>22</v>
      </c>
      <c r="F4">
        <v>4054</v>
      </c>
      <c r="G4">
        <v>389</v>
      </c>
      <c r="H4">
        <v>493</v>
      </c>
      <c r="I4">
        <v>64864</v>
      </c>
      <c r="J4">
        <v>64383</v>
      </c>
      <c r="K4">
        <v>117</v>
      </c>
      <c r="L4" s="23">
        <f>(Posts[[#This Row],[Likes]]+Posts[[#This Row],[Shares]]+Posts[[#This Row],[Comments]])/Posts[[#This Row],[Impressions]]</f>
        <v>7.6097681302417369E-2</v>
      </c>
      <c r="M4" t="s">
        <v>23</v>
      </c>
      <c r="N4" t="s">
        <v>24</v>
      </c>
    </row>
    <row r="5" spans="1:14" x14ac:dyDescent="0.2">
      <c r="A5" t="s">
        <v>20</v>
      </c>
      <c r="B5" t="s">
        <v>14</v>
      </c>
      <c r="C5" s="1">
        <v>45750</v>
      </c>
      <c r="D5" t="s">
        <v>21</v>
      </c>
      <c r="E5" t="s">
        <v>22</v>
      </c>
      <c r="F5">
        <v>4054</v>
      </c>
      <c r="G5">
        <v>389</v>
      </c>
      <c r="H5">
        <v>493</v>
      </c>
      <c r="I5">
        <v>64864</v>
      </c>
      <c r="J5">
        <v>64383</v>
      </c>
      <c r="K5">
        <v>117</v>
      </c>
      <c r="L5" s="23">
        <f>(Posts[[#This Row],[Likes]]+Posts[[#This Row],[Shares]]+Posts[[#This Row],[Comments]])/Posts[[#This Row],[Impressions]]</f>
        <v>7.6097681302417369E-2</v>
      </c>
      <c r="M5" t="s">
        <v>25</v>
      </c>
      <c r="N5" t="s">
        <v>24</v>
      </c>
    </row>
    <row r="6" spans="1:14" x14ac:dyDescent="0.2">
      <c r="A6" t="s">
        <v>26</v>
      </c>
      <c r="B6" t="s">
        <v>27</v>
      </c>
      <c r="C6" s="1">
        <v>45789</v>
      </c>
      <c r="D6" t="s">
        <v>15</v>
      </c>
      <c r="E6" t="s">
        <v>28</v>
      </c>
      <c r="F6">
        <v>2795</v>
      </c>
      <c r="G6">
        <v>105</v>
      </c>
      <c r="H6">
        <v>49</v>
      </c>
      <c r="I6">
        <v>53105</v>
      </c>
      <c r="J6">
        <v>52307</v>
      </c>
      <c r="K6">
        <v>204</v>
      </c>
      <c r="L6" s="23">
        <f>(Posts[[#This Row],[Likes]]+Posts[[#This Row],[Shares]]+Posts[[#This Row],[Comments]])/Posts[[#This Row],[Impressions]]</f>
        <v>5.5531494209584788E-2</v>
      </c>
      <c r="M6" t="s">
        <v>23</v>
      </c>
      <c r="N6" t="s">
        <v>29</v>
      </c>
    </row>
    <row r="7" spans="1:14" x14ac:dyDescent="0.2">
      <c r="A7" t="s">
        <v>30</v>
      </c>
      <c r="B7" t="s">
        <v>31</v>
      </c>
      <c r="C7" s="1">
        <v>45516</v>
      </c>
      <c r="D7" t="s">
        <v>32</v>
      </c>
      <c r="E7" t="s">
        <v>33</v>
      </c>
      <c r="F7">
        <v>2404</v>
      </c>
      <c r="G7">
        <v>363</v>
      </c>
      <c r="H7">
        <v>138</v>
      </c>
      <c r="I7">
        <v>19232</v>
      </c>
      <c r="J7">
        <v>18636</v>
      </c>
      <c r="K7">
        <v>128</v>
      </c>
      <c r="L7" s="23">
        <f>(Posts[[#This Row],[Likes]]+Posts[[#This Row],[Shares]]+Posts[[#This Row],[Comments]])/Posts[[#This Row],[Impressions]]</f>
        <v>0.15105033277870217</v>
      </c>
      <c r="M7" t="s">
        <v>34</v>
      </c>
      <c r="N7" t="s">
        <v>35</v>
      </c>
    </row>
    <row r="8" spans="1:14" x14ac:dyDescent="0.2">
      <c r="A8" t="s">
        <v>36</v>
      </c>
      <c r="B8" t="s">
        <v>27</v>
      </c>
      <c r="C8" s="1">
        <v>45469</v>
      </c>
      <c r="D8" t="s">
        <v>15</v>
      </c>
      <c r="E8" t="s">
        <v>28</v>
      </c>
      <c r="F8">
        <v>3557</v>
      </c>
      <c r="G8">
        <v>687</v>
      </c>
      <c r="H8">
        <v>424</v>
      </c>
      <c r="I8">
        <v>71140</v>
      </c>
      <c r="J8">
        <v>70701</v>
      </c>
      <c r="K8">
        <v>224</v>
      </c>
      <c r="L8" s="23">
        <f>(Posts[[#This Row],[Likes]]+Posts[[#This Row],[Shares]]+Posts[[#This Row],[Comments]])/Posts[[#This Row],[Impressions]]</f>
        <v>6.5617093055946027E-2</v>
      </c>
      <c r="M8" t="s">
        <v>34</v>
      </c>
      <c r="N8" t="s">
        <v>18</v>
      </c>
    </row>
    <row r="9" spans="1:14" x14ac:dyDescent="0.2">
      <c r="A9" t="s">
        <v>36</v>
      </c>
      <c r="B9" t="s">
        <v>27</v>
      </c>
      <c r="C9" s="1">
        <v>45469</v>
      </c>
      <c r="D9" t="s">
        <v>15</v>
      </c>
      <c r="E9" t="s">
        <v>28</v>
      </c>
      <c r="F9">
        <v>3557</v>
      </c>
      <c r="G9">
        <v>687</v>
      </c>
      <c r="H9">
        <v>424</v>
      </c>
      <c r="I9">
        <v>71140</v>
      </c>
      <c r="J9">
        <v>70701</v>
      </c>
      <c r="K9">
        <v>224</v>
      </c>
      <c r="L9" s="23">
        <f>(Posts[[#This Row],[Likes]]+Posts[[#This Row],[Shares]]+Posts[[#This Row],[Comments]])/Posts[[#This Row],[Impressions]]</f>
        <v>6.5617093055946027E-2</v>
      </c>
      <c r="M9" t="s">
        <v>23</v>
      </c>
      <c r="N9" t="s">
        <v>18</v>
      </c>
    </row>
    <row r="10" spans="1:14" x14ac:dyDescent="0.2">
      <c r="A10" t="s">
        <v>37</v>
      </c>
      <c r="B10" t="s">
        <v>38</v>
      </c>
      <c r="C10" s="1">
        <v>45596</v>
      </c>
      <c r="D10" t="s">
        <v>39</v>
      </c>
      <c r="E10" t="s">
        <v>40</v>
      </c>
      <c r="F10">
        <v>2945</v>
      </c>
      <c r="G10">
        <v>930</v>
      </c>
      <c r="H10">
        <v>355</v>
      </c>
      <c r="I10">
        <v>23560</v>
      </c>
      <c r="J10">
        <v>23275</v>
      </c>
      <c r="K10">
        <v>256</v>
      </c>
      <c r="L10" s="23">
        <f>(Posts[[#This Row],[Likes]]+Posts[[#This Row],[Shares]]+Posts[[#This Row],[Comments]])/Posts[[#This Row],[Impressions]]</f>
        <v>0.17954159592529711</v>
      </c>
      <c r="M10" t="s">
        <v>23</v>
      </c>
      <c r="N10" t="s">
        <v>24</v>
      </c>
    </row>
    <row r="11" spans="1:14" x14ac:dyDescent="0.2">
      <c r="A11" t="s">
        <v>41</v>
      </c>
      <c r="B11" t="s">
        <v>14</v>
      </c>
      <c r="C11" s="1">
        <v>45467</v>
      </c>
      <c r="D11" t="s">
        <v>39</v>
      </c>
      <c r="E11" t="s">
        <v>42</v>
      </c>
      <c r="F11">
        <v>3860</v>
      </c>
      <c r="G11">
        <v>201</v>
      </c>
      <c r="H11">
        <v>279</v>
      </c>
      <c r="I11">
        <v>61760</v>
      </c>
      <c r="J11">
        <v>61660</v>
      </c>
      <c r="K11">
        <v>235</v>
      </c>
      <c r="L11" s="23">
        <f>(Posts[[#This Row],[Likes]]+Posts[[#This Row],[Shares]]+Posts[[#This Row],[Comments]])/Posts[[#This Row],[Impressions]]</f>
        <v>7.0272020725388601E-2</v>
      </c>
      <c r="M11" t="s">
        <v>23</v>
      </c>
      <c r="N11" t="s">
        <v>24</v>
      </c>
    </row>
    <row r="12" spans="1:14" x14ac:dyDescent="0.2">
      <c r="A12" t="s">
        <v>43</v>
      </c>
      <c r="B12" t="s">
        <v>27</v>
      </c>
      <c r="C12" s="1">
        <v>45486</v>
      </c>
      <c r="D12" t="s">
        <v>44</v>
      </c>
      <c r="E12" t="s">
        <v>45</v>
      </c>
      <c r="F12">
        <v>3929</v>
      </c>
      <c r="G12">
        <v>262</v>
      </c>
      <c r="H12">
        <v>278</v>
      </c>
      <c r="I12">
        <v>43219</v>
      </c>
      <c r="J12">
        <v>42841</v>
      </c>
      <c r="K12">
        <v>39</v>
      </c>
      <c r="L12" s="23">
        <f>(Posts[[#This Row],[Likes]]+Posts[[#This Row],[Shares]]+Posts[[#This Row],[Comments]])/Posts[[#This Row],[Impressions]]</f>
        <v>0.10340359564080613</v>
      </c>
      <c r="M12" t="s">
        <v>34</v>
      </c>
      <c r="N12" t="s">
        <v>35</v>
      </c>
    </row>
    <row r="13" spans="1:14" x14ac:dyDescent="0.2">
      <c r="A13" t="s">
        <v>46</v>
      </c>
      <c r="B13" t="s">
        <v>38</v>
      </c>
      <c r="C13" s="1">
        <v>45534</v>
      </c>
      <c r="D13" t="s">
        <v>21</v>
      </c>
      <c r="E13" t="s">
        <v>47</v>
      </c>
      <c r="F13">
        <v>3784</v>
      </c>
      <c r="G13">
        <v>808</v>
      </c>
      <c r="H13">
        <v>404</v>
      </c>
      <c r="I13">
        <v>56760</v>
      </c>
      <c r="J13">
        <v>56343</v>
      </c>
      <c r="K13">
        <v>131</v>
      </c>
      <c r="L13" s="23">
        <f>(Posts[[#This Row],[Likes]]+Posts[[#This Row],[Shares]]+Posts[[#This Row],[Comments]])/Posts[[#This Row],[Impressions]]</f>
        <v>8.8019732205778717E-2</v>
      </c>
      <c r="M13" t="s">
        <v>23</v>
      </c>
      <c r="N13" t="s">
        <v>24</v>
      </c>
    </row>
    <row r="14" spans="1:14" x14ac:dyDescent="0.2">
      <c r="A14" t="s">
        <v>48</v>
      </c>
      <c r="B14" t="s">
        <v>38</v>
      </c>
      <c r="C14" s="1">
        <v>45727</v>
      </c>
      <c r="D14" t="s">
        <v>44</v>
      </c>
      <c r="E14" t="s">
        <v>49</v>
      </c>
      <c r="F14">
        <v>4241</v>
      </c>
      <c r="G14">
        <v>902</v>
      </c>
      <c r="H14">
        <v>47</v>
      </c>
      <c r="I14">
        <v>72097</v>
      </c>
      <c r="J14">
        <v>71598</v>
      </c>
      <c r="K14">
        <v>167</v>
      </c>
      <c r="L14" s="23">
        <f>(Posts[[#This Row],[Likes]]+Posts[[#This Row],[Shares]]+Posts[[#This Row],[Comments]])/Posts[[#This Row],[Impressions]]</f>
        <v>7.198635172059864E-2</v>
      </c>
      <c r="M14" t="s">
        <v>23</v>
      </c>
      <c r="N14" t="s">
        <v>24</v>
      </c>
    </row>
    <row r="15" spans="1:14" x14ac:dyDescent="0.2">
      <c r="A15" t="s">
        <v>50</v>
      </c>
      <c r="B15" t="s">
        <v>31</v>
      </c>
      <c r="C15" s="1">
        <v>45690</v>
      </c>
      <c r="D15" t="s">
        <v>32</v>
      </c>
      <c r="E15" t="s">
        <v>33</v>
      </c>
      <c r="F15">
        <v>1792</v>
      </c>
      <c r="G15">
        <v>614</v>
      </c>
      <c r="H15">
        <v>497</v>
      </c>
      <c r="I15">
        <v>25088</v>
      </c>
      <c r="J15">
        <v>24675</v>
      </c>
      <c r="K15">
        <v>65</v>
      </c>
      <c r="L15" s="23">
        <f>(Posts[[#This Row],[Likes]]+Posts[[#This Row],[Shares]]+Posts[[#This Row],[Comments]])/Posts[[#This Row],[Impressions]]</f>
        <v>0.11571269132653061</v>
      </c>
      <c r="M15" t="s">
        <v>17</v>
      </c>
      <c r="N15" t="s">
        <v>35</v>
      </c>
    </row>
    <row r="16" spans="1:14" x14ac:dyDescent="0.2">
      <c r="A16" t="s">
        <v>51</v>
      </c>
      <c r="B16" t="s">
        <v>38</v>
      </c>
      <c r="C16" s="1">
        <v>45494</v>
      </c>
      <c r="D16" t="s">
        <v>15</v>
      </c>
      <c r="E16" t="s">
        <v>52</v>
      </c>
      <c r="F16">
        <v>1946</v>
      </c>
      <c r="G16">
        <v>686</v>
      </c>
      <c r="H16">
        <v>377</v>
      </c>
      <c r="I16">
        <v>23352</v>
      </c>
      <c r="J16">
        <v>22982</v>
      </c>
      <c r="K16">
        <v>213</v>
      </c>
      <c r="L16" s="23">
        <f>(Posts[[#This Row],[Likes]]+Posts[[#This Row],[Shares]]+Posts[[#This Row],[Comments]])/Posts[[#This Row],[Impressions]]</f>
        <v>0.12885405960945528</v>
      </c>
      <c r="M16" t="s">
        <v>17</v>
      </c>
      <c r="N16" t="s">
        <v>29</v>
      </c>
    </row>
    <row r="17" spans="1:14" x14ac:dyDescent="0.2">
      <c r="A17" t="s">
        <v>53</v>
      </c>
      <c r="B17" t="s">
        <v>27</v>
      </c>
      <c r="C17" s="1">
        <v>45614</v>
      </c>
      <c r="D17" t="s">
        <v>39</v>
      </c>
      <c r="E17" t="s">
        <v>54</v>
      </c>
      <c r="F17">
        <v>1171</v>
      </c>
      <c r="G17">
        <v>286</v>
      </c>
      <c r="H17">
        <v>231</v>
      </c>
      <c r="I17">
        <v>22249</v>
      </c>
      <c r="J17">
        <v>21282</v>
      </c>
      <c r="K17">
        <v>114</v>
      </c>
      <c r="L17" s="23">
        <f>(Posts[[#This Row],[Likes]]+Posts[[#This Row],[Shares]]+Posts[[#This Row],[Comments]])/Posts[[#This Row],[Impressions]]</f>
        <v>7.5868578363072495E-2</v>
      </c>
      <c r="M17" t="s">
        <v>34</v>
      </c>
      <c r="N17" t="s">
        <v>18</v>
      </c>
    </row>
    <row r="18" spans="1:14" x14ac:dyDescent="0.2">
      <c r="A18" t="s">
        <v>55</v>
      </c>
      <c r="B18" t="s">
        <v>38</v>
      </c>
      <c r="C18" s="1">
        <v>45704</v>
      </c>
      <c r="D18" t="s">
        <v>32</v>
      </c>
      <c r="E18" t="s">
        <v>56</v>
      </c>
      <c r="F18">
        <v>4242</v>
      </c>
      <c r="G18">
        <v>555</v>
      </c>
      <c r="H18">
        <v>131</v>
      </c>
      <c r="I18">
        <v>33936</v>
      </c>
      <c r="J18">
        <v>33802</v>
      </c>
      <c r="K18">
        <v>265</v>
      </c>
      <c r="L18" s="23">
        <f>(Posts[[#This Row],[Likes]]+Posts[[#This Row],[Shares]]+Posts[[#This Row],[Comments]])/Posts[[#This Row],[Impressions]]</f>
        <v>0.14521452145214522</v>
      </c>
      <c r="M18" t="s">
        <v>17</v>
      </c>
    </row>
    <row r="19" spans="1:14" x14ac:dyDescent="0.2">
      <c r="A19" t="s">
        <v>57</v>
      </c>
      <c r="B19" t="s">
        <v>38</v>
      </c>
      <c r="C19" s="1">
        <v>45589</v>
      </c>
      <c r="D19" t="s">
        <v>58</v>
      </c>
      <c r="E19" t="s">
        <v>59</v>
      </c>
      <c r="F19">
        <v>3888</v>
      </c>
      <c r="G19">
        <v>604</v>
      </c>
      <c r="H19">
        <v>128</v>
      </c>
      <c r="I19">
        <v>77760</v>
      </c>
      <c r="J19">
        <v>77167</v>
      </c>
      <c r="K19">
        <v>20</v>
      </c>
      <c r="L19" s="23">
        <f>(Posts[[#This Row],[Likes]]+Posts[[#This Row],[Shares]]+Posts[[#This Row],[Comments]])/Posts[[#This Row],[Impressions]]</f>
        <v>5.941358024691358E-2</v>
      </c>
      <c r="M19" t="s">
        <v>17</v>
      </c>
      <c r="N19" t="s">
        <v>18</v>
      </c>
    </row>
    <row r="20" spans="1:14" x14ac:dyDescent="0.2">
      <c r="A20" t="s">
        <v>60</v>
      </c>
      <c r="B20" t="s">
        <v>38</v>
      </c>
      <c r="C20" s="1">
        <v>45530</v>
      </c>
      <c r="D20" t="s">
        <v>21</v>
      </c>
      <c r="E20" t="s">
        <v>47</v>
      </c>
      <c r="F20">
        <v>3452</v>
      </c>
      <c r="G20">
        <v>377</v>
      </c>
      <c r="H20">
        <v>360</v>
      </c>
      <c r="I20">
        <v>55232</v>
      </c>
      <c r="J20">
        <v>55075</v>
      </c>
      <c r="K20">
        <v>87</v>
      </c>
      <c r="L20" s="23">
        <f>(Posts[[#This Row],[Likes]]+Posts[[#This Row],[Shares]]+Posts[[#This Row],[Comments]])/Posts[[#This Row],[Impressions]]</f>
        <v>7.5843713789107758E-2</v>
      </c>
      <c r="M20" t="s">
        <v>17</v>
      </c>
      <c r="N20" t="s">
        <v>29</v>
      </c>
    </row>
    <row r="21" spans="1:14" x14ac:dyDescent="0.2">
      <c r="A21" t="s">
        <v>61</v>
      </c>
      <c r="B21" t="s">
        <v>38</v>
      </c>
      <c r="C21" s="1">
        <v>45782</v>
      </c>
      <c r="D21" t="s">
        <v>21</v>
      </c>
      <c r="E21" t="s">
        <v>47</v>
      </c>
      <c r="F21">
        <v>4441</v>
      </c>
      <c r="G21">
        <v>511</v>
      </c>
      <c r="H21">
        <v>70</v>
      </c>
      <c r="I21">
        <v>53292</v>
      </c>
      <c r="J21">
        <v>53082</v>
      </c>
      <c r="K21">
        <v>159</v>
      </c>
      <c r="L21" s="23">
        <f>(Posts[[#This Row],[Likes]]+Posts[[#This Row],[Shares]]+Posts[[#This Row],[Comments]])/Posts[[#This Row],[Impressions]]</f>
        <v>9.4235532537716729E-2</v>
      </c>
      <c r="M21" t="s">
        <v>34</v>
      </c>
      <c r="N21" t="s">
        <v>35</v>
      </c>
    </row>
    <row r="22" spans="1:14" x14ac:dyDescent="0.2">
      <c r="A22" t="s">
        <v>62</v>
      </c>
      <c r="B22" t="s">
        <v>31</v>
      </c>
      <c r="C22" s="1">
        <v>45523</v>
      </c>
      <c r="D22" t="s">
        <v>15</v>
      </c>
      <c r="E22" t="s">
        <v>63</v>
      </c>
      <c r="F22">
        <v>3000</v>
      </c>
      <c r="G22">
        <v>382</v>
      </c>
      <c r="H22">
        <v>325</v>
      </c>
      <c r="I22">
        <v>36000</v>
      </c>
      <c r="J22">
        <v>35819</v>
      </c>
      <c r="K22">
        <v>19</v>
      </c>
      <c r="L22" s="23">
        <f>(Posts[[#This Row],[Likes]]+Posts[[#This Row],[Shares]]+Posts[[#This Row],[Comments]])/Posts[[#This Row],[Impressions]]</f>
        <v>0.10297222222222223</v>
      </c>
      <c r="M22" t="s">
        <v>17</v>
      </c>
      <c r="N22" t="s">
        <v>18</v>
      </c>
    </row>
    <row r="23" spans="1:14" x14ac:dyDescent="0.2">
      <c r="A23" t="s">
        <v>64</v>
      </c>
      <c r="B23" t="s">
        <v>31</v>
      </c>
      <c r="C23" s="1">
        <v>45466</v>
      </c>
      <c r="D23" t="s">
        <v>58</v>
      </c>
      <c r="E23" t="s">
        <v>65</v>
      </c>
      <c r="F23">
        <v>1071</v>
      </c>
      <c r="G23">
        <v>519</v>
      </c>
      <c r="H23">
        <v>22</v>
      </c>
      <c r="I23">
        <v>16065</v>
      </c>
      <c r="J23">
        <v>15865</v>
      </c>
      <c r="K23">
        <v>103</v>
      </c>
      <c r="L23" s="23">
        <f>(Posts[[#This Row],[Likes]]+Posts[[#This Row],[Shares]]+Posts[[#This Row],[Comments]])/Posts[[#This Row],[Impressions]]</f>
        <v>0.10034235916588857</v>
      </c>
      <c r="M23" t="s">
        <v>23</v>
      </c>
      <c r="N23" t="s">
        <v>35</v>
      </c>
    </row>
    <row r="24" spans="1:14" x14ac:dyDescent="0.2">
      <c r="A24" t="s">
        <v>66</v>
      </c>
      <c r="B24" t="s">
        <v>31</v>
      </c>
      <c r="C24" s="1">
        <v>45544</v>
      </c>
      <c r="D24" t="s">
        <v>39</v>
      </c>
      <c r="E24" t="s">
        <v>67</v>
      </c>
      <c r="F24">
        <v>4054</v>
      </c>
      <c r="G24">
        <v>488</v>
      </c>
      <c r="H24">
        <v>373</v>
      </c>
      <c r="I24">
        <v>77026</v>
      </c>
      <c r="J24">
        <v>76881</v>
      </c>
      <c r="K24">
        <v>25</v>
      </c>
      <c r="L24" s="23">
        <f>(Posts[[#This Row],[Likes]]+Posts[[#This Row],[Shares]]+Posts[[#This Row],[Comments]])/Posts[[#This Row],[Impressions]]</f>
        <v>6.3809622724794221E-2</v>
      </c>
      <c r="M24" t="s">
        <v>23</v>
      </c>
      <c r="N24" t="s">
        <v>18</v>
      </c>
    </row>
    <row r="25" spans="1:14" x14ac:dyDescent="0.2">
      <c r="A25" t="s">
        <v>68</v>
      </c>
      <c r="B25" t="s">
        <v>31</v>
      </c>
      <c r="C25" s="1">
        <v>45661</v>
      </c>
      <c r="D25" t="s">
        <v>15</v>
      </c>
      <c r="E25" t="s">
        <v>63</v>
      </c>
      <c r="F25">
        <v>4838</v>
      </c>
      <c r="G25">
        <v>640</v>
      </c>
      <c r="H25">
        <v>128</v>
      </c>
      <c r="I25">
        <v>72570</v>
      </c>
      <c r="J25">
        <v>72396</v>
      </c>
      <c r="K25">
        <v>83</v>
      </c>
      <c r="L25" s="23">
        <f>(Posts[[#This Row],[Likes]]+Posts[[#This Row],[Shares]]+Posts[[#This Row],[Comments]])/Posts[[#This Row],[Impressions]]</f>
        <v>7.7249552156538517E-2</v>
      </c>
      <c r="M25" t="s">
        <v>17</v>
      </c>
      <c r="N25" t="s">
        <v>35</v>
      </c>
    </row>
    <row r="26" spans="1:14" x14ac:dyDescent="0.2">
      <c r="A26" t="s">
        <v>69</v>
      </c>
      <c r="B26" t="s">
        <v>38</v>
      </c>
      <c r="C26" s="1">
        <v>45715</v>
      </c>
      <c r="D26" t="s">
        <v>21</v>
      </c>
      <c r="E26" t="s">
        <v>47</v>
      </c>
      <c r="F26">
        <v>1570</v>
      </c>
      <c r="G26">
        <v>187</v>
      </c>
      <c r="H26">
        <v>260</v>
      </c>
      <c r="I26">
        <v>25120</v>
      </c>
      <c r="J26">
        <v>24613</v>
      </c>
      <c r="K26">
        <v>133</v>
      </c>
      <c r="L26" s="23">
        <f>(Posts[[#This Row],[Likes]]+Posts[[#This Row],[Shares]]+Posts[[#This Row],[Comments]])/Posts[[#This Row],[Impressions]]</f>
        <v>8.0294585987261149E-2</v>
      </c>
      <c r="M26" t="s">
        <v>23</v>
      </c>
      <c r="N26" t="s">
        <v>35</v>
      </c>
    </row>
    <row r="27" spans="1:14" x14ac:dyDescent="0.2">
      <c r="A27" t="s">
        <v>70</v>
      </c>
      <c r="B27" t="s">
        <v>38</v>
      </c>
      <c r="C27" s="1">
        <v>45602</v>
      </c>
      <c r="D27" t="s">
        <v>58</v>
      </c>
      <c r="E27" t="s">
        <v>59</v>
      </c>
      <c r="F27">
        <v>1606</v>
      </c>
      <c r="G27">
        <v>547</v>
      </c>
      <c r="H27">
        <v>316</v>
      </c>
      <c r="I27">
        <v>32120</v>
      </c>
      <c r="J27">
        <v>31736</v>
      </c>
      <c r="K27">
        <v>225</v>
      </c>
      <c r="L27" s="23">
        <f>(Posts[[#This Row],[Likes]]+Posts[[#This Row],[Shares]]+Posts[[#This Row],[Comments]])/Posts[[#This Row],[Impressions]]</f>
        <v>7.6867995018679955E-2</v>
      </c>
      <c r="M27" t="s">
        <v>23</v>
      </c>
      <c r="N27" t="s">
        <v>24</v>
      </c>
    </row>
    <row r="28" spans="1:14" x14ac:dyDescent="0.2">
      <c r="A28" t="s">
        <v>70</v>
      </c>
      <c r="B28" t="s">
        <v>38</v>
      </c>
      <c r="C28" s="1">
        <v>45602</v>
      </c>
      <c r="D28" t="s">
        <v>58</v>
      </c>
      <c r="E28" t="s">
        <v>59</v>
      </c>
      <c r="F28">
        <v>1606</v>
      </c>
      <c r="G28">
        <v>547</v>
      </c>
      <c r="H28">
        <v>316</v>
      </c>
      <c r="I28">
        <v>32120</v>
      </c>
      <c r="J28">
        <v>31736</v>
      </c>
      <c r="K28">
        <v>225</v>
      </c>
      <c r="L28" s="23">
        <f>(Posts[[#This Row],[Likes]]+Posts[[#This Row],[Shares]]+Posts[[#This Row],[Comments]])/Posts[[#This Row],[Impressions]]</f>
        <v>7.6867995018679955E-2</v>
      </c>
      <c r="M28" t="s">
        <v>19</v>
      </c>
      <c r="N28" t="s">
        <v>24</v>
      </c>
    </row>
    <row r="29" spans="1:14" x14ac:dyDescent="0.2">
      <c r="A29" t="s">
        <v>71</v>
      </c>
      <c r="B29" t="s">
        <v>38</v>
      </c>
      <c r="C29" s="1">
        <v>45680</v>
      </c>
      <c r="D29" t="s">
        <v>58</v>
      </c>
      <c r="E29" t="s">
        <v>59</v>
      </c>
      <c r="F29">
        <v>3961</v>
      </c>
      <c r="G29">
        <v>761</v>
      </c>
      <c r="H29">
        <v>131</v>
      </c>
      <c r="I29">
        <v>67337</v>
      </c>
      <c r="J29">
        <v>66615</v>
      </c>
      <c r="K29">
        <v>161</v>
      </c>
      <c r="L29" s="23">
        <f>(Posts[[#This Row],[Likes]]+Posts[[#This Row],[Shares]]+Posts[[#This Row],[Comments]])/Posts[[#This Row],[Impressions]]</f>
        <v>7.2070332803659209E-2</v>
      </c>
      <c r="M29" t="s">
        <v>17</v>
      </c>
      <c r="N29" t="s">
        <v>29</v>
      </c>
    </row>
    <row r="30" spans="1:14" x14ac:dyDescent="0.2">
      <c r="A30" t="s">
        <v>72</v>
      </c>
      <c r="B30" t="s">
        <v>14</v>
      </c>
      <c r="C30" s="1">
        <v>45757</v>
      </c>
      <c r="D30" t="s">
        <v>39</v>
      </c>
      <c r="E30" t="s">
        <v>42</v>
      </c>
      <c r="F30">
        <v>3128</v>
      </c>
      <c r="G30">
        <v>211</v>
      </c>
      <c r="H30">
        <v>197</v>
      </c>
      <c r="I30">
        <v>59432</v>
      </c>
      <c r="J30">
        <v>59182</v>
      </c>
      <c r="K30">
        <v>238</v>
      </c>
      <c r="L30" s="23">
        <f>(Posts[[#This Row],[Likes]]+Posts[[#This Row],[Shares]]+Posts[[#This Row],[Comments]])/Posts[[#This Row],[Impressions]]</f>
        <v>5.9496567505720827E-2</v>
      </c>
      <c r="M30" t="s">
        <v>34</v>
      </c>
    </row>
    <row r="31" spans="1:14" x14ac:dyDescent="0.2">
      <c r="A31" t="s">
        <v>73</v>
      </c>
      <c r="B31" t="s">
        <v>27</v>
      </c>
      <c r="C31" s="1">
        <v>45752</v>
      </c>
      <c r="D31" t="s">
        <v>15</v>
      </c>
      <c r="E31" t="s">
        <v>28</v>
      </c>
      <c r="F31">
        <v>3009</v>
      </c>
      <c r="G31">
        <v>413</v>
      </c>
      <c r="H31">
        <v>358</v>
      </c>
      <c r="I31">
        <v>42126</v>
      </c>
      <c r="J31">
        <v>41309</v>
      </c>
      <c r="K31">
        <v>211</v>
      </c>
      <c r="L31" s="23">
        <f>(Posts[[#This Row],[Likes]]+Posts[[#This Row],[Shares]]+Posts[[#This Row],[Comments]])/Posts[[#This Row],[Impressions]]</f>
        <v>8.9730807577268201E-2</v>
      </c>
      <c r="M31" t="s">
        <v>17</v>
      </c>
      <c r="N31" t="s">
        <v>24</v>
      </c>
    </row>
    <row r="32" spans="1:14" x14ac:dyDescent="0.2">
      <c r="A32" t="s">
        <v>74</v>
      </c>
      <c r="B32" t="s">
        <v>27</v>
      </c>
      <c r="C32" s="1">
        <v>45552</v>
      </c>
      <c r="D32" t="s">
        <v>21</v>
      </c>
      <c r="E32" t="s">
        <v>75</v>
      </c>
      <c r="F32">
        <v>2076</v>
      </c>
      <c r="G32">
        <v>195</v>
      </c>
      <c r="H32">
        <v>104</v>
      </c>
      <c r="I32">
        <v>33216</v>
      </c>
      <c r="J32">
        <v>32244</v>
      </c>
      <c r="K32">
        <v>51</v>
      </c>
      <c r="L32" s="23">
        <f>(Posts[[#This Row],[Likes]]+Posts[[#This Row],[Shares]]+Posts[[#This Row],[Comments]])/Posts[[#This Row],[Impressions]]</f>
        <v>7.1501685934489398E-2</v>
      </c>
      <c r="M32" t="s">
        <v>17</v>
      </c>
      <c r="N32" t="s">
        <v>35</v>
      </c>
    </row>
    <row r="33" spans="1:14" x14ac:dyDescent="0.2">
      <c r="A33" t="s">
        <v>76</v>
      </c>
      <c r="B33" t="s">
        <v>31</v>
      </c>
      <c r="C33" s="1">
        <v>45720</v>
      </c>
      <c r="D33" t="s">
        <v>58</v>
      </c>
      <c r="E33" t="s">
        <v>65</v>
      </c>
      <c r="F33">
        <v>432</v>
      </c>
      <c r="G33">
        <v>624</v>
      </c>
      <c r="H33">
        <v>123</v>
      </c>
      <c r="I33">
        <v>6912</v>
      </c>
      <c r="J33">
        <v>6259</v>
      </c>
      <c r="K33">
        <v>79</v>
      </c>
      <c r="L33" s="23">
        <f>(Posts[[#This Row],[Likes]]+Posts[[#This Row],[Shares]]+Posts[[#This Row],[Comments]])/Posts[[#This Row],[Impressions]]</f>
        <v>0.17057291666666666</v>
      </c>
      <c r="M33" t="s">
        <v>17</v>
      </c>
      <c r="N33" t="s">
        <v>35</v>
      </c>
    </row>
    <row r="34" spans="1:14" x14ac:dyDescent="0.2">
      <c r="A34" t="s">
        <v>77</v>
      </c>
      <c r="B34" t="s">
        <v>31</v>
      </c>
      <c r="C34" s="1">
        <v>45688</v>
      </c>
      <c r="D34" t="s">
        <v>39</v>
      </c>
      <c r="E34" t="s">
        <v>67</v>
      </c>
      <c r="F34">
        <v>2566</v>
      </c>
      <c r="G34">
        <v>118</v>
      </c>
      <c r="H34">
        <v>37</v>
      </c>
      <c r="I34">
        <v>12830</v>
      </c>
      <c r="J34">
        <v>12264</v>
      </c>
      <c r="K34">
        <v>221</v>
      </c>
      <c r="L34" s="23">
        <f>(Posts[[#This Row],[Likes]]+Posts[[#This Row],[Shares]]+Posts[[#This Row],[Comments]])/Posts[[#This Row],[Impressions]]</f>
        <v>0.21208106001558846</v>
      </c>
      <c r="M34" t="s">
        <v>17</v>
      </c>
      <c r="N34" t="s">
        <v>29</v>
      </c>
    </row>
    <row r="35" spans="1:14" x14ac:dyDescent="0.2">
      <c r="A35" t="s">
        <v>78</v>
      </c>
      <c r="B35" t="s">
        <v>31</v>
      </c>
      <c r="C35" s="1">
        <v>45713</v>
      </c>
      <c r="D35" t="s">
        <v>58</v>
      </c>
      <c r="E35" t="s">
        <v>65</v>
      </c>
      <c r="F35">
        <v>3095</v>
      </c>
      <c r="G35">
        <v>39</v>
      </c>
      <c r="H35">
        <v>78</v>
      </c>
      <c r="I35">
        <v>55710</v>
      </c>
      <c r="J35">
        <v>54808</v>
      </c>
      <c r="K35">
        <v>93</v>
      </c>
      <c r="L35" s="23">
        <f>(Posts[[#This Row],[Likes]]+Posts[[#This Row],[Shares]]+Posts[[#This Row],[Comments]])/Posts[[#This Row],[Impressions]]</f>
        <v>5.7655717106444085E-2</v>
      </c>
      <c r="M35" t="s">
        <v>34</v>
      </c>
    </row>
    <row r="36" spans="1:14" x14ac:dyDescent="0.2">
      <c r="A36" t="s">
        <v>79</v>
      </c>
      <c r="B36" t="s">
        <v>31</v>
      </c>
      <c r="C36" s="1">
        <v>45642</v>
      </c>
      <c r="D36" t="s">
        <v>21</v>
      </c>
      <c r="E36" t="s">
        <v>80</v>
      </c>
      <c r="F36">
        <v>438</v>
      </c>
      <c r="G36">
        <v>153</v>
      </c>
      <c r="H36">
        <v>275</v>
      </c>
      <c r="I36">
        <v>3066</v>
      </c>
      <c r="J36">
        <v>2701</v>
      </c>
      <c r="K36">
        <v>282</v>
      </c>
      <c r="L36" s="23">
        <f>(Posts[[#This Row],[Likes]]+Posts[[#This Row],[Shares]]+Posts[[#This Row],[Comments]])/Posts[[#This Row],[Impressions]]</f>
        <v>0.28245270711024134</v>
      </c>
      <c r="M36" t="s">
        <v>23</v>
      </c>
      <c r="N36" t="s">
        <v>24</v>
      </c>
    </row>
    <row r="37" spans="1:14" x14ac:dyDescent="0.2">
      <c r="A37" t="s">
        <v>81</v>
      </c>
      <c r="B37" t="s">
        <v>14</v>
      </c>
      <c r="C37" s="1">
        <v>45504</v>
      </c>
      <c r="D37" t="s">
        <v>39</v>
      </c>
      <c r="E37" t="s">
        <v>42</v>
      </c>
      <c r="F37">
        <v>2278</v>
      </c>
      <c r="G37">
        <v>10</v>
      </c>
      <c r="H37">
        <v>321</v>
      </c>
      <c r="I37">
        <v>13668</v>
      </c>
      <c r="J37">
        <v>12676</v>
      </c>
      <c r="K37">
        <v>275</v>
      </c>
      <c r="L37" s="23">
        <f>(Posts[[#This Row],[Likes]]+Posts[[#This Row],[Shares]]+Posts[[#This Row],[Comments]])/Posts[[#This Row],[Impressions]]</f>
        <v>0.19088381621305239</v>
      </c>
      <c r="M37" t="s">
        <v>34</v>
      </c>
      <c r="N37" t="s">
        <v>18</v>
      </c>
    </row>
    <row r="38" spans="1:14" x14ac:dyDescent="0.2">
      <c r="A38" t="s">
        <v>82</v>
      </c>
      <c r="B38" t="s">
        <v>38</v>
      </c>
      <c r="C38" s="1">
        <v>45525</v>
      </c>
      <c r="D38" t="s">
        <v>44</v>
      </c>
      <c r="E38" t="s">
        <v>49</v>
      </c>
      <c r="F38">
        <v>1407</v>
      </c>
      <c r="G38">
        <v>400</v>
      </c>
      <c r="H38">
        <v>351</v>
      </c>
      <c r="I38">
        <v>16884</v>
      </c>
      <c r="J38">
        <v>15954</v>
      </c>
      <c r="K38">
        <v>113</v>
      </c>
      <c r="L38" s="23">
        <f>(Posts[[#This Row],[Likes]]+Posts[[#This Row],[Shares]]+Posts[[#This Row],[Comments]])/Posts[[#This Row],[Impressions]]</f>
        <v>0.12781331438047855</v>
      </c>
      <c r="M38" t="s">
        <v>23</v>
      </c>
      <c r="N38" t="s">
        <v>18</v>
      </c>
    </row>
    <row r="39" spans="1:14" x14ac:dyDescent="0.2">
      <c r="A39" t="s">
        <v>83</v>
      </c>
      <c r="B39" t="s">
        <v>38</v>
      </c>
      <c r="C39" s="1">
        <v>45742</v>
      </c>
      <c r="D39" t="s">
        <v>21</v>
      </c>
      <c r="E39" t="s">
        <v>47</v>
      </c>
      <c r="F39">
        <v>1652</v>
      </c>
      <c r="G39">
        <v>89</v>
      </c>
      <c r="H39">
        <v>357</v>
      </c>
      <c r="I39">
        <v>29736</v>
      </c>
      <c r="J39">
        <v>28771</v>
      </c>
      <c r="K39">
        <v>215</v>
      </c>
      <c r="L39" s="23">
        <f>(Posts[[#This Row],[Likes]]+Posts[[#This Row],[Shares]]+Posts[[#This Row],[Comments]])/Posts[[#This Row],[Impressions]]</f>
        <v>7.055421038471886E-2</v>
      </c>
      <c r="M39" t="s">
        <v>23</v>
      </c>
      <c r="N39" t="s">
        <v>29</v>
      </c>
    </row>
    <row r="40" spans="1:14" x14ac:dyDescent="0.2">
      <c r="A40" t="s">
        <v>84</v>
      </c>
      <c r="B40" t="s">
        <v>31</v>
      </c>
      <c r="C40" s="1">
        <v>45626</v>
      </c>
      <c r="D40" t="s">
        <v>58</v>
      </c>
      <c r="E40" t="s">
        <v>65</v>
      </c>
      <c r="F40">
        <v>3775</v>
      </c>
      <c r="G40">
        <v>16</v>
      </c>
      <c r="H40">
        <v>239</v>
      </c>
      <c r="I40">
        <v>33975</v>
      </c>
      <c r="J40">
        <v>33310</v>
      </c>
      <c r="K40">
        <v>271</v>
      </c>
      <c r="L40" s="23">
        <f>(Posts[[#This Row],[Likes]]+Posts[[#This Row],[Shares]]+Posts[[#This Row],[Comments]])/Posts[[#This Row],[Impressions]]</f>
        <v>0.11861662987490802</v>
      </c>
      <c r="M40" t="s">
        <v>17</v>
      </c>
      <c r="N40" t="s">
        <v>24</v>
      </c>
    </row>
    <row r="41" spans="1:14" x14ac:dyDescent="0.2">
      <c r="A41" t="s">
        <v>85</v>
      </c>
      <c r="B41" t="s">
        <v>31</v>
      </c>
      <c r="C41" s="1">
        <v>45766</v>
      </c>
      <c r="D41" t="s">
        <v>32</v>
      </c>
      <c r="E41" t="s">
        <v>33</v>
      </c>
      <c r="F41">
        <v>4518</v>
      </c>
      <c r="G41">
        <v>285</v>
      </c>
      <c r="H41">
        <v>383</v>
      </c>
      <c r="I41">
        <v>67770</v>
      </c>
      <c r="J41">
        <v>67621</v>
      </c>
      <c r="K41">
        <v>31</v>
      </c>
      <c r="L41" s="23">
        <f>(Posts[[#This Row],[Likes]]+Posts[[#This Row],[Shares]]+Posts[[#This Row],[Comments]])/Posts[[#This Row],[Impressions]]</f>
        <v>7.6523535487678915E-2</v>
      </c>
      <c r="M41" t="s">
        <v>34</v>
      </c>
      <c r="N41" t="s">
        <v>24</v>
      </c>
    </row>
    <row r="42" spans="1:14" x14ac:dyDescent="0.2">
      <c r="A42" t="s">
        <v>86</v>
      </c>
      <c r="B42" t="s">
        <v>38</v>
      </c>
      <c r="C42" s="1">
        <v>45663</v>
      </c>
      <c r="D42" t="s">
        <v>39</v>
      </c>
      <c r="E42" t="s">
        <v>40</v>
      </c>
      <c r="F42">
        <v>3024</v>
      </c>
      <c r="G42">
        <v>925</v>
      </c>
      <c r="H42">
        <v>350</v>
      </c>
      <c r="I42">
        <v>24192</v>
      </c>
      <c r="J42">
        <v>23518</v>
      </c>
      <c r="K42">
        <v>36</v>
      </c>
      <c r="L42" s="23">
        <f>(Posts[[#This Row],[Likes]]+Posts[[#This Row],[Shares]]+Posts[[#This Row],[Comments]])/Posts[[#This Row],[Impressions]]</f>
        <v>0.17770337301587302</v>
      </c>
      <c r="M42" t="s">
        <v>34</v>
      </c>
      <c r="N42" t="s">
        <v>24</v>
      </c>
    </row>
    <row r="43" spans="1:14" x14ac:dyDescent="0.2">
      <c r="A43" t="s">
        <v>87</v>
      </c>
      <c r="B43" t="s">
        <v>27</v>
      </c>
      <c r="C43" s="1">
        <v>45705</v>
      </c>
      <c r="D43" t="s">
        <v>15</v>
      </c>
      <c r="E43" t="s">
        <v>28</v>
      </c>
      <c r="F43">
        <v>3138</v>
      </c>
      <c r="G43">
        <v>123</v>
      </c>
      <c r="H43">
        <v>291</v>
      </c>
      <c r="I43">
        <v>28242</v>
      </c>
      <c r="J43">
        <v>27550</v>
      </c>
      <c r="K43">
        <v>87</v>
      </c>
      <c r="L43" s="23">
        <f>(Posts[[#This Row],[Likes]]+Posts[[#This Row],[Shares]]+Posts[[#This Row],[Comments]])/Posts[[#This Row],[Impressions]]</f>
        <v>0.12577012959422137</v>
      </c>
      <c r="M43" t="s">
        <v>23</v>
      </c>
      <c r="N43" t="s">
        <v>35</v>
      </c>
    </row>
    <row r="44" spans="1:14" x14ac:dyDescent="0.2">
      <c r="A44" t="s">
        <v>88</v>
      </c>
      <c r="B44" t="s">
        <v>38</v>
      </c>
      <c r="C44" s="1">
        <v>45621</v>
      </c>
      <c r="D44" t="s">
        <v>44</v>
      </c>
      <c r="E44" t="s">
        <v>49</v>
      </c>
      <c r="F44">
        <v>3564</v>
      </c>
      <c r="G44">
        <v>629</v>
      </c>
      <c r="H44">
        <v>177</v>
      </c>
      <c r="I44">
        <v>60588</v>
      </c>
      <c r="J44">
        <v>59627</v>
      </c>
      <c r="K44">
        <v>92</v>
      </c>
      <c r="L44" s="23">
        <f>(Posts[[#This Row],[Likes]]+Posts[[#This Row],[Shares]]+Posts[[#This Row],[Comments]])/Posts[[#This Row],[Impressions]]</f>
        <v>7.2126493695121141E-2</v>
      </c>
      <c r="M44" t="s">
        <v>23</v>
      </c>
    </row>
    <row r="45" spans="1:14" x14ac:dyDescent="0.2">
      <c r="A45" t="s">
        <v>89</v>
      </c>
      <c r="B45" t="s">
        <v>14</v>
      </c>
      <c r="C45" s="1">
        <v>45723</v>
      </c>
      <c r="D45" t="s">
        <v>44</v>
      </c>
      <c r="E45" t="s">
        <v>90</v>
      </c>
      <c r="F45">
        <v>4750</v>
      </c>
      <c r="G45">
        <v>151</v>
      </c>
      <c r="H45">
        <v>415</v>
      </c>
      <c r="I45">
        <v>38000</v>
      </c>
      <c r="J45">
        <v>37792</v>
      </c>
      <c r="K45">
        <v>299</v>
      </c>
      <c r="L45" s="23">
        <f>(Posts[[#This Row],[Likes]]+Posts[[#This Row],[Shares]]+Posts[[#This Row],[Comments]])/Posts[[#This Row],[Impressions]]</f>
        <v>0.13989473684210527</v>
      </c>
      <c r="M45" t="s">
        <v>34</v>
      </c>
      <c r="N45" t="s">
        <v>35</v>
      </c>
    </row>
    <row r="46" spans="1:14" x14ac:dyDescent="0.2">
      <c r="A46" t="s">
        <v>91</v>
      </c>
      <c r="B46" t="s">
        <v>31</v>
      </c>
      <c r="C46" s="1">
        <v>45724</v>
      </c>
      <c r="D46" t="s">
        <v>15</v>
      </c>
      <c r="E46" t="s">
        <v>63</v>
      </c>
      <c r="F46">
        <v>456</v>
      </c>
      <c r="G46">
        <v>629</v>
      </c>
      <c r="H46">
        <v>428</v>
      </c>
      <c r="I46">
        <v>8208</v>
      </c>
      <c r="J46">
        <v>7377</v>
      </c>
      <c r="K46">
        <v>205</v>
      </c>
      <c r="L46" s="23">
        <f>(Posts[[#This Row],[Likes]]+Posts[[#This Row],[Shares]]+Posts[[#This Row],[Comments]])/Posts[[#This Row],[Impressions]]</f>
        <v>0.18433235867446393</v>
      </c>
      <c r="M46" t="s">
        <v>17</v>
      </c>
      <c r="N46" t="s">
        <v>35</v>
      </c>
    </row>
    <row r="47" spans="1:14" x14ac:dyDescent="0.2">
      <c r="A47" t="s">
        <v>92</v>
      </c>
      <c r="B47" t="s">
        <v>27</v>
      </c>
      <c r="C47" s="1">
        <v>45721</v>
      </c>
      <c r="D47" t="s">
        <v>15</v>
      </c>
      <c r="E47" t="s">
        <v>28</v>
      </c>
      <c r="F47">
        <v>1543</v>
      </c>
      <c r="G47">
        <v>820</v>
      </c>
      <c r="H47">
        <v>333</v>
      </c>
      <c r="I47">
        <v>12344</v>
      </c>
      <c r="J47">
        <v>11496</v>
      </c>
      <c r="K47">
        <v>241</v>
      </c>
      <c r="L47" s="23">
        <f>(Posts[[#This Row],[Likes]]+Posts[[#This Row],[Shares]]+Posts[[#This Row],[Comments]])/Posts[[#This Row],[Impressions]]</f>
        <v>0.21840570317563188</v>
      </c>
      <c r="M47" t="s">
        <v>34</v>
      </c>
    </row>
    <row r="48" spans="1:14" x14ac:dyDescent="0.2">
      <c r="A48" t="s">
        <v>93</v>
      </c>
      <c r="B48" t="s">
        <v>31</v>
      </c>
      <c r="C48" s="1">
        <v>45640</v>
      </c>
      <c r="D48" t="s">
        <v>39</v>
      </c>
      <c r="E48" t="s">
        <v>67</v>
      </c>
      <c r="F48">
        <v>2174</v>
      </c>
      <c r="G48">
        <v>658</v>
      </c>
      <c r="H48">
        <v>15</v>
      </c>
      <c r="I48">
        <v>13044</v>
      </c>
      <c r="J48">
        <v>12206</v>
      </c>
      <c r="K48">
        <v>137</v>
      </c>
      <c r="L48" s="23">
        <f>(Posts[[#This Row],[Likes]]+Posts[[#This Row],[Shares]]+Posts[[#This Row],[Comments]])/Posts[[#This Row],[Impressions]]</f>
        <v>0.21826126954921804</v>
      </c>
      <c r="M48" t="s">
        <v>23</v>
      </c>
      <c r="N48" t="s">
        <v>29</v>
      </c>
    </row>
    <row r="49" spans="1:14" x14ac:dyDescent="0.2">
      <c r="A49" t="s">
        <v>94</v>
      </c>
      <c r="B49" t="s">
        <v>14</v>
      </c>
      <c r="C49" s="1">
        <v>45718</v>
      </c>
      <c r="D49" t="s">
        <v>44</v>
      </c>
      <c r="E49" t="s">
        <v>90</v>
      </c>
      <c r="F49">
        <v>2358</v>
      </c>
      <c r="G49">
        <v>784</v>
      </c>
      <c r="H49">
        <v>344</v>
      </c>
      <c r="I49">
        <v>35370</v>
      </c>
      <c r="J49">
        <v>34475</v>
      </c>
      <c r="K49">
        <v>216</v>
      </c>
      <c r="L49" s="23">
        <f>(Posts[[#This Row],[Likes]]+Posts[[#This Row],[Shares]]+Posts[[#This Row],[Comments]])/Posts[[#This Row],[Impressions]]</f>
        <v>9.8558100084817649E-2</v>
      </c>
      <c r="M49" t="s">
        <v>23</v>
      </c>
    </row>
    <row r="50" spans="1:14" x14ac:dyDescent="0.2">
      <c r="A50" t="s">
        <v>95</v>
      </c>
      <c r="B50" t="s">
        <v>38</v>
      </c>
      <c r="C50" s="1">
        <v>45597</v>
      </c>
      <c r="D50" t="s">
        <v>58</v>
      </c>
      <c r="E50" t="s">
        <v>59</v>
      </c>
      <c r="F50">
        <v>3371</v>
      </c>
      <c r="G50">
        <v>106</v>
      </c>
      <c r="H50">
        <v>327</v>
      </c>
      <c r="I50">
        <v>50565</v>
      </c>
      <c r="J50">
        <v>49816</v>
      </c>
      <c r="K50">
        <v>176</v>
      </c>
      <c r="L50" s="23">
        <f>(Posts[[#This Row],[Likes]]+Posts[[#This Row],[Shares]]+Posts[[#This Row],[Comments]])/Posts[[#This Row],[Impressions]]</f>
        <v>7.5229902106199939E-2</v>
      </c>
      <c r="M50" t="s">
        <v>17</v>
      </c>
      <c r="N50" t="s">
        <v>18</v>
      </c>
    </row>
    <row r="51" spans="1:14" x14ac:dyDescent="0.2">
      <c r="A51" t="s">
        <v>96</v>
      </c>
      <c r="B51" t="s">
        <v>14</v>
      </c>
      <c r="C51" s="1">
        <v>45779</v>
      </c>
      <c r="D51" t="s">
        <v>58</v>
      </c>
      <c r="E51" t="s">
        <v>97</v>
      </c>
      <c r="F51">
        <v>1108</v>
      </c>
      <c r="G51">
        <v>177</v>
      </c>
      <c r="H51">
        <v>212</v>
      </c>
      <c r="I51">
        <v>8864</v>
      </c>
      <c r="J51">
        <v>8710</v>
      </c>
      <c r="K51">
        <v>97</v>
      </c>
      <c r="L51" s="23">
        <f>(Posts[[#This Row],[Likes]]+Posts[[#This Row],[Shares]]+Posts[[#This Row],[Comments]])/Posts[[#This Row],[Impressions]]</f>
        <v>0.16888537906137185</v>
      </c>
      <c r="M51" t="s">
        <v>23</v>
      </c>
      <c r="N51" t="s">
        <v>35</v>
      </c>
    </row>
    <row r="52" spans="1:14" x14ac:dyDescent="0.2">
      <c r="A52" t="s">
        <v>98</v>
      </c>
      <c r="B52" t="s">
        <v>14</v>
      </c>
      <c r="C52" s="1">
        <v>45712</v>
      </c>
      <c r="D52" t="s">
        <v>39</v>
      </c>
      <c r="E52" t="s">
        <v>42</v>
      </c>
      <c r="F52">
        <v>2704</v>
      </c>
      <c r="G52">
        <v>752</v>
      </c>
      <c r="H52">
        <v>153</v>
      </c>
      <c r="I52">
        <v>21632</v>
      </c>
      <c r="J52">
        <v>20792</v>
      </c>
      <c r="K52">
        <v>127</v>
      </c>
      <c r="L52" s="23">
        <f>(Posts[[#This Row],[Likes]]+Posts[[#This Row],[Shares]]+Posts[[#This Row],[Comments]])/Posts[[#This Row],[Impressions]]</f>
        <v>0.16683616863905326</v>
      </c>
      <c r="M52" t="s">
        <v>17</v>
      </c>
    </row>
    <row r="53" spans="1:14" x14ac:dyDescent="0.2">
      <c r="A53" t="s">
        <v>99</v>
      </c>
      <c r="B53" t="s">
        <v>14</v>
      </c>
      <c r="C53" s="1">
        <v>45727</v>
      </c>
      <c r="D53" t="s">
        <v>32</v>
      </c>
      <c r="E53" t="s">
        <v>100</v>
      </c>
      <c r="F53">
        <v>1950</v>
      </c>
      <c r="G53">
        <v>295</v>
      </c>
      <c r="H53">
        <v>478</v>
      </c>
      <c r="I53">
        <v>37050</v>
      </c>
      <c r="J53">
        <v>36272</v>
      </c>
      <c r="K53">
        <v>119</v>
      </c>
      <c r="L53" s="23">
        <f>(Posts[[#This Row],[Likes]]+Posts[[#This Row],[Shares]]+Posts[[#This Row],[Comments]])/Posts[[#This Row],[Impressions]]</f>
        <v>7.349527665317139E-2</v>
      </c>
      <c r="M53" t="s">
        <v>23</v>
      </c>
    </row>
    <row r="54" spans="1:14" x14ac:dyDescent="0.2">
      <c r="A54" t="s">
        <v>101</v>
      </c>
      <c r="B54" t="s">
        <v>14</v>
      </c>
      <c r="C54" s="1">
        <v>45453</v>
      </c>
      <c r="D54" t="s">
        <v>32</v>
      </c>
      <c r="E54" t="s">
        <v>100</v>
      </c>
      <c r="F54">
        <v>2164</v>
      </c>
      <c r="G54">
        <v>549</v>
      </c>
      <c r="H54">
        <v>274</v>
      </c>
      <c r="I54">
        <v>28132</v>
      </c>
      <c r="J54">
        <v>27361</v>
      </c>
      <c r="K54">
        <v>177</v>
      </c>
      <c r="L54" s="23">
        <f>(Posts[[#This Row],[Likes]]+Posts[[#This Row],[Shares]]+Posts[[#This Row],[Comments]])/Posts[[#This Row],[Impressions]]</f>
        <v>0.10617801791554102</v>
      </c>
      <c r="M54" t="s">
        <v>23</v>
      </c>
      <c r="N54" t="s">
        <v>35</v>
      </c>
    </row>
    <row r="55" spans="1:14" x14ac:dyDescent="0.2">
      <c r="A55" t="s">
        <v>102</v>
      </c>
      <c r="B55" t="s">
        <v>27</v>
      </c>
      <c r="C55" s="1">
        <v>45476</v>
      </c>
      <c r="D55" t="s">
        <v>32</v>
      </c>
      <c r="E55" t="s">
        <v>103</v>
      </c>
      <c r="F55">
        <v>2754</v>
      </c>
      <c r="G55">
        <v>130</v>
      </c>
      <c r="H55">
        <v>90</v>
      </c>
      <c r="I55">
        <v>22032</v>
      </c>
      <c r="J55">
        <v>21288</v>
      </c>
      <c r="K55">
        <v>112</v>
      </c>
      <c r="L55" s="23">
        <f>(Posts[[#This Row],[Likes]]+Posts[[#This Row],[Shares]]+Posts[[#This Row],[Comments]])/Posts[[#This Row],[Impressions]]</f>
        <v>0.13498547567175018</v>
      </c>
      <c r="M55" t="s">
        <v>23</v>
      </c>
      <c r="N55" t="s">
        <v>29</v>
      </c>
    </row>
    <row r="56" spans="1:14" x14ac:dyDescent="0.2">
      <c r="A56" t="s">
        <v>104</v>
      </c>
      <c r="B56" t="s">
        <v>38</v>
      </c>
      <c r="C56" s="1">
        <v>45456</v>
      </c>
      <c r="D56" t="s">
        <v>39</v>
      </c>
      <c r="E56" t="s">
        <v>40</v>
      </c>
      <c r="F56">
        <v>2200</v>
      </c>
      <c r="G56">
        <v>504</v>
      </c>
      <c r="H56">
        <v>239</v>
      </c>
      <c r="I56">
        <v>37400</v>
      </c>
      <c r="J56">
        <v>36938</v>
      </c>
      <c r="K56">
        <v>225</v>
      </c>
      <c r="L56" s="23">
        <f>(Posts[[#This Row],[Likes]]+Posts[[#This Row],[Shares]]+Posts[[#This Row],[Comments]])/Posts[[#This Row],[Impressions]]</f>
        <v>7.8689839572192513E-2</v>
      </c>
      <c r="M56" t="s">
        <v>17</v>
      </c>
      <c r="N56" t="s">
        <v>24</v>
      </c>
    </row>
    <row r="57" spans="1:14" x14ac:dyDescent="0.2">
      <c r="A57" t="s">
        <v>105</v>
      </c>
      <c r="B57" t="s">
        <v>38</v>
      </c>
      <c r="C57" s="1">
        <v>45660</v>
      </c>
      <c r="D57" t="s">
        <v>44</v>
      </c>
      <c r="E57" t="s">
        <v>49</v>
      </c>
      <c r="F57">
        <v>947</v>
      </c>
      <c r="G57">
        <v>338</v>
      </c>
      <c r="H57">
        <v>350</v>
      </c>
      <c r="I57">
        <v>10417</v>
      </c>
      <c r="J57">
        <v>9730</v>
      </c>
      <c r="K57">
        <v>34</v>
      </c>
      <c r="L57" s="23">
        <f>(Posts[[#This Row],[Likes]]+Posts[[#This Row],[Shares]]+Posts[[#This Row],[Comments]])/Posts[[#This Row],[Impressions]]</f>
        <v>0.1569549774407219</v>
      </c>
      <c r="M57" t="s">
        <v>23</v>
      </c>
      <c r="N57" t="s">
        <v>35</v>
      </c>
    </row>
    <row r="58" spans="1:14" x14ac:dyDescent="0.2">
      <c r="A58" t="s">
        <v>106</v>
      </c>
      <c r="B58" t="s">
        <v>27</v>
      </c>
      <c r="C58" s="1">
        <v>45712</v>
      </c>
      <c r="D58" t="s">
        <v>39</v>
      </c>
      <c r="E58" t="s">
        <v>54</v>
      </c>
      <c r="F58">
        <v>804</v>
      </c>
      <c r="G58">
        <v>639</v>
      </c>
      <c r="H58">
        <v>43</v>
      </c>
      <c r="I58">
        <v>4020</v>
      </c>
      <c r="J58">
        <v>3144</v>
      </c>
      <c r="K58">
        <v>11</v>
      </c>
      <c r="L58" s="23">
        <f>(Posts[[#This Row],[Likes]]+Posts[[#This Row],[Shares]]+Posts[[#This Row],[Comments]])/Posts[[#This Row],[Impressions]]</f>
        <v>0.36965174129353234</v>
      </c>
      <c r="M58" t="s">
        <v>34</v>
      </c>
    </row>
    <row r="59" spans="1:14" x14ac:dyDescent="0.2">
      <c r="A59" t="s">
        <v>106</v>
      </c>
      <c r="B59" t="s">
        <v>27</v>
      </c>
      <c r="C59" s="1">
        <v>45712</v>
      </c>
      <c r="D59" t="s">
        <v>39</v>
      </c>
      <c r="E59" t="s">
        <v>54</v>
      </c>
      <c r="F59">
        <v>804</v>
      </c>
      <c r="G59">
        <v>639</v>
      </c>
      <c r="H59">
        <v>43</v>
      </c>
      <c r="I59">
        <v>4020</v>
      </c>
      <c r="J59">
        <v>3144</v>
      </c>
      <c r="K59">
        <v>11</v>
      </c>
      <c r="L59" s="23">
        <f>(Posts[[#This Row],[Likes]]+Posts[[#This Row],[Shares]]+Posts[[#This Row],[Comments]])/Posts[[#This Row],[Impressions]]</f>
        <v>0.36965174129353234</v>
      </c>
      <c r="M59" t="s">
        <v>25</v>
      </c>
    </row>
    <row r="60" spans="1:14" x14ac:dyDescent="0.2">
      <c r="A60" t="s">
        <v>107</v>
      </c>
      <c r="B60" t="s">
        <v>27</v>
      </c>
      <c r="C60" s="1">
        <v>45729</v>
      </c>
      <c r="D60" t="s">
        <v>39</v>
      </c>
      <c r="E60" t="s">
        <v>54</v>
      </c>
      <c r="F60">
        <v>1686</v>
      </c>
      <c r="G60">
        <v>904</v>
      </c>
      <c r="H60">
        <v>472</v>
      </c>
      <c r="I60">
        <v>18546</v>
      </c>
      <c r="J60">
        <v>18171</v>
      </c>
      <c r="K60">
        <v>52</v>
      </c>
      <c r="L60" s="23">
        <f>(Posts[[#This Row],[Likes]]+Posts[[#This Row],[Shares]]+Posts[[#This Row],[Comments]])/Posts[[#This Row],[Impressions]]</f>
        <v>0.16510298716704411</v>
      </c>
      <c r="M60" t="s">
        <v>17</v>
      </c>
      <c r="N60" t="s">
        <v>24</v>
      </c>
    </row>
    <row r="61" spans="1:14" x14ac:dyDescent="0.2">
      <c r="A61" t="s">
        <v>108</v>
      </c>
      <c r="B61" t="s">
        <v>38</v>
      </c>
      <c r="C61" s="1">
        <v>45460</v>
      </c>
      <c r="D61" t="s">
        <v>44</v>
      </c>
      <c r="E61" t="s">
        <v>49</v>
      </c>
      <c r="F61">
        <v>1226</v>
      </c>
      <c r="G61">
        <v>119</v>
      </c>
      <c r="H61">
        <v>7</v>
      </c>
      <c r="I61">
        <v>14712</v>
      </c>
      <c r="J61">
        <v>14049</v>
      </c>
      <c r="K61">
        <v>123</v>
      </c>
      <c r="L61" s="23">
        <f>(Posts[[#This Row],[Likes]]+Posts[[#This Row],[Shares]]+Posts[[#This Row],[Comments]])/Posts[[#This Row],[Impressions]]</f>
        <v>9.1897770527460579E-2</v>
      </c>
      <c r="M61" t="s">
        <v>34</v>
      </c>
      <c r="N61" t="s">
        <v>35</v>
      </c>
    </row>
    <row r="62" spans="1:14" x14ac:dyDescent="0.2">
      <c r="A62" t="s">
        <v>109</v>
      </c>
      <c r="B62" t="s">
        <v>38</v>
      </c>
      <c r="C62" s="1">
        <v>45644</v>
      </c>
      <c r="D62" t="s">
        <v>39</v>
      </c>
      <c r="E62" t="s">
        <v>40</v>
      </c>
      <c r="F62">
        <v>2946</v>
      </c>
      <c r="G62">
        <v>498</v>
      </c>
      <c r="H62">
        <v>367</v>
      </c>
      <c r="I62">
        <v>29460</v>
      </c>
      <c r="J62">
        <v>28527</v>
      </c>
      <c r="K62">
        <v>60</v>
      </c>
      <c r="L62" s="23">
        <f>(Posts[[#This Row],[Likes]]+Posts[[#This Row],[Shares]]+Posts[[#This Row],[Comments]])/Posts[[#This Row],[Impressions]]</f>
        <v>0.12936184657162253</v>
      </c>
      <c r="M62" t="s">
        <v>17</v>
      </c>
      <c r="N62" t="s">
        <v>29</v>
      </c>
    </row>
    <row r="63" spans="1:14" x14ac:dyDescent="0.2">
      <c r="A63" t="s">
        <v>110</v>
      </c>
      <c r="B63" t="s">
        <v>14</v>
      </c>
      <c r="C63" s="1">
        <v>45586</v>
      </c>
      <c r="D63" t="s">
        <v>58</v>
      </c>
      <c r="E63" t="s">
        <v>97</v>
      </c>
      <c r="F63">
        <v>2825</v>
      </c>
      <c r="G63">
        <v>535</v>
      </c>
      <c r="H63">
        <v>295</v>
      </c>
      <c r="I63">
        <v>45200</v>
      </c>
      <c r="J63">
        <v>44739</v>
      </c>
      <c r="K63">
        <v>169</v>
      </c>
      <c r="L63" s="23">
        <f>(Posts[[#This Row],[Likes]]+Posts[[#This Row],[Shares]]+Posts[[#This Row],[Comments]])/Posts[[#This Row],[Impressions]]</f>
        <v>8.0862831858407078E-2</v>
      </c>
      <c r="M63" t="s">
        <v>23</v>
      </c>
      <c r="N63" t="s">
        <v>18</v>
      </c>
    </row>
    <row r="64" spans="1:14" x14ac:dyDescent="0.2">
      <c r="A64" t="s">
        <v>111</v>
      </c>
      <c r="B64" t="s">
        <v>31</v>
      </c>
      <c r="C64" s="1">
        <v>45762</v>
      </c>
      <c r="D64" t="s">
        <v>15</v>
      </c>
      <c r="E64" t="s">
        <v>63</v>
      </c>
      <c r="F64">
        <v>103</v>
      </c>
      <c r="G64">
        <v>770</v>
      </c>
      <c r="H64">
        <v>19</v>
      </c>
      <c r="I64">
        <v>1030</v>
      </c>
      <c r="J64">
        <v>410</v>
      </c>
      <c r="K64">
        <v>262</v>
      </c>
      <c r="L64" s="23">
        <f>(Posts[[#This Row],[Likes]]+Posts[[#This Row],[Shares]]+Posts[[#This Row],[Comments]])/Posts[[#This Row],[Impressions]]</f>
        <v>0.86601941747572819</v>
      </c>
      <c r="M64" t="s">
        <v>23</v>
      </c>
      <c r="N64" t="s">
        <v>35</v>
      </c>
    </row>
    <row r="65" spans="1:14" x14ac:dyDescent="0.2">
      <c r="A65" t="s">
        <v>112</v>
      </c>
      <c r="B65" t="s">
        <v>31</v>
      </c>
      <c r="C65" s="1">
        <v>45465</v>
      </c>
      <c r="D65" t="s">
        <v>21</v>
      </c>
      <c r="E65" t="s">
        <v>80</v>
      </c>
      <c r="F65">
        <v>2180</v>
      </c>
      <c r="G65">
        <v>263</v>
      </c>
      <c r="H65">
        <v>387</v>
      </c>
      <c r="I65">
        <v>30520</v>
      </c>
      <c r="J65">
        <v>30059</v>
      </c>
      <c r="K65">
        <v>174</v>
      </c>
      <c r="L65" s="23">
        <f>(Posts[[#This Row],[Likes]]+Posts[[#This Row],[Shares]]+Posts[[#This Row],[Comments]])/Posts[[#This Row],[Impressions]]</f>
        <v>9.2726081258191345E-2</v>
      </c>
      <c r="M65" t="s">
        <v>34</v>
      </c>
    </row>
    <row r="66" spans="1:14" x14ac:dyDescent="0.2">
      <c r="A66" t="s">
        <v>113</v>
      </c>
      <c r="B66" t="s">
        <v>31</v>
      </c>
      <c r="C66" s="1">
        <v>45685</v>
      </c>
      <c r="D66" t="s">
        <v>58</v>
      </c>
      <c r="E66" t="s">
        <v>65</v>
      </c>
      <c r="F66">
        <v>904</v>
      </c>
      <c r="G66">
        <v>973</v>
      </c>
      <c r="H66">
        <v>63</v>
      </c>
      <c r="I66">
        <v>11752</v>
      </c>
      <c r="J66">
        <v>11580</v>
      </c>
      <c r="K66">
        <v>84</v>
      </c>
      <c r="L66" s="23">
        <f>(Posts[[#This Row],[Likes]]+Posts[[#This Row],[Shares]]+Posts[[#This Row],[Comments]])/Posts[[#This Row],[Impressions]]</f>
        <v>0.1650782845473111</v>
      </c>
      <c r="M66" t="s">
        <v>34</v>
      </c>
      <c r="N66" t="s">
        <v>29</v>
      </c>
    </row>
    <row r="67" spans="1:14" x14ac:dyDescent="0.2">
      <c r="A67" t="s">
        <v>113</v>
      </c>
      <c r="B67" t="s">
        <v>31</v>
      </c>
      <c r="C67" s="1">
        <v>45685</v>
      </c>
      <c r="D67" t="s">
        <v>58</v>
      </c>
      <c r="E67" t="s">
        <v>65</v>
      </c>
      <c r="F67">
        <v>904</v>
      </c>
      <c r="G67">
        <v>973</v>
      </c>
      <c r="H67">
        <v>63</v>
      </c>
      <c r="I67">
        <v>11752</v>
      </c>
      <c r="J67">
        <v>11580</v>
      </c>
      <c r="K67">
        <v>84</v>
      </c>
      <c r="L67" s="23">
        <f>(Posts[[#This Row],[Likes]]+Posts[[#This Row],[Shares]]+Posts[[#This Row],[Comments]])/Posts[[#This Row],[Impressions]]</f>
        <v>0.1650782845473111</v>
      </c>
      <c r="M67" t="s">
        <v>23</v>
      </c>
      <c r="N67" t="s">
        <v>29</v>
      </c>
    </row>
    <row r="68" spans="1:14" x14ac:dyDescent="0.2">
      <c r="A68" t="s">
        <v>113</v>
      </c>
      <c r="B68" t="s">
        <v>31</v>
      </c>
      <c r="C68" s="1">
        <v>45685</v>
      </c>
      <c r="D68" t="s">
        <v>58</v>
      </c>
      <c r="E68" t="s">
        <v>65</v>
      </c>
      <c r="F68">
        <v>904</v>
      </c>
      <c r="G68">
        <v>973</v>
      </c>
      <c r="H68">
        <v>63</v>
      </c>
      <c r="I68">
        <v>11752</v>
      </c>
      <c r="J68">
        <v>11580</v>
      </c>
      <c r="K68">
        <v>84</v>
      </c>
      <c r="L68" s="23">
        <f>(Posts[[#This Row],[Likes]]+Posts[[#This Row],[Shares]]+Posts[[#This Row],[Comments]])/Posts[[#This Row],[Impressions]]</f>
        <v>0.1650782845473111</v>
      </c>
      <c r="M68" t="s">
        <v>19</v>
      </c>
      <c r="N68" t="s">
        <v>29</v>
      </c>
    </row>
    <row r="69" spans="1:14" x14ac:dyDescent="0.2">
      <c r="A69" t="s">
        <v>114</v>
      </c>
      <c r="B69" t="s">
        <v>14</v>
      </c>
      <c r="C69" s="1">
        <v>45540</v>
      </c>
      <c r="D69" t="s">
        <v>58</v>
      </c>
      <c r="E69" t="s">
        <v>97</v>
      </c>
      <c r="F69">
        <v>4886</v>
      </c>
      <c r="G69">
        <v>983</v>
      </c>
      <c r="H69">
        <v>409</v>
      </c>
      <c r="I69">
        <v>43974</v>
      </c>
      <c r="J69">
        <v>43239</v>
      </c>
      <c r="K69">
        <v>65</v>
      </c>
      <c r="L69" s="23">
        <f>(Posts[[#This Row],[Likes]]+Posts[[#This Row],[Shares]]+Posts[[#This Row],[Comments]])/Posts[[#This Row],[Impressions]]</f>
        <v>0.14276618001546368</v>
      </c>
      <c r="M69" t="s">
        <v>23</v>
      </c>
      <c r="N69" t="s">
        <v>18</v>
      </c>
    </row>
    <row r="70" spans="1:14" x14ac:dyDescent="0.2">
      <c r="A70" t="s">
        <v>115</v>
      </c>
      <c r="B70" t="s">
        <v>14</v>
      </c>
      <c r="C70" s="1">
        <v>45618</v>
      </c>
      <c r="D70" t="s">
        <v>39</v>
      </c>
      <c r="E70" t="s">
        <v>42</v>
      </c>
      <c r="F70">
        <v>53</v>
      </c>
      <c r="G70">
        <v>81</v>
      </c>
      <c r="H70">
        <v>379</v>
      </c>
      <c r="I70">
        <v>954</v>
      </c>
      <c r="J70">
        <v>7</v>
      </c>
      <c r="K70">
        <v>148</v>
      </c>
      <c r="L70" s="23">
        <f>(Posts[[#This Row],[Likes]]+Posts[[#This Row],[Shares]]+Posts[[#This Row],[Comments]])/Posts[[#This Row],[Impressions]]</f>
        <v>0.53773584905660377</v>
      </c>
      <c r="M70" t="s">
        <v>23</v>
      </c>
      <c r="N70" t="s">
        <v>29</v>
      </c>
    </row>
    <row r="71" spans="1:14" x14ac:dyDescent="0.2">
      <c r="A71" t="s">
        <v>116</v>
      </c>
      <c r="B71" t="s">
        <v>14</v>
      </c>
      <c r="C71" s="1">
        <v>45504</v>
      </c>
      <c r="D71" t="s">
        <v>39</v>
      </c>
      <c r="E71" t="s">
        <v>42</v>
      </c>
      <c r="F71">
        <v>4507</v>
      </c>
      <c r="G71">
        <v>217</v>
      </c>
      <c r="H71">
        <v>13</v>
      </c>
      <c r="I71">
        <v>90140</v>
      </c>
      <c r="J71">
        <v>89591</v>
      </c>
      <c r="K71">
        <v>125</v>
      </c>
      <c r="L71" s="23">
        <f>(Posts[[#This Row],[Likes]]+Posts[[#This Row],[Shares]]+Posts[[#This Row],[Comments]])/Posts[[#This Row],[Impressions]]</f>
        <v>5.2551586421122697E-2</v>
      </c>
      <c r="M71" t="s">
        <v>17</v>
      </c>
      <c r="N71" t="s">
        <v>29</v>
      </c>
    </row>
    <row r="72" spans="1:14" x14ac:dyDescent="0.2">
      <c r="A72" t="s">
        <v>117</v>
      </c>
      <c r="B72" t="s">
        <v>38</v>
      </c>
      <c r="C72" s="1">
        <v>45521</v>
      </c>
      <c r="D72" t="s">
        <v>44</v>
      </c>
      <c r="E72" t="s">
        <v>49</v>
      </c>
      <c r="F72">
        <v>2878</v>
      </c>
      <c r="G72">
        <v>248</v>
      </c>
      <c r="H72">
        <v>416</v>
      </c>
      <c r="I72">
        <v>43170</v>
      </c>
      <c r="J72">
        <v>42667</v>
      </c>
      <c r="K72">
        <v>75</v>
      </c>
      <c r="L72" s="23">
        <f>(Posts[[#This Row],[Likes]]+Posts[[#This Row],[Shares]]+Posts[[#This Row],[Comments]])/Posts[[#This Row],[Impressions]]</f>
        <v>8.2047718322909427E-2</v>
      </c>
      <c r="M72" t="s">
        <v>17</v>
      </c>
      <c r="N72" t="s">
        <v>29</v>
      </c>
    </row>
    <row r="73" spans="1:14" x14ac:dyDescent="0.2">
      <c r="A73" t="s">
        <v>118</v>
      </c>
      <c r="B73" t="s">
        <v>31</v>
      </c>
      <c r="C73" s="1">
        <v>45744</v>
      </c>
      <c r="D73" t="s">
        <v>32</v>
      </c>
      <c r="E73" t="s">
        <v>33</v>
      </c>
      <c r="F73">
        <v>1881</v>
      </c>
      <c r="G73">
        <v>501</v>
      </c>
      <c r="H73">
        <v>99</v>
      </c>
      <c r="I73">
        <v>20691</v>
      </c>
      <c r="J73">
        <v>19987</v>
      </c>
      <c r="K73">
        <v>289</v>
      </c>
      <c r="L73" s="23">
        <f>(Posts[[#This Row],[Likes]]+Posts[[#This Row],[Shares]]+Posts[[#This Row],[Comments]])/Posts[[#This Row],[Impressions]]</f>
        <v>0.11990720603160794</v>
      </c>
      <c r="M73" t="s">
        <v>34</v>
      </c>
    </row>
    <row r="74" spans="1:14" x14ac:dyDescent="0.2">
      <c r="A74" t="s">
        <v>119</v>
      </c>
      <c r="B74" t="s">
        <v>14</v>
      </c>
      <c r="C74" s="1">
        <v>45499</v>
      </c>
      <c r="D74" t="s">
        <v>39</v>
      </c>
      <c r="E74" t="s">
        <v>42</v>
      </c>
      <c r="F74">
        <v>432</v>
      </c>
      <c r="G74">
        <v>171</v>
      </c>
      <c r="H74">
        <v>280</v>
      </c>
      <c r="I74">
        <v>3024</v>
      </c>
      <c r="J74">
        <v>2285</v>
      </c>
      <c r="K74">
        <v>184</v>
      </c>
      <c r="L74" s="23">
        <f>(Posts[[#This Row],[Likes]]+Posts[[#This Row],[Shares]]+Posts[[#This Row],[Comments]])/Posts[[#This Row],[Impressions]]</f>
        <v>0.29199735449735448</v>
      </c>
      <c r="M74" t="s">
        <v>34</v>
      </c>
      <c r="N74" t="s">
        <v>18</v>
      </c>
    </row>
    <row r="75" spans="1:14" x14ac:dyDescent="0.2">
      <c r="A75" t="s">
        <v>120</v>
      </c>
      <c r="B75" t="s">
        <v>38</v>
      </c>
      <c r="C75" s="1">
        <v>45745</v>
      </c>
      <c r="D75" t="s">
        <v>39</v>
      </c>
      <c r="E75" t="s">
        <v>40</v>
      </c>
      <c r="F75">
        <v>4712</v>
      </c>
      <c r="G75">
        <v>568</v>
      </c>
      <c r="H75">
        <v>127</v>
      </c>
      <c r="I75">
        <v>84816</v>
      </c>
      <c r="J75">
        <v>84691</v>
      </c>
      <c r="K75">
        <v>100</v>
      </c>
      <c r="L75" s="23">
        <f>(Posts[[#This Row],[Likes]]+Posts[[#This Row],[Shares]]+Posts[[#This Row],[Comments]])/Posts[[#This Row],[Impressions]]</f>
        <v>6.3749764195434822E-2</v>
      </c>
      <c r="M75" t="s">
        <v>34</v>
      </c>
      <c r="N75" t="s">
        <v>29</v>
      </c>
    </row>
    <row r="76" spans="1:14" x14ac:dyDescent="0.2">
      <c r="A76" t="s">
        <v>121</v>
      </c>
      <c r="B76" t="s">
        <v>31</v>
      </c>
      <c r="C76" s="1">
        <v>45634</v>
      </c>
      <c r="D76" t="s">
        <v>32</v>
      </c>
      <c r="E76" t="s">
        <v>33</v>
      </c>
      <c r="F76">
        <v>2610</v>
      </c>
      <c r="G76">
        <v>126</v>
      </c>
      <c r="H76">
        <v>288</v>
      </c>
      <c r="I76">
        <v>15660</v>
      </c>
      <c r="J76">
        <v>15145</v>
      </c>
      <c r="K76">
        <v>73</v>
      </c>
      <c r="L76" s="23">
        <f>(Posts[[#This Row],[Likes]]+Posts[[#This Row],[Shares]]+Posts[[#This Row],[Comments]])/Posts[[#This Row],[Impressions]]</f>
        <v>0.19310344827586207</v>
      </c>
      <c r="M76" t="s">
        <v>34</v>
      </c>
    </row>
    <row r="77" spans="1:14" x14ac:dyDescent="0.2">
      <c r="A77" t="s">
        <v>122</v>
      </c>
      <c r="B77" t="s">
        <v>14</v>
      </c>
      <c r="C77" s="1">
        <v>45724</v>
      </c>
      <c r="D77" t="s">
        <v>21</v>
      </c>
      <c r="E77" t="s">
        <v>22</v>
      </c>
      <c r="F77">
        <v>1292</v>
      </c>
      <c r="G77">
        <v>626</v>
      </c>
      <c r="H77">
        <v>496</v>
      </c>
      <c r="I77">
        <v>25840</v>
      </c>
      <c r="J77">
        <v>24916</v>
      </c>
      <c r="K77">
        <v>149</v>
      </c>
      <c r="L77" s="23">
        <f>(Posts[[#This Row],[Likes]]+Posts[[#This Row],[Shares]]+Posts[[#This Row],[Comments]])/Posts[[#This Row],[Impressions]]</f>
        <v>9.3421052631578946E-2</v>
      </c>
      <c r="M77" t="s">
        <v>17</v>
      </c>
      <c r="N77" t="s">
        <v>29</v>
      </c>
    </row>
    <row r="78" spans="1:14" x14ac:dyDescent="0.2">
      <c r="A78" t="s">
        <v>123</v>
      </c>
      <c r="B78" t="s">
        <v>38</v>
      </c>
      <c r="C78" s="1">
        <v>45749</v>
      </c>
      <c r="D78" t="s">
        <v>58</v>
      </c>
      <c r="E78" t="s">
        <v>59</v>
      </c>
      <c r="F78">
        <v>199</v>
      </c>
      <c r="G78">
        <v>772</v>
      </c>
      <c r="H78">
        <v>400</v>
      </c>
      <c r="I78">
        <v>3582</v>
      </c>
      <c r="J78">
        <v>2988</v>
      </c>
      <c r="K78">
        <v>43</v>
      </c>
      <c r="L78" s="23">
        <f>(Posts[[#This Row],[Likes]]+Posts[[#This Row],[Shares]]+Posts[[#This Row],[Comments]])/Posts[[#This Row],[Impressions]]</f>
        <v>0.38274706867671693</v>
      </c>
      <c r="M78" t="s">
        <v>23</v>
      </c>
    </row>
    <row r="79" spans="1:14" x14ac:dyDescent="0.2">
      <c r="A79" t="s">
        <v>124</v>
      </c>
      <c r="B79" t="s">
        <v>27</v>
      </c>
      <c r="C79" s="1">
        <v>45537</v>
      </c>
      <c r="D79" t="s">
        <v>39</v>
      </c>
      <c r="E79" t="s">
        <v>54</v>
      </c>
      <c r="F79">
        <v>2551</v>
      </c>
      <c r="G79">
        <v>915</v>
      </c>
      <c r="H79">
        <v>205</v>
      </c>
      <c r="I79">
        <v>30612</v>
      </c>
      <c r="J79">
        <v>30360</v>
      </c>
      <c r="K79">
        <v>227</v>
      </c>
      <c r="L79" s="23">
        <f>(Posts[[#This Row],[Likes]]+Posts[[#This Row],[Shares]]+Posts[[#This Row],[Comments]])/Posts[[#This Row],[Impressions]]</f>
        <v>0.1199202926956749</v>
      </c>
      <c r="M79" t="s">
        <v>23</v>
      </c>
      <c r="N79" t="s">
        <v>24</v>
      </c>
    </row>
    <row r="80" spans="1:14" x14ac:dyDescent="0.2">
      <c r="A80" t="s">
        <v>125</v>
      </c>
      <c r="B80" t="s">
        <v>27</v>
      </c>
      <c r="C80" s="1">
        <v>45719</v>
      </c>
      <c r="D80" t="s">
        <v>15</v>
      </c>
      <c r="E80" t="s">
        <v>28</v>
      </c>
      <c r="F80">
        <v>296</v>
      </c>
      <c r="G80">
        <v>60</v>
      </c>
      <c r="H80">
        <v>141</v>
      </c>
      <c r="I80">
        <v>5624</v>
      </c>
      <c r="J80">
        <v>5239</v>
      </c>
      <c r="K80">
        <v>88</v>
      </c>
      <c r="L80" s="23">
        <f>(Posts[[#This Row],[Likes]]+Posts[[#This Row],[Shares]]+Posts[[#This Row],[Comments]])/Posts[[#This Row],[Impressions]]</f>
        <v>8.837126600284495E-2</v>
      </c>
      <c r="M80" t="s">
        <v>34</v>
      </c>
      <c r="N80" t="s">
        <v>24</v>
      </c>
    </row>
    <row r="81" spans="1:14" x14ac:dyDescent="0.2">
      <c r="A81" t="s">
        <v>126</v>
      </c>
      <c r="B81" t="s">
        <v>38</v>
      </c>
      <c r="C81" s="1">
        <v>45583</v>
      </c>
      <c r="D81" t="s">
        <v>32</v>
      </c>
      <c r="E81" t="s">
        <v>56</v>
      </c>
      <c r="F81">
        <v>4126</v>
      </c>
      <c r="G81">
        <v>426</v>
      </c>
      <c r="H81">
        <v>486</v>
      </c>
      <c r="I81">
        <v>78394</v>
      </c>
      <c r="J81">
        <v>77798</v>
      </c>
      <c r="K81">
        <v>88</v>
      </c>
      <c r="L81" s="23">
        <f>(Posts[[#This Row],[Likes]]+Posts[[#This Row],[Shares]]+Posts[[#This Row],[Comments]])/Posts[[#This Row],[Impressions]]</f>
        <v>6.4265122330790625E-2</v>
      </c>
      <c r="M81" t="s">
        <v>17</v>
      </c>
      <c r="N81" t="s">
        <v>35</v>
      </c>
    </row>
    <row r="82" spans="1:14" x14ac:dyDescent="0.2">
      <c r="A82" t="s">
        <v>127</v>
      </c>
      <c r="B82" t="s">
        <v>27</v>
      </c>
      <c r="C82" s="1">
        <v>45593</v>
      </c>
      <c r="D82" t="s">
        <v>15</v>
      </c>
      <c r="E82" t="s">
        <v>28</v>
      </c>
      <c r="F82">
        <v>1855</v>
      </c>
      <c r="G82">
        <v>200</v>
      </c>
      <c r="H82">
        <v>174</v>
      </c>
      <c r="I82">
        <v>16695</v>
      </c>
      <c r="J82">
        <v>16330</v>
      </c>
      <c r="K82">
        <v>123</v>
      </c>
      <c r="L82" s="23">
        <f>(Posts[[#This Row],[Likes]]+Posts[[#This Row],[Shares]]+Posts[[#This Row],[Comments]])/Posts[[#This Row],[Impressions]]</f>
        <v>0.13351302785265048</v>
      </c>
      <c r="M82" t="s">
        <v>23</v>
      </c>
      <c r="N82" t="s">
        <v>29</v>
      </c>
    </row>
    <row r="83" spans="1:14" x14ac:dyDescent="0.2">
      <c r="A83" t="s">
        <v>128</v>
      </c>
      <c r="B83" t="s">
        <v>31</v>
      </c>
      <c r="C83" s="1">
        <v>45505</v>
      </c>
      <c r="D83" t="s">
        <v>15</v>
      </c>
      <c r="E83" t="s">
        <v>63</v>
      </c>
      <c r="F83">
        <v>1674</v>
      </c>
      <c r="G83">
        <v>929</v>
      </c>
      <c r="H83">
        <v>37</v>
      </c>
      <c r="I83">
        <v>21762</v>
      </c>
      <c r="J83">
        <v>20998</v>
      </c>
      <c r="K83">
        <v>255</v>
      </c>
      <c r="L83" s="23">
        <f>(Posts[[#This Row],[Likes]]+Posts[[#This Row],[Shares]]+Posts[[#This Row],[Comments]])/Posts[[#This Row],[Impressions]]</f>
        <v>0.12131237937689551</v>
      </c>
      <c r="M83" t="s">
        <v>23</v>
      </c>
      <c r="N83" t="s">
        <v>35</v>
      </c>
    </row>
    <row r="84" spans="1:14" x14ac:dyDescent="0.2">
      <c r="A84" t="s">
        <v>129</v>
      </c>
      <c r="B84" t="s">
        <v>14</v>
      </c>
      <c r="C84" s="1">
        <v>45603</v>
      </c>
      <c r="D84" t="s">
        <v>32</v>
      </c>
      <c r="E84" t="s">
        <v>100</v>
      </c>
      <c r="F84">
        <v>1121</v>
      </c>
      <c r="G84">
        <v>135</v>
      </c>
      <c r="H84">
        <v>18</v>
      </c>
      <c r="I84">
        <v>15694</v>
      </c>
      <c r="J84">
        <v>14957</v>
      </c>
      <c r="K84">
        <v>99</v>
      </c>
      <c r="L84" s="23">
        <f>(Posts[[#This Row],[Likes]]+Posts[[#This Row],[Shares]]+Posts[[#This Row],[Comments]])/Posts[[#This Row],[Impressions]]</f>
        <v>8.1177520071364848E-2</v>
      </c>
      <c r="M84" t="s">
        <v>23</v>
      </c>
      <c r="N84" t="s">
        <v>35</v>
      </c>
    </row>
    <row r="85" spans="1:14" x14ac:dyDescent="0.2">
      <c r="A85" t="s">
        <v>130</v>
      </c>
      <c r="B85" t="s">
        <v>38</v>
      </c>
      <c r="C85" s="1">
        <v>45720</v>
      </c>
      <c r="D85" t="s">
        <v>32</v>
      </c>
      <c r="E85" t="s">
        <v>56</v>
      </c>
      <c r="F85">
        <v>1249</v>
      </c>
      <c r="G85">
        <v>116</v>
      </c>
      <c r="H85">
        <v>420</v>
      </c>
      <c r="I85">
        <v>8743</v>
      </c>
      <c r="J85">
        <v>8538</v>
      </c>
      <c r="K85">
        <v>63</v>
      </c>
      <c r="L85" s="23">
        <f>(Posts[[#This Row],[Likes]]+Posts[[#This Row],[Shares]]+Posts[[#This Row],[Comments]])/Posts[[#This Row],[Impressions]]</f>
        <v>0.20416333066453163</v>
      </c>
      <c r="M85" t="s">
        <v>23</v>
      </c>
    </row>
    <row r="86" spans="1:14" x14ac:dyDescent="0.2">
      <c r="A86" t="s">
        <v>131</v>
      </c>
      <c r="B86" t="s">
        <v>14</v>
      </c>
      <c r="C86" s="1">
        <v>45460</v>
      </c>
      <c r="D86" t="s">
        <v>44</v>
      </c>
      <c r="E86" t="s">
        <v>90</v>
      </c>
      <c r="F86">
        <v>954</v>
      </c>
      <c r="G86">
        <v>324</v>
      </c>
      <c r="H86">
        <v>288</v>
      </c>
      <c r="I86">
        <v>19080</v>
      </c>
      <c r="J86">
        <v>18859</v>
      </c>
      <c r="K86">
        <v>21</v>
      </c>
      <c r="L86" s="23">
        <f>(Posts[[#This Row],[Likes]]+Posts[[#This Row],[Shares]]+Posts[[#This Row],[Comments]])/Posts[[#This Row],[Impressions]]</f>
        <v>8.2075471698113203E-2</v>
      </c>
      <c r="M86" t="s">
        <v>17</v>
      </c>
      <c r="N86" t="s">
        <v>35</v>
      </c>
    </row>
    <row r="87" spans="1:14" x14ac:dyDescent="0.2">
      <c r="A87" t="s">
        <v>132</v>
      </c>
      <c r="B87" t="s">
        <v>31</v>
      </c>
      <c r="C87" s="1">
        <v>45574</v>
      </c>
      <c r="D87" t="s">
        <v>39</v>
      </c>
      <c r="E87" t="s">
        <v>67</v>
      </c>
      <c r="F87">
        <v>3068</v>
      </c>
      <c r="G87">
        <v>137</v>
      </c>
      <c r="H87">
        <v>329</v>
      </c>
      <c r="I87">
        <v>39884</v>
      </c>
      <c r="J87">
        <v>39404</v>
      </c>
      <c r="K87">
        <v>266</v>
      </c>
      <c r="L87" s="23">
        <f>(Posts[[#This Row],[Likes]]+Posts[[#This Row],[Shares]]+Posts[[#This Row],[Comments]])/Posts[[#This Row],[Impressions]]</f>
        <v>8.860696018453515E-2</v>
      </c>
      <c r="M87" t="s">
        <v>34</v>
      </c>
      <c r="N87" t="s">
        <v>24</v>
      </c>
    </row>
    <row r="88" spans="1:14" x14ac:dyDescent="0.2">
      <c r="A88" t="s">
        <v>133</v>
      </c>
      <c r="B88" t="s">
        <v>31</v>
      </c>
      <c r="C88" s="1">
        <v>45456</v>
      </c>
      <c r="D88" t="s">
        <v>32</v>
      </c>
      <c r="E88" t="s">
        <v>33</v>
      </c>
      <c r="F88">
        <v>2103</v>
      </c>
      <c r="G88">
        <v>892</v>
      </c>
      <c r="H88">
        <v>103</v>
      </c>
      <c r="I88">
        <v>39957</v>
      </c>
      <c r="J88">
        <v>39466</v>
      </c>
      <c r="K88">
        <v>28</v>
      </c>
      <c r="L88" s="23">
        <f>(Posts[[#This Row],[Likes]]+Posts[[#This Row],[Shares]]+Posts[[#This Row],[Comments]])/Posts[[#This Row],[Impressions]]</f>
        <v>7.7533348349475686E-2</v>
      </c>
      <c r="M88" t="s">
        <v>17</v>
      </c>
    </row>
    <row r="89" spans="1:14" x14ac:dyDescent="0.2">
      <c r="A89" t="s">
        <v>134</v>
      </c>
      <c r="B89" t="s">
        <v>31</v>
      </c>
      <c r="C89" s="1">
        <v>45584</v>
      </c>
      <c r="D89" t="s">
        <v>32</v>
      </c>
      <c r="E89" t="s">
        <v>33</v>
      </c>
      <c r="F89">
        <v>1816</v>
      </c>
      <c r="G89">
        <v>29</v>
      </c>
      <c r="H89">
        <v>41</v>
      </c>
      <c r="I89">
        <v>19976</v>
      </c>
      <c r="J89">
        <v>19262</v>
      </c>
      <c r="K89">
        <v>283</v>
      </c>
      <c r="L89" s="23">
        <f>(Posts[[#This Row],[Likes]]+Posts[[#This Row],[Shares]]+Posts[[#This Row],[Comments]])/Posts[[#This Row],[Impressions]]</f>
        <v>9.4413295955146179E-2</v>
      </c>
      <c r="M89" t="s">
        <v>23</v>
      </c>
      <c r="N89" t="s">
        <v>29</v>
      </c>
    </row>
    <row r="90" spans="1:14" x14ac:dyDescent="0.2">
      <c r="A90" t="s">
        <v>135</v>
      </c>
      <c r="B90" t="s">
        <v>31</v>
      </c>
      <c r="C90" s="1">
        <v>45497</v>
      </c>
      <c r="D90" t="s">
        <v>44</v>
      </c>
      <c r="E90" t="s">
        <v>136</v>
      </c>
      <c r="F90">
        <v>725</v>
      </c>
      <c r="G90">
        <v>88</v>
      </c>
      <c r="H90">
        <v>428</v>
      </c>
      <c r="I90">
        <v>14500</v>
      </c>
      <c r="J90">
        <v>13637</v>
      </c>
      <c r="K90">
        <v>200</v>
      </c>
      <c r="L90" s="23">
        <f>(Posts[[#This Row],[Likes]]+Posts[[#This Row],[Shares]]+Posts[[#This Row],[Comments]])/Posts[[#This Row],[Impressions]]</f>
        <v>8.558620689655172E-2</v>
      </c>
      <c r="M90" t="s">
        <v>17</v>
      </c>
      <c r="N90" t="s">
        <v>29</v>
      </c>
    </row>
    <row r="91" spans="1:14" x14ac:dyDescent="0.2">
      <c r="A91" t="s">
        <v>135</v>
      </c>
      <c r="B91" t="s">
        <v>31</v>
      </c>
      <c r="C91" s="1">
        <v>45497</v>
      </c>
      <c r="D91" t="s">
        <v>44</v>
      </c>
      <c r="E91" t="s">
        <v>136</v>
      </c>
      <c r="F91">
        <v>725</v>
      </c>
      <c r="G91">
        <v>88</v>
      </c>
      <c r="H91">
        <v>428</v>
      </c>
      <c r="I91">
        <v>14500</v>
      </c>
      <c r="J91">
        <v>13637</v>
      </c>
      <c r="K91">
        <v>200</v>
      </c>
      <c r="L91" s="23">
        <f>(Posts[[#This Row],[Likes]]+Posts[[#This Row],[Shares]]+Posts[[#This Row],[Comments]])/Posts[[#This Row],[Impressions]]</f>
        <v>8.558620689655172E-2</v>
      </c>
      <c r="M91" t="s">
        <v>23</v>
      </c>
      <c r="N91" t="s">
        <v>29</v>
      </c>
    </row>
    <row r="92" spans="1:14" x14ac:dyDescent="0.2">
      <c r="A92" t="s">
        <v>135</v>
      </c>
      <c r="B92" t="s">
        <v>31</v>
      </c>
      <c r="C92" s="1">
        <v>45497</v>
      </c>
      <c r="D92" t="s">
        <v>44</v>
      </c>
      <c r="E92" t="s">
        <v>136</v>
      </c>
      <c r="F92">
        <v>725</v>
      </c>
      <c r="G92">
        <v>88</v>
      </c>
      <c r="H92">
        <v>428</v>
      </c>
      <c r="I92">
        <v>14500</v>
      </c>
      <c r="J92">
        <v>13637</v>
      </c>
      <c r="K92">
        <v>200</v>
      </c>
      <c r="L92" s="23">
        <f>(Posts[[#This Row],[Likes]]+Posts[[#This Row],[Shares]]+Posts[[#This Row],[Comments]])/Posts[[#This Row],[Impressions]]</f>
        <v>8.558620689655172E-2</v>
      </c>
      <c r="M92" t="s">
        <v>19</v>
      </c>
      <c r="N92" t="s">
        <v>29</v>
      </c>
    </row>
    <row r="93" spans="1:14" x14ac:dyDescent="0.2">
      <c r="A93" t="s">
        <v>137</v>
      </c>
      <c r="B93" t="s">
        <v>27</v>
      </c>
      <c r="C93" s="1">
        <v>45580</v>
      </c>
      <c r="D93" t="s">
        <v>58</v>
      </c>
      <c r="E93" t="s">
        <v>138</v>
      </c>
      <c r="F93">
        <v>1094</v>
      </c>
      <c r="G93">
        <v>472</v>
      </c>
      <c r="H93">
        <v>21</v>
      </c>
      <c r="I93">
        <v>9846</v>
      </c>
      <c r="J93">
        <v>9609</v>
      </c>
      <c r="K93">
        <v>112</v>
      </c>
      <c r="L93" s="23">
        <f>(Posts[[#This Row],[Likes]]+Posts[[#This Row],[Shares]]+Posts[[#This Row],[Comments]])/Posts[[#This Row],[Impressions]]</f>
        <v>0.16118220597196831</v>
      </c>
      <c r="M93" t="s">
        <v>34</v>
      </c>
    </row>
    <row r="94" spans="1:14" x14ac:dyDescent="0.2">
      <c r="A94" t="s">
        <v>139</v>
      </c>
      <c r="B94" t="s">
        <v>38</v>
      </c>
      <c r="C94" s="1">
        <v>45635</v>
      </c>
      <c r="D94" t="s">
        <v>44</v>
      </c>
      <c r="E94" t="s">
        <v>49</v>
      </c>
      <c r="F94">
        <v>1841</v>
      </c>
      <c r="G94">
        <v>851</v>
      </c>
      <c r="H94">
        <v>342</v>
      </c>
      <c r="I94">
        <v>34979</v>
      </c>
      <c r="J94">
        <v>34154</v>
      </c>
      <c r="K94">
        <v>255</v>
      </c>
      <c r="L94" s="23">
        <f>(Posts[[#This Row],[Likes]]+Posts[[#This Row],[Shares]]+Posts[[#This Row],[Comments]])/Posts[[#This Row],[Impressions]]</f>
        <v>8.6737756939878216E-2</v>
      </c>
      <c r="M94" t="s">
        <v>17</v>
      </c>
      <c r="N94" t="s">
        <v>35</v>
      </c>
    </row>
    <row r="95" spans="1:14" x14ac:dyDescent="0.2">
      <c r="A95" t="s">
        <v>140</v>
      </c>
      <c r="B95" t="s">
        <v>31</v>
      </c>
      <c r="C95" s="1">
        <v>45766</v>
      </c>
      <c r="D95" t="s">
        <v>44</v>
      </c>
      <c r="E95" t="s">
        <v>136</v>
      </c>
      <c r="F95">
        <v>4177</v>
      </c>
      <c r="G95">
        <v>569</v>
      </c>
      <c r="H95">
        <v>55</v>
      </c>
      <c r="I95">
        <v>25062</v>
      </c>
      <c r="J95">
        <v>24847</v>
      </c>
      <c r="K95">
        <v>230</v>
      </c>
      <c r="L95" s="23">
        <f>(Posts[[#This Row],[Likes]]+Posts[[#This Row],[Shares]]+Posts[[#This Row],[Comments]])/Posts[[#This Row],[Impressions]]</f>
        <v>0.19156491900087783</v>
      </c>
      <c r="M95" t="s">
        <v>17</v>
      </c>
      <c r="N95" t="s">
        <v>18</v>
      </c>
    </row>
    <row r="96" spans="1:14" x14ac:dyDescent="0.2">
      <c r="A96" t="s">
        <v>141</v>
      </c>
      <c r="B96" t="s">
        <v>27</v>
      </c>
      <c r="C96" s="1">
        <v>45684</v>
      </c>
      <c r="D96" t="s">
        <v>21</v>
      </c>
      <c r="E96" t="s">
        <v>75</v>
      </c>
      <c r="F96">
        <v>3428</v>
      </c>
      <c r="G96">
        <v>305</v>
      </c>
      <c r="H96">
        <v>85</v>
      </c>
      <c r="I96">
        <v>58276</v>
      </c>
      <c r="J96">
        <v>58052</v>
      </c>
      <c r="K96">
        <v>242</v>
      </c>
      <c r="L96" s="23">
        <f>(Posts[[#This Row],[Likes]]+Posts[[#This Row],[Shares]]+Posts[[#This Row],[Comments]])/Posts[[#This Row],[Impressions]]</f>
        <v>6.5515821264328367E-2</v>
      </c>
      <c r="M96" t="s">
        <v>34</v>
      </c>
      <c r="N96" t="s">
        <v>35</v>
      </c>
    </row>
    <row r="97" spans="1:14" x14ac:dyDescent="0.2">
      <c r="A97" t="s">
        <v>141</v>
      </c>
      <c r="B97" t="s">
        <v>27</v>
      </c>
      <c r="C97" s="1">
        <v>45684</v>
      </c>
      <c r="D97" t="s">
        <v>21</v>
      </c>
      <c r="E97" t="s">
        <v>75</v>
      </c>
      <c r="F97">
        <v>3428</v>
      </c>
      <c r="G97">
        <v>305</v>
      </c>
      <c r="H97">
        <v>85</v>
      </c>
      <c r="I97">
        <v>58276</v>
      </c>
      <c r="J97">
        <v>58052</v>
      </c>
      <c r="K97">
        <v>242</v>
      </c>
      <c r="L97" s="23">
        <f>(Posts[[#This Row],[Likes]]+Posts[[#This Row],[Shares]]+Posts[[#This Row],[Comments]])/Posts[[#This Row],[Impressions]]</f>
        <v>6.5515821264328367E-2</v>
      </c>
      <c r="M97" t="s">
        <v>25</v>
      </c>
      <c r="N97" t="s">
        <v>35</v>
      </c>
    </row>
    <row r="98" spans="1:14" x14ac:dyDescent="0.2">
      <c r="A98" t="s">
        <v>142</v>
      </c>
      <c r="B98" t="s">
        <v>14</v>
      </c>
      <c r="C98" s="1">
        <v>45449</v>
      </c>
      <c r="D98" t="s">
        <v>58</v>
      </c>
      <c r="E98" t="s">
        <v>97</v>
      </c>
      <c r="F98">
        <v>1436</v>
      </c>
      <c r="G98">
        <v>765</v>
      </c>
      <c r="H98">
        <v>496</v>
      </c>
      <c r="I98">
        <v>12924</v>
      </c>
      <c r="J98">
        <v>12701</v>
      </c>
      <c r="K98">
        <v>197</v>
      </c>
      <c r="L98" s="23">
        <f>(Posts[[#This Row],[Likes]]+Posts[[#This Row],[Shares]]+Posts[[#This Row],[Comments]])/Posts[[#This Row],[Impressions]]</f>
        <v>0.20868152274837512</v>
      </c>
      <c r="M98" t="s">
        <v>17</v>
      </c>
      <c r="N98" t="s">
        <v>29</v>
      </c>
    </row>
    <row r="99" spans="1:14" x14ac:dyDescent="0.2">
      <c r="A99" t="s">
        <v>143</v>
      </c>
      <c r="B99" t="s">
        <v>38</v>
      </c>
      <c r="C99" s="1">
        <v>45480</v>
      </c>
      <c r="D99" t="s">
        <v>32</v>
      </c>
      <c r="E99" t="s">
        <v>56</v>
      </c>
      <c r="F99">
        <v>302</v>
      </c>
      <c r="G99">
        <v>47</v>
      </c>
      <c r="H99">
        <v>430</v>
      </c>
      <c r="I99">
        <v>5738</v>
      </c>
      <c r="J99">
        <v>4890</v>
      </c>
      <c r="K99">
        <v>25</v>
      </c>
      <c r="L99" s="23">
        <f>(Posts[[#This Row],[Likes]]+Posts[[#This Row],[Shares]]+Posts[[#This Row],[Comments]])/Posts[[#This Row],[Impressions]]</f>
        <v>0.13576158940397351</v>
      </c>
      <c r="M99" t="s">
        <v>23</v>
      </c>
      <c r="N99" t="s">
        <v>35</v>
      </c>
    </row>
    <row r="100" spans="1:14" x14ac:dyDescent="0.2">
      <c r="A100" t="s">
        <v>144</v>
      </c>
      <c r="B100" t="s">
        <v>14</v>
      </c>
      <c r="C100" s="1">
        <v>45667</v>
      </c>
      <c r="D100" t="s">
        <v>44</v>
      </c>
      <c r="E100" t="s">
        <v>90</v>
      </c>
      <c r="F100">
        <v>2214</v>
      </c>
      <c r="G100">
        <v>249</v>
      </c>
      <c r="H100">
        <v>152</v>
      </c>
      <c r="I100">
        <v>15498</v>
      </c>
      <c r="J100">
        <v>14800</v>
      </c>
      <c r="K100">
        <v>180</v>
      </c>
      <c r="L100" s="23">
        <f>(Posts[[#This Row],[Likes]]+Posts[[#This Row],[Shares]]+Posts[[#This Row],[Comments]])/Posts[[#This Row],[Impressions]]</f>
        <v>0.16873144921925409</v>
      </c>
      <c r="M100" t="s">
        <v>34</v>
      </c>
    </row>
    <row r="101" spans="1:14" x14ac:dyDescent="0.2">
      <c r="A101" t="s">
        <v>145</v>
      </c>
      <c r="B101" t="s">
        <v>31</v>
      </c>
      <c r="C101" s="1">
        <v>45446</v>
      </c>
      <c r="D101" t="s">
        <v>44</v>
      </c>
      <c r="E101" t="s">
        <v>136</v>
      </c>
      <c r="F101">
        <v>3861</v>
      </c>
      <c r="G101">
        <v>960</v>
      </c>
      <c r="H101">
        <v>101</v>
      </c>
      <c r="I101">
        <v>69498</v>
      </c>
      <c r="J101">
        <v>68817</v>
      </c>
      <c r="K101">
        <v>297</v>
      </c>
      <c r="L101" s="23">
        <f>(Posts[[#This Row],[Likes]]+Posts[[#This Row],[Shares]]+Posts[[#This Row],[Comments]])/Posts[[#This Row],[Impressions]]</f>
        <v>7.0822181933293038E-2</v>
      </c>
      <c r="M101" t="s">
        <v>23</v>
      </c>
      <c r="N101" t="s">
        <v>35</v>
      </c>
    </row>
    <row r="102" spans="1:14" x14ac:dyDescent="0.2">
      <c r="A102" t="s">
        <v>146</v>
      </c>
      <c r="B102" t="s">
        <v>38</v>
      </c>
      <c r="C102" s="1">
        <v>45740</v>
      </c>
      <c r="D102" t="s">
        <v>44</v>
      </c>
      <c r="E102" t="s">
        <v>49</v>
      </c>
      <c r="F102">
        <v>1263</v>
      </c>
      <c r="G102">
        <v>397</v>
      </c>
      <c r="H102">
        <v>357</v>
      </c>
      <c r="I102">
        <v>25260</v>
      </c>
      <c r="J102">
        <v>24615</v>
      </c>
      <c r="K102">
        <v>137</v>
      </c>
      <c r="L102" s="23">
        <f>(Posts[[#This Row],[Likes]]+Posts[[#This Row],[Shares]]+Posts[[#This Row],[Comments]])/Posts[[#This Row],[Impressions]]</f>
        <v>7.984956452889945E-2</v>
      </c>
      <c r="M102" t="s">
        <v>34</v>
      </c>
      <c r="N102" t="s">
        <v>35</v>
      </c>
    </row>
    <row r="103" spans="1:14" x14ac:dyDescent="0.2">
      <c r="A103" t="s">
        <v>147</v>
      </c>
      <c r="B103" t="s">
        <v>14</v>
      </c>
      <c r="C103" s="1">
        <v>45586</v>
      </c>
      <c r="D103" t="s">
        <v>32</v>
      </c>
      <c r="E103" t="s">
        <v>100</v>
      </c>
      <c r="F103">
        <v>3801</v>
      </c>
      <c r="G103">
        <v>967</v>
      </c>
      <c r="H103">
        <v>401</v>
      </c>
      <c r="I103">
        <v>38010</v>
      </c>
      <c r="J103">
        <v>37625</v>
      </c>
      <c r="K103">
        <v>236</v>
      </c>
      <c r="L103" s="23">
        <f>(Posts[[#This Row],[Likes]]+Posts[[#This Row],[Shares]]+Posts[[#This Row],[Comments]])/Posts[[#This Row],[Impressions]]</f>
        <v>0.13599052880820836</v>
      </c>
      <c r="M103" t="s">
        <v>17</v>
      </c>
      <c r="N103" t="s">
        <v>29</v>
      </c>
    </row>
    <row r="104" spans="1:14" x14ac:dyDescent="0.2">
      <c r="A104" t="s">
        <v>148</v>
      </c>
      <c r="B104" t="s">
        <v>31</v>
      </c>
      <c r="C104" s="1">
        <v>45637</v>
      </c>
      <c r="D104" t="s">
        <v>58</v>
      </c>
      <c r="E104" t="s">
        <v>65</v>
      </c>
      <c r="F104">
        <v>1431</v>
      </c>
      <c r="G104">
        <v>951</v>
      </c>
      <c r="H104">
        <v>26</v>
      </c>
      <c r="I104">
        <v>8586</v>
      </c>
      <c r="J104">
        <v>8396</v>
      </c>
      <c r="K104">
        <v>150</v>
      </c>
      <c r="L104" s="23">
        <f>(Posts[[#This Row],[Likes]]+Posts[[#This Row],[Shares]]+Posts[[#This Row],[Comments]])/Posts[[#This Row],[Impressions]]</f>
        <v>0.28045655718611695</v>
      </c>
      <c r="M104" t="s">
        <v>34</v>
      </c>
      <c r="N104" t="s">
        <v>29</v>
      </c>
    </row>
    <row r="105" spans="1:14" x14ac:dyDescent="0.2">
      <c r="A105" t="s">
        <v>149</v>
      </c>
      <c r="B105" t="s">
        <v>31</v>
      </c>
      <c r="C105" s="1">
        <v>45603</v>
      </c>
      <c r="D105" t="s">
        <v>44</v>
      </c>
      <c r="E105" t="s">
        <v>136</v>
      </c>
      <c r="F105">
        <v>2647</v>
      </c>
      <c r="G105">
        <v>304</v>
      </c>
      <c r="H105">
        <v>170</v>
      </c>
      <c r="I105">
        <v>18529</v>
      </c>
      <c r="J105">
        <v>17841</v>
      </c>
      <c r="K105">
        <v>46</v>
      </c>
      <c r="L105" s="23">
        <f>(Posts[[#This Row],[Likes]]+Posts[[#This Row],[Shares]]+Posts[[#This Row],[Comments]])/Posts[[#This Row],[Impressions]]</f>
        <v>0.16843866371633656</v>
      </c>
      <c r="M105" t="s">
        <v>17</v>
      </c>
      <c r="N105" t="s">
        <v>29</v>
      </c>
    </row>
    <row r="106" spans="1:14" x14ac:dyDescent="0.2">
      <c r="A106" t="s">
        <v>150</v>
      </c>
      <c r="B106" t="s">
        <v>31</v>
      </c>
      <c r="C106" s="1">
        <v>45604</v>
      </c>
      <c r="D106" t="s">
        <v>21</v>
      </c>
      <c r="E106" t="s">
        <v>80</v>
      </c>
      <c r="F106">
        <v>3182</v>
      </c>
      <c r="G106">
        <v>559</v>
      </c>
      <c r="H106">
        <v>160</v>
      </c>
      <c r="I106">
        <v>57276</v>
      </c>
      <c r="J106">
        <v>56890</v>
      </c>
      <c r="K106">
        <v>163</v>
      </c>
      <c r="L106" s="23">
        <f>(Posts[[#This Row],[Likes]]+Posts[[#This Row],[Shares]]+Posts[[#This Row],[Comments]])/Posts[[#This Row],[Impressions]]</f>
        <v>6.8108806480899509E-2</v>
      </c>
      <c r="M106" t="s">
        <v>17</v>
      </c>
      <c r="N106" t="s">
        <v>35</v>
      </c>
    </row>
    <row r="107" spans="1:14" x14ac:dyDescent="0.2">
      <c r="A107" t="s">
        <v>151</v>
      </c>
      <c r="B107" t="s">
        <v>14</v>
      </c>
      <c r="C107" s="1">
        <v>45545</v>
      </c>
      <c r="D107" t="s">
        <v>44</v>
      </c>
      <c r="E107" t="s">
        <v>90</v>
      </c>
      <c r="F107">
        <v>1238</v>
      </c>
      <c r="G107">
        <v>366</v>
      </c>
      <c r="H107">
        <v>444</v>
      </c>
      <c r="I107">
        <v>19808</v>
      </c>
      <c r="J107">
        <v>19334</v>
      </c>
      <c r="K107">
        <v>123</v>
      </c>
      <c r="L107" s="23">
        <f>(Posts[[#This Row],[Likes]]+Posts[[#This Row],[Shares]]+Posts[[#This Row],[Comments]])/Posts[[#This Row],[Impressions]]</f>
        <v>0.10339256865912763</v>
      </c>
      <c r="M107" t="s">
        <v>17</v>
      </c>
    </row>
    <row r="108" spans="1:14" x14ac:dyDescent="0.2">
      <c r="A108" t="s">
        <v>152</v>
      </c>
      <c r="B108" t="s">
        <v>31</v>
      </c>
      <c r="C108" s="1">
        <v>45517</v>
      </c>
      <c r="D108" t="s">
        <v>44</v>
      </c>
      <c r="E108" t="s">
        <v>136</v>
      </c>
      <c r="F108">
        <v>4739</v>
      </c>
      <c r="G108">
        <v>527</v>
      </c>
      <c r="H108">
        <v>135</v>
      </c>
      <c r="I108">
        <v>61607</v>
      </c>
      <c r="J108">
        <v>61333</v>
      </c>
      <c r="K108">
        <v>36</v>
      </c>
      <c r="L108" s="23">
        <f>(Posts[[#This Row],[Likes]]+Posts[[#This Row],[Shares]]+Posts[[#This Row],[Comments]])/Posts[[#This Row],[Impressions]]</f>
        <v>8.7668609086629767E-2</v>
      </c>
      <c r="M108" t="s">
        <v>23</v>
      </c>
      <c r="N108" t="s">
        <v>24</v>
      </c>
    </row>
    <row r="109" spans="1:14" x14ac:dyDescent="0.2">
      <c r="A109" t="s">
        <v>152</v>
      </c>
      <c r="B109" t="s">
        <v>31</v>
      </c>
      <c r="C109" s="1">
        <v>45517</v>
      </c>
      <c r="D109" t="s">
        <v>44</v>
      </c>
      <c r="E109" t="s">
        <v>136</v>
      </c>
      <c r="F109">
        <v>4739</v>
      </c>
      <c r="G109">
        <v>527</v>
      </c>
      <c r="H109">
        <v>135</v>
      </c>
      <c r="I109">
        <v>61607</v>
      </c>
      <c r="J109">
        <v>61333</v>
      </c>
      <c r="K109">
        <v>36</v>
      </c>
      <c r="L109" s="23">
        <f>(Posts[[#This Row],[Likes]]+Posts[[#This Row],[Shares]]+Posts[[#This Row],[Comments]])/Posts[[#This Row],[Impressions]]</f>
        <v>8.7668609086629767E-2</v>
      </c>
      <c r="M109" t="s">
        <v>19</v>
      </c>
      <c r="N109" t="s">
        <v>24</v>
      </c>
    </row>
    <row r="110" spans="1:14" x14ac:dyDescent="0.2">
      <c r="A110" t="s">
        <v>153</v>
      </c>
      <c r="B110" t="s">
        <v>14</v>
      </c>
      <c r="C110" s="1">
        <v>45453</v>
      </c>
      <c r="D110" t="s">
        <v>32</v>
      </c>
      <c r="E110" t="s">
        <v>100</v>
      </c>
      <c r="F110">
        <v>1575</v>
      </c>
      <c r="G110">
        <v>771</v>
      </c>
      <c r="H110">
        <v>486</v>
      </c>
      <c r="I110">
        <v>25200</v>
      </c>
      <c r="J110">
        <v>24826</v>
      </c>
      <c r="K110">
        <v>17</v>
      </c>
      <c r="L110" s="23">
        <f>(Posts[[#This Row],[Likes]]+Posts[[#This Row],[Shares]]+Posts[[#This Row],[Comments]])/Posts[[#This Row],[Impressions]]</f>
        <v>0.11238095238095239</v>
      </c>
      <c r="M110" t="s">
        <v>17</v>
      </c>
      <c r="N110" t="s">
        <v>35</v>
      </c>
    </row>
    <row r="111" spans="1:14" x14ac:dyDescent="0.2">
      <c r="A111" t="s">
        <v>154</v>
      </c>
      <c r="B111" t="s">
        <v>27</v>
      </c>
      <c r="C111" s="1">
        <v>45475</v>
      </c>
      <c r="D111" t="s">
        <v>39</v>
      </c>
      <c r="E111" t="s">
        <v>54</v>
      </c>
      <c r="F111">
        <v>4171</v>
      </c>
      <c r="G111">
        <v>548</v>
      </c>
      <c r="H111">
        <v>86</v>
      </c>
      <c r="I111">
        <v>66736</v>
      </c>
      <c r="J111">
        <v>66634</v>
      </c>
      <c r="K111">
        <v>173</v>
      </c>
      <c r="L111" s="23">
        <f>(Posts[[#This Row],[Likes]]+Posts[[#This Row],[Shares]]+Posts[[#This Row],[Comments]])/Posts[[#This Row],[Impressions]]</f>
        <v>7.2000119875329657E-2</v>
      </c>
      <c r="M111" t="s">
        <v>17</v>
      </c>
      <c r="N111" t="s">
        <v>29</v>
      </c>
    </row>
    <row r="112" spans="1:14" x14ac:dyDescent="0.2">
      <c r="A112" t="s">
        <v>155</v>
      </c>
      <c r="B112" t="s">
        <v>27</v>
      </c>
      <c r="C112" s="1">
        <v>45698</v>
      </c>
      <c r="D112" t="s">
        <v>58</v>
      </c>
      <c r="E112" t="s">
        <v>138</v>
      </c>
      <c r="F112">
        <v>1766</v>
      </c>
      <c r="G112">
        <v>92</v>
      </c>
      <c r="H112">
        <v>424</v>
      </c>
      <c r="I112">
        <v>24724</v>
      </c>
      <c r="J112">
        <v>24333</v>
      </c>
      <c r="K112">
        <v>52</v>
      </c>
      <c r="L112" s="23">
        <f>(Posts[[#This Row],[Likes]]+Posts[[#This Row],[Shares]]+Posts[[#This Row],[Comments]])/Posts[[#This Row],[Impressions]]</f>
        <v>9.2298980747451867E-2</v>
      </c>
      <c r="M112" t="s">
        <v>34</v>
      </c>
    </row>
    <row r="113" spans="1:14" x14ac:dyDescent="0.2">
      <c r="A113" t="s">
        <v>156</v>
      </c>
      <c r="B113" t="s">
        <v>27</v>
      </c>
      <c r="C113" s="1">
        <v>45583</v>
      </c>
      <c r="D113" t="s">
        <v>58</v>
      </c>
      <c r="E113" t="s">
        <v>138</v>
      </c>
      <c r="F113">
        <v>4450</v>
      </c>
      <c r="G113">
        <v>983</v>
      </c>
      <c r="H113">
        <v>143</v>
      </c>
      <c r="I113">
        <v>75650</v>
      </c>
      <c r="J113">
        <v>75008</v>
      </c>
      <c r="K113">
        <v>12</v>
      </c>
      <c r="L113" s="23">
        <f>(Posts[[#This Row],[Likes]]+Posts[[#This Row],[Shares]]+Posts[[#This Row],[Comments]])/Posts[[#This Row],[Impressions]]</f>
        <v>7.3707865168539333E-2</v>
      </c>
      <c r="M113" t="s">
        <v>17</v>
      </c>
      <c r="N113" t="s">
        <v>29</v>
      </c>
    </row>
    <row r="114" spans="1:14" x14ac:dyDescent="0.2">
      <c r="A114" t="s">
        <v>157</v>
      </c>
      <c r="B114" t="s">
        <v>14</v>
      </c>
      <c r="C114" s="1">
        <v>45553</v>
      </c>
      <c r="D114" t="s">
        <v>15</v>
      </c>
      <c r="E114" t="s">
        <v>16</v>
      </c>
      <c r="F114">
        <v>1000</v>
      </c>
      <c r="G114">
        <v>978</v>
      </c>
      <c r="H114">
        <v>162</v>
      </c>
      <c r="I114">
        <v>6000</v>
      </c>
      <c r="J114">
        <v>5221</v>
      </c>
      <c r="K114">
        <v>223</v>
      </c>
      <c r="L114" s="23">
        <f>(Posts[[#This Row],[Likes]]+Posts[[#This Row],[Shares]]+Posts[[#This Row],[Comments]])/Posts[[#This Row],[Impressions]]</f>
        <v>0.35666666666666669</v>
      </c>
      <c r="M114" t="s">
        <v>34</v>
      </c>
      <c r="N114" t="s">
        <v>24</v>
      </c>
    </row>
    <row r="115" spans="1:14" x14ac:dyDescent="0.2">
      <c r="A115" t="s">
        <v>158</v>
      </c>
      <c r="B115" t="s">
        <v>38</v>
      </c>
      <c r="C115" s="1">
        <v>45454</v>
      </c>
      <c r="D115" t="s">
        <v>44</v>
      </c>
      <c r="E115" t="s">
        <v>49</v>
      </c>
      <c r="F115">
        <v>3689</v>
      </c>
      <c r="G115">
        <v>48</v>
      </c>
      <c r="H115">
        <v>306</v>
      </c>
      <c r="I115">
        <v>40579</v>
      </c>
      <c r="J115">
        <v>39588</v>
      </c>
      <c r="K115">
        <v>212</v>
      </c>
      <c r="L115" s="23">
        <f>(Posts[[#This Row],[Likes]]+Posts[[#This Row],[Shares]]+Posts[[#This Row],[Comments]])/Posts[[#This Row],[Impressions]]</f>
        <v>9.9632815002833983E-2</v>
      </c>
      <c r="M115" t="s">
        <v>34</v>
      </c>
      <c r="N115" t="s">
        <v>24</v>
      </c>
    </row>
    <row r="116" spans="1:14" x14ac:dyDescent="0.2">
      <c r="A116" t="s">
        <v>159</v>
      </c>
      <c r="B116" t="s">
        <v>27</v>
      </c>
      <c r="C116" s="1">
        <v>45739</v>
      </c>
      <c r="D116" t="s">
        <v>32</v>
      </c>
      <c r="E116" t="s">
        <v>103</v>
      </c>
      <c r="F116">
        <v>3655</v>
      </c>
      <c r="G116">
        <v>568</v>
      </c>
      <c r="H116">
        <v>286</v>
      </c>
      <c r="I116">
        <v>32895</v>
      </c>
      <c r="J116">
        <v>32015</v>
      </c>
      <c r="K116">
        <v>199</v>
      </c>
      <c r="L116" s="23">
        <f>(Posts[[#This Row],[Likes]]+Posts[[#This Row],[Shares]]+Posts[[#This Row],[Comments]])/Posts[[#This Row],[Impressions]]</f>
        <v>0.13707250341997265</v>
      </c>
      <c r="M116" t="s">
        <v>23</v>
      </c>
      <c r="N116" t="s">
        <v>29</v>
      </c>
    </row>
    <row r="117" spans="1:14" x14ac:dyDescent="0.2">
      <c r="A117" t="s">
        <v>160</v>
      </c>
      <c r="B117" t="s">
        <v>31</v>
      </c>
      <c r="C117" s="1">
        <v>45457</v>
      </c>
      <c r="D117" t="s">
        <v>39</v>
      </c>
      <c r="E117" t="s">
        <v>67</v>
      </c>
      <c r="F117">
        <v>498</v>
      </c>
      <c r="G117">
        <v>38</v>
      </c>
      <c r="H117">
        <v>42</v>
      </c>
      <c r="I117">
        <v>4482</v>
      </c>
      <c r="J117">
        <v>3647</v>
      </c>
      <c r="K117">
        <v>32</v>
      </c>
      <c r="L117" s="23">
        <f>(Posts[[#This Row],[Likes]]+Posts[[#This Row],[Shares]]+Posts[[#This Row],[Comments]])/Posts[[#This Row],[Impressions]]</f>
        <v>0.12896028558679162</v>
      </c>
      <c r="M117" t="s">
        <v>17</v>
      </c>
      <c r="N117" t="s">
        <v>18</v>
      </c>
    </row>
    <row r="118" spans="1:14" x14ac:dyDescent="0.2">
      <c r="A118" t="s">
        <v>161</v>
      </c>
      <c r="B118" t="s">
        <v>31</v>
      </c>
      <c r="C118" s="1">
        <v>45692</v>
      </c>
      <c r="D118" t="s">
        <v>44</v>
      </c>
      <c r="E118" t="s">
        <v>136</v>
      </c>
      <c r="F118">
        <v>4619</v>
      </c>
      <c r="G118">
        <v>821</v>
      </c>
      <c r="H118">
        <v>499</v>
      </c>
      <c r="I118">
        <v>69285</v>
      </c>
      <c r="J118">
        <v>69141</v>
      </c>
      <c r="K118">
        <v>298</v>
      </c>
      <c r="L118" s="23">
        <f>(Posts[[#This Row],[Likes]]+Posts[[#This Row],[Shares]]+Posts[[#This Row],[Comments]])/Posts[[#This Row],[Impressions]]</f>
        <v>8.5718409468138843E-2</v>
      </c>
      <c r="M118" t="s">
        <v>23</v>
      </c>
      <c r="N118" t="s">
        <v>35</v>
      </c>
    </row>
    <row r="119" spans="1:14" x14ac:dyDescent="0.2">
      <c r="A119" t="s">
        <v>162</v>
      </c>
      <c r="B119" t="s">
        <v>27</v>
      </c>
      <c r="C119" s="1">
        <v>45464</v>
      </c>
      <c r="D119" t="s">
        <v>44</v>
      </c>
      <c r="E119" t="s">
        <v>45</v>
      </c>
      <c r="F119">
        <v>4832</v>
      </c>
      <c r="G119">
        <v>893</v>
      </c>
      <c r="H119">
        <v>10</v>
      </c>
      <c r="I119">
        <v>91808</v>
      </c>
      <c r="J119">
        <v>91296</v>
      </c>
      <c r="K119">
        <v>182</v>
      </c>
      <c r="L119" s="23">
        <f>(Posts[[#This Row],[Likes]]+Posts[[#This Row],[Shares]]+Posts[[#This Row],[Comments]])/Posts[[#This Row],[Impressions]]</f>
        <v>6.2467323109097243E-2</v>
      </c>
      <c r="M119" t="s">
        <v>23</v>
      </c>
    </row>
    <row r="120" spans="1:14" x14ac:dyDescent="0.2">
      <c r="A120" t="s">
        <v>163</v>
      </c>
      <c r="B120" t="s">
        <v>14</v>
      </c>
      <c r="C120" s="1">
        <v>45741</v>
      </c>
      <c r="D120" t="s">
        <v>58</v>
      </c>
      <c r="E120" t="s">
        <v>97</v>
      </c>
      <c r="F120">
        <v>4050</v>
      </c>
      <c r="G120">
        <v>871</v>
      </c>
      <c r="H120">
        <v>347</v>
      </c>
      <c r="I120">
        <v>52650</v>
      </c>
      <c r="J120">
        <v>51755</v>
      </c>
      <c r="K120">
        <v>209</v>
      </c>
      <c r="L120" s="23">
        <f>(Posts[[#This Row],[Likes]]+Posts[[#This Row],[Shares]]+Posts[[#This Row],[Comments]])/Posts[[#This Row],[Impressions]]</f>
        <v>0.10005698005698006</v>
      </c>
      <c r="M120" t="s">
        <v>23</v>
      </c>
      <c r="N120" t="s">
        <v>24</v>
      </c>
    </row>
    <row r="121" spans="1:14" x14ac:dyDescent="0.2">
      <c r="A121" t="s">
        <v>164</v>
      </c>
      <c r="B121" t="s">
        <v>14</v>
      </c>
      <c r="C121" s="1">
        <v>45512</v>
      </c>
      <c r="D121" t="s">
        <v>32</v>
      </c>
      <c r="E121" t="s">
        <v>100</v>
      </c>
      <c r="F121">
        <v>3649</v>
      </c>
      <c r="G121">
        <v>215</v>
      </c>
      <c r="H121">
        <v>413</v>
      </c>
      <c r="I121">
        <v>25543</v>
      </c>
      <c r="J121">
        <v>24963</v>
      </c>
      <c r="K121">
        <v>167</v>
      </c>
      <c r="L121" s="23">
        <f>(Posts[[#This Row],[Likes]]+Posts[[#This Row],[Shares]]+Posts[[#This Row],[Comments]])/Posts[[#This Row],[Impressions]]</f>
        <v>0.16744313510550835</v>
      </c>
      <c r="M121" t="s">
        <v>17</v>
      </c>
      <c r="N121" t="s">
        <v>29</v>
      </c>
    </row>
    <row r="122" spans="1:14" x14ac:dyDescent="0.2">
      <c r="A122" t="s">
        <v>165</v>
      </c>
      <c r="B122" t="s">
        <v>31</v>
      </c>
      <c r="C122" s="1">
        <v>45502</v>
      </c>
      <c r="D122" t="s">
        <v>15</v>
      </c>
      <c r="E122" t="s">
        <v>63</v>
      </c>
      <c r="F122">
        <v>3523</v>
      </c>
      <c r="G122">
        <v>753</v>
      </c>
      <c r="H122">
        <v>482</v>
      </c>
      <c r="I122">
        <v>38753</v>
      </c>
      <c r="J122">
        <v>38579</v>
      </c>
      <c r="K122">
        <v>270</v>
      </c>
      <c r="L122" s="23">
        <f>(Posts[[#This Row],[Likes]]+Posts[[#This Row],[Shares]]+Posts[[#This Row],[Comments]])/Posts[[#This Row],[Impressions]]</f>
        <v>0.12277759141227776</v>
      </c>
      <c r="M122" t="s">
        <v>34</v>
      </c>
      <c r="N122" t="s">
        <v>24</v>
      </c>
    </row>
    <row r="123" spans="1:14" x14ac:dyDescent="0.2">
      <c r="A123" t="s">
        <v>166</v>
      </c>
      <c r="B123" t="s">
        <v>27</v>
      </c>
      <c r="C123" s="1">
        <v>45619</v>
      </c>
      <c r="D123" t="s">
        <v>44</v>
      </c>
      <c r="E123" t="s">
        <v>45</v>
      </c>
      <c r="F123">
        <v>2719</v>
      </c>
      <c r="G123">
        <v>17</v>
      </c>
      <c r="H123">
        <v>285</v>
      </c>
      <c r="I123">
        <v>40785</v>
      </c>
      <c r="J123">
        <v>40281</v>
      </c>
      <c r="K123">
        <v>40</v>
      </c>
      <c r="L123" s="23">
        <f>(Posts[[#This Row],[Likes]]+Posts[[#This Row],[Shares]]+Posts[[#This Row],[Comments]])/Posts[[#This Row],[Impressions]]</f>
        <v>7.4071349760941527E-2</v>
      </c>
      <c r="M123" t="s">
        <v>23</v>
      </c>
      <c r="N123" t="s">
        <v>24</v>
      </c>
    </row>
    <row r="124" spans="1:14" x14ac:dyDescent="0.2">
      <c r="A124" t="s">
        <v>167</v>
      </c>
      <c r="B124" t="s">
        <v>14</v>
      </c>
      <c r="C124" s="1">
        <v>45570</v>
      </c>
      <c r="D124" t="s">
        <v>32</v>
      </c>
      <c r="E124" t="s">
        <v>100</v>
      </c>
      <c r="F124">
        <v>1957</v>
      </c>
      <c r="G124">
        <v>877</v>
      </c>
      <c r="H124">
        <v>238</v>
      </c>
      <c r="I124">
        <v>17613</v>
      </c>
      <c r="J124">
        <v>16865</v>
      </c>
      <c r="K124">
        <v>297</v>
      </c>
      <c r="L124" s="23">
        <f>(Posts[[#This Row],[Likes]]+Posts[[#This Row],[Shares]]+Posts[[#This Row],[Comments]])/Posts[[#This Row],[Impressions]]</f>
        <v>0.17441662408448305</v>
      </c>
      <c r="M124" t="s">
        <v>17</v>
      </c>
      <c r="N124" t="s">
        <v>29</v>
      </c>
    </row>
    <row r="125" spans="1:14" x14ac:dyDescent="0.2">
      <c r="A125" t="s">
        <v>168</v>
      </c>
      <c r="B125" t="s">
        <v>14</v>
      </c>
      <c r="C125" s="1">
        <v>45567</v>
      </c>
      <c r="D125" t="s">
        <v>39</v>
      </c>
      <c r="E125" t="s">
        <v>42</v>
      </c>
      <c r="F125">
        <v>4419</v>
      </c>
      <c r="G125">
        <v>236</v>
      </c>
      <c r="H125">
        <v>369</v>
      </c>
      <c r="I125">
        <v>44190</v>
      </c>
      <c r="J125">
        <v>43582</v>
      </c>
      <c r="K125">
        <v>10</v>
      </c>
      <c r="L125" s="23">
        <f>(Posts[[#This Row],[Likes]]+Posts[[#This Row],[Shares]]+Posts[[#This Row],[Comments]])/Posts[[#This Row],[Impressions]]</f>
        <v>0.11369088028965829</v>
      </c>
      <c r="M125" t="s">
        <v>34</v>
      </c>
      <c r="N125" t="s">
        <v>18</v>
      </c>
    </row>
    <row r="126" spans="1:14" x14ac:dyDescent="0.2">
      <c r="A126" t="s">
        <v>169</v>
      </c>
      <c r="B126" t="s">
        <v>14</v>
      </c>
      <c r="C126" s="1">
        <v>45610</v>
      </c>
      <c r="D126" t="s">
        <v>32</v>
      </c>
      <c r="E126" t="s">
        <v>100</v>
      </c>
      <c r="F126">
        <v>4000</v>
      </c>
      <c r="G126">
        <v>689</v>
      </c>
      <c r="H126">
        <v>488</v>
      </c>
      <c r="I126">
        <v>40000</v>
      </c>
      <c r="J126">
        <v>39569</v>
      </c>
      <c r="K126">
        <v>44</v>
      </c>
      <c r="L126" s="23">
        <f>(Posts[[#This Row],[Likes]]+Posts[[#This Row],[Shares]]+Posts[[#This Row],[Comments]])/Posts[[#This Row],[Impressions]]</f>
        <v>0.12942500000000001</v>
      </c>
      <c r="M126" t="s">
        <v>17</v>
      </c>
      <c r="N126" t="s">
        <v>18</v>
      </c>
    </row>
    <row r="127" spans="1:14" x14ac:dyDescent="0.2">
      <c r="A127" t="s">
        <v>170</v>
      </c>
      <c r="B127" t="s">
        <v>14</v>
      </c>
      <c r="C127" s="1">
        <v>45788</v>
      </c>
      <c r="D127" t="s">
        <v>44</v>
      </c>
      <c r="E127" t="s">
        <v>90</v>
      </c>
      <c r="F127">
        <v>2493</v>
      </c>
      <c r="G127">
        <v>97</v>
      </c>
      <c r="H127">
        <v>44</v>
      </c>
      <c r="I127">
        <v>42381</v>
      </c>
      <c r="J127">
        <v>41991</v>
      </c>
      <c r="K127">
        <v>242</v>
      </c>
      <c r="L127" s="23">
        <f>(Posts[[#This Row],[Likes]]+Posts[[#This Row],[Shares]]+Posts[[#This Row],[Comments]])/Posts[[#This Row],[Impressions]]</f>
        <v>6.2150491965739366E-2</v>
      </c>
      <c r="M127" t="s">
        <v>23</v>
      </c>
      <c r="N127" t="s">
        <v>35</v>
      </c>
    </row>
    <row r="128" spans="1:14" x14ac:dyDescent="0.2">
      <c r="A128" t="s">
        <v>170</v>
      </c>
      <c r="B128" t="s">
        <v>14</v>
      </c>
      <c r="C128" s="1">
        <v>45788</v>
      </c>
      <c r="D128" t="s">
        <v>44</v>
      </c>
      <c r="E128" t="s">
        <v>90</v>
      </c>
      <c r="F128">
        <v>2493</v>
      </c>
      <c r="G128">
        <v>97</v>
      </c>
      <c r="H128">
        <v>44</v>
      </c>
      <c r="I128">
        <v>42381</v>
      </c>
      <c r="J128">
        <v>41991</v>
      </c>
      <c r="K128">
        <v>242</v>
      </c>
      <c r="L128" s="23">
        <f>(Posts[[#This Row],[Likes]]+Posts[[#This Row],[Shares]]+Posts[[#This Row],[Comments]])/Posts[[#This Row],[Impressions]]</f>
        <v>6.2150491965739366E-2</v>
      </c>
      <c r="M128" t="s">
        <v>19</v>
      </c>
      <c r="N128" t="s">
        <v>35</v>
      </c>
    </row>
    <row r="129" spans="1:14" x14ac:dyDescent="0.2">
      <c r="A129" t="s">
        <v>171</v>
      </c>
      <c r="B129" t="s">
        <v>27</v>
      </c>
      <c r="C129" s="1">
        <v>45734</v>
      </c>
      <c r="D129" t="s">
        <v>15</v>
      </c>
      <c r="E129" t="s">
        <v>28</v>
      </c>
      <c r="F129">
        <v>3704</v>
      </c>
      <c r="G129">
        <v>186</v>
      </c>
      <c r="H129">
        <v>458</v>
      </c>
      <c r="I129">
        <v>25928</v>
      </c>
      <c r="J129">
        <v>25081</v>
      </c>
      <c r="K129">
        <v>131</v>
      </c>
      <c r="L129" s="23">
        <f>(Posts[[#This Row],[Likes]]+Posts[[#This Row],[Shares]]+Posts[[#This Row],[Comments]])/Posts[[#This Row],[Impressions]]</f>
        <v>0.16769515581610614</v>
      </c>
      <c r="M129" t="s">
        <v>23</v>
      </c>
    </row>
    <row r="130" spans="1:14" x14ac:dyDescent="0.2">
      <c r="A130" t="s">
        <v>172</v>
      </c>
      <c r="B130" t="s">
        <v>14</v>
      </c>
      <c r="C130" s="1">
        <v>45600</v>
      </c>
      <c r="D130" t="s">
        <v>44</v>
      </c>
      <c r="E130" t="s">
        <v>90</v>
      </c>
      <c r="F130">
        <v>1606</v>
      </c>
      <c r="G130">
        <v>451</v>
      </c>
      <c r="H130">
        <v>405</v>
      </c>
      <c r="I130">
        <v>20878</v>
      </c>
      <c r="J130">
        <v>20190</v>
      </c>
      <c r="K130">
        <v>219</v>
      </c>
      <c r="L130" s="23">
        <f>(Posts[[#This Row],[Likes]]+Posts[[#This Row],[Shares]]+Posts[[#This Row],[Comments]])/Posts[[#This Row],[Impressions]]</f>
        <v>0.11792317271769326</v>
      </c>
      <c r="M130" t="s">
        <v>34</v>
      </c>
      <c r="N130" t="s">
        <v>35</v>
      </c>
    </row>
    <row r="131" spans="1:14" x14ac:dyDescent="0.2">
      <c r="A131" t="s">
        <v>173</v>
      </c>
      <c r="B131" t="s">
        <v>38</v>
      </c>
      <c r="C131" s="1">
        <v>45600</v>
      </c>
      <c r="D131" t="s">
        <v>44</v>
      </c>
      <c r="E131" t="s">
        <v>49</v>
      </c>
      <c r="F131">
        <v>4551</v>
      </c>
      <c r="G131">
        <v>714</v>
      </c>
      <c r="H131">
        <v>207</v>
      </c>
      <c r="I131">
        <v>68265</v>
      </c>
      <c r="J131">
        <v>67754</v>
      </c>
      <c r="K131">
        <v>57</v>
      </c>
      <c r="L131" s="23">
        <f>(Posts[[#This Row],[Likes]]+Posts[[#This Row],[Shares]]+Posts[[#This Row],[Comments]])/Posts[[#This Row],[Impressions]]</f>
        <v>8.0158206987475278E-2</v>
      </c>
      <c r="M131" t="s">
        <v>17</v>
      </c>
      <c r="N131" t="s">
        <v>29</v>
      </c>
    </row>
    <row r="132" spans="1:14" x14ac:dyDescent="0.2">
      <c r="A132" t="s">
        <v>174</v>
      </c>
      <c r="B132" t="s">
        <v>31</v>
      </c>
      <c r="C132" s="1">
        <v>45695</v>
      </c>
      <c r="D132" t="s">
        <v>15</v>
      </c>
      <c r="E132" t="s">
        <v>63</v>
      </c>
      <c r="F132">
        <v>1970</v>
      </c>
      <c r="G132">
        <v>675</v>
      </c>
      <c r="H132">
        <v>478</v>
      </c>
      <c r="I132">
        <v>9850</v>
      </c>
      <c r="J132">
        <v>8924</v>
      </c>
      <c r="K132">
        <v>117</v>
      </c>
      <c r="L132" s="23">
        <f>(Posts[[#This Row],[Likes]]+Posts[[#This Row],[Shares]]+Posts[[#This Row],[Comments]])/Posts[[#This Row],[Impressions]]</f>
        <v>0.31705583756345179</v>
      </c>
      <c r="M132" t="s">
        <v>17</v>
      </c>
    </row>
    <row r="133" spans="1:14" x14ac:dyDescent="0.2">
      <c r="A133" t="s">
        <v>175</v>
      </c>
      <c r="B133" t="s">
        <v>38</v>
      </c>
      <c r="C133" s="1">
        <v>45586</v>
      </c>
      <c r="D133" t="s">
        <v>32</v>
      </c>
      <c r="E133" t="s">
        <v>56</v>
      </c>
      <c r="F133">
        <v>780</v>
      </c>
      <c r="G133">
        <v>928</v>
      </c>
      <c r="H133">
        <v>301</v>
      </c>
      <c r="I133">
        <v>8580</v>
      </c>
      <c r="J133">
        <v>8081</v>
      </c>
      <c r="K133">
        <v>91</v>
      </c>
      <c r="L133" s="23">
        <f>(Posts[[#This Row],[Likes]]+Posts[[#This Row],[Shares]]+Posts[[#This Row],[Comments]])/Posts[[#This Row],[Impressions]]</f>
        <v>0.23414918414918415</v>
      </c>
      <c r="M133" t="s">
        <v>34</v>
      </c>
      <c r="N133" t="s">
        <v>29</v>
      </c>
    </row>
    <row r="134" spans="1:14" x14ac:dyDescent="0.2">
      <c r="A134" t="s">
        <v>176</v>
      </c>
      <c r="B134" t="s">
        <v>31</v>
      </c>
      <c r="C134" s="1">
        <v>45502</v>
      </c>
      <c r="D134" t="s">
        <v>32</v>
      </c>
      <c r="E134" t="s">
        <v>33</v>
      </c>
      <c r="F134">
        <v>498</v>
      </c>
      <c r="G134">
        <v>701</v>
      </c>
      <c r="H134">
        <v>412</v>
      </c>
      <c r="I134">
        <v>4980</v>
      </c>
      <c r="J134">
        <v>4185</v>
      </c>
      <c r="K134">
        <v>185</v>
      </c>
      <c r="L134" s="23">
        <f>(Posts[[#This Row],[Likes]]+Posts[[#This Row],[Shares]]+Posts[[#This Row],[Comments]])/Posts[[#This Row],[Impressions]]</f>
        <v>0.32349397590361445</v>
      </c>
      <c r="M134" t="s">
        <v>17</v>
      </c>
    </row>
    <row r="135" spans="1:14" x14ac:dyDescent="0.2">
      <c r="A135" t="s">
        <v>177</v>
      </c>
      <c r="B135" t="s">
        <v>31</v>
      </c>
      <c r="C135" s="1">
        <v>45567</v>
      </c>
      <c r="D135" t="s">
        <v>21</v>
      </c>
      <c r="E135" t="s">
        <v>80</v>
      </c>
      <c r="F135">
        <v>3432</v>
      </c>
      <c r="G135">
        <v>869</v>
      </c>
      <c r="H135">
        <v>123</v>
      </c>
      <c r="I135">
        <v>54912</v>
      </c>
      <c r="J135">
        <v>53916</v>
      </c>
      <c r="K135">
        <v>264</v>
      </c>
      <c r="L135" s="23">
        <f>(Posts[[#This Row],[Likes]]+Posts[[#This Row],[Shares]]+Posts[[#This Row],[Comments]])/Posts[[#This Row],[Impressions]]</f>
        <v>8.0565268065268064E-2</v>
      </c>
      <c r="M135" t="s">
        <v>34</v>
      </c>
      <c r="N135" t="s">
        <v>24</v>
      </c>
    </row>
    <row r="136" spans="1:14" x14ac:dyDescent="0.2">
      <c r="A136" t="s">
        <v>178</v>
      </c>
      <c r="B136" t="s">
        <v>31</v>
      </c>
      <c r="C136" s="1">
        <v>45457</v>
      </c>
      <c r="D136" t="s">
        <v>32</v>
      </c>
      <c r="E136" t="s">
        <v>33</v>
      </c>
      <c r="F136">
        <v>4363</v>
      </c>
      <c r="G136">
        <v>649</v>
      </c>
      <c r="H136">
        <v>140</v>
      </c>
      <c r="I136">
        <v>21815</v>
      </c>
      <c r="J136">
        <v>21481</v>
      </c>
      <c r="K136">
        <v>157</v>
      </c>
      <c r="L136" s="23">
        <f>(Posts[[#This Row],[Likes]]+Posts[[#This Row],[Shares]]+Posts[[#This Row],[Comments]])/Posts[[#This Row],[Impressions]]</f>
        <v>0.23616777446710979</v>
      </c>
      <c r="M136" t="s">
        <v>34</v>
      </c>
      <c r="N136" t="s">
        <v>18</v>
      </c>
    </row>
    <row r="137" spans="1:14" x14ac:dyDescent="0.2">
      <c r="A137" t="s">
        <v>179</v>
      </c>
      <c r="B137" t="s">
        <v>27</v>
      </c>
      <c r="C137" s="1">
        <v>45753</v>
      </c>
      <c r="D137" t="s">
        <v>39</v>
      </c>
      <c r="E137" t="s">
        <v>54</v>
      </c>
      <c r="F137">
        <v>736</v>
      </c>
      <c r="G137">
        <v>771</v>
      </c>
      <c r="H137">
        <v>225</v>
      </c>
      <c r="I137">
        <v>5152</v>
      </c>
      <c r="J137">
        <v>4706</v>
      </c>
      <c r="K137">
        <v>19</v>
      </c>
      <c r="L137" s="23">
        <f>(Posts[[#This Row],[Likes]]+Posts[[#This Row],[Shares]]+Posts[[#This Row],[Comments]])/Posts[[#This Row],[Impressions]]</f>
        <v>0.33618012422360249</v>
      </c>
      <c r="M137" t="s">
        <v>34</v>
      </c>
      <c r="N137" t="s">
        <v>18</v>
      </c>
    </row>
    <row r="138" spans="1:14" x14ac:dyDescent="0.2">
      <c r="A138" t="s">
        <v>180</v>
      </c>
      <c r="B138" t="s">
        <v>14</v>
      </c>
      <c r="C138" s="1">
        <v>45543</v>
      </c>
      <c r="D138" t="s">
        <v>39</v>
      </c>
      <c r="E138" t="s">
        <v>42</v>
      </c>
      <c r="F138">
        <v>3811</v>
      </c>
      <c r="G138">
        <v>866</v>
      </c>
      <c r="H138">
        <v>216</v>
      </c>
      <c r="I138">
        <v>34299</v>
      </c>
      <c r="J138">
        <v>34088</v>
      </c>
      <c r="K138">
        <v>233</v>
      </c>
      <c r="L138" s="23">
        <f>(Posts[[#This Row],[Likes]]+Posts[[#This Row],[Shares]]+Posts[[#This Row],[Comments]])/Posts[[#This Row],[Impressions]]</f>
        <v>0.14265722032712325</v>
      </c>
      <c r="M138" t="s">
        <v>23</v>
      </c>
      <c r="N138" t="s">
        <v>35</v>
      </c>
    </row>
    <row r="139" spans="1:14" x14ac:dyDescent="0.2">
      <c r="A139" t="s">
        <v>181</v>
      </c>
      <c r="B139" t="s">
        <v>31</v>
      </c>
      <c r="C139" s="1">
        <v>45744</v>
      </c>
      <c r="D139" t="s">
        <v>39</v>
      </c>
      <c r="E139" t="s">
        <v>67</v>
      </c>
      <c r="F139">
        <v>4158</v>
      </c>
      <c r="G139">
        <v>167</v>
      </c>
      <c r="H139">
        <v>241</v>
      </c>
      <c r="I139">
        <v>45738</v>
      </c>
      <c r="J139">
        <v>45183</v>
      </c>
      <c r="K139">
        <v>142</v>
      </c>
      <c r="L139" s="23">
        <f>(Posts[[#This Row],[Likes]]+Posts[[#This Row],[Shares]]+Posts[[#This Row],[Comments]])/Posts[[#This Row],[Impressions]]</f>
        <v>9.9829463465827106E-2</v>
      </c>
      <c r="M139" t="s">
        <v>17</v>
      </c>
    </row>
    <row r="140" spans="1:14" x14ac:dyDescent="0.2">
      <c r="A140" t="s">
        <v>182</v>
      </c>
      <c r="B140" t="s">
        <v>38</v>
      </c>
      <c r="C140" s="1">
        <v>45684</v>
      </c>
      <c r="D140" t="s">
        <v>15</v>
      </c>
      <c r="E140" t="s">
        <v>52</v>
      </c>
      <c r="F140">
        <v>3452</v>
      </c>
      <c r="G140">
        <v>652</v>
      </c>
      <c r="H140">
        <v>442</v>
      </c>
      <c r="I140">
        <v>65588</v>
      </c>
      <c r="J140">
        <v>65049</v>
      </c>
      <c r="K140">
        <v>158</v>
      </c>
      <c r="L140" s="23">
        <f>(Posts[[#This Row],[Likes]]+Posts[[#This Row],[Shares]]+Posts[[#This Row],[Comments]])/Posts[[#This Row],[Impressions]]</f>
        <v>6.9311459413307311E-2</v>
      </c>
      <c r="M140" t="s">
        <v>17</v>
      </c>
      <c r="N140" t="s">
        <v>29</v>
      </c>
    </row>
    <row r="141" spans="1:14" x14ac:dyDescent="0.2">
      <c r="A141" t="s">
        <v>183</v>
      </c>
      <c r="B141" t="s">
        <v>14</v>
      </c>
      <c r="C141" s="1">
        <v>45667</v>
      </c>
      <c r="D141" t="s">
        <v>44</v>
      </c>
      <c r="E141" t="s">
        <v>90</v>
      </c>
      <c r="F141">
        <v>3092</v>
      </c>
      <c r="G141">
        <v>106</v>
      </c>
      <c r="H141">
        <v>291</v>
      </c>
      <c r="I141">
        <v>27828</v>
      </c>
      <c r="J141">
        <v>27217</v>
      </c>
      <c r="K141">
        <v>102</v>
      </c>
      <c r="L141" s="23">
        <f>(Posts[[#This Row],[Likes]]+Posts[[#This Row],[Shares]]+Posts[[#This Row],[Comments]])/Posts[[#This Row],[Impressions]]</f>
        <v>0.12537731780940059</v>
      </c>
      <c r="M141" t="s">
        <v>17</v>
      </c>
    </row>
    <row r="142" spans="1:14" x14ac:dyDescent="0.2">
      <c r="A142" t="s">
        <v>184</v>
      </c>
      <c r="B142" t="s">
        <v>14</v>
      </c>
      <c r="C142" s="1">
        <v>45494</v>
      </c>
      <c r="D142" t="s">
        <v>21</v>
      </c>
      <c r="E142" t="s">
        <v>22</v>
      </c>
      <c r="F142">
        <v>2147</v>
      </c>
      <c r="G142">
        <v>430</v>
      </c>
      <c r="H142">
        <v>393</v>
      </c>
      <c r="I142">
        <v>17176</v>
      </c>
      <c r="J142">
        <v>16483</v>
      </c>
      <c r="K142">
        <v>170</v>
      </c>
      <c r="L142" s="23">
        <f>(Posts[[#This Row],[Likes]]+Posts[[#This Row],[Shares]]+Posts[[#This Row],[Comments]])/Posts[[#This Row],[Impressions]]</f>
        <v>0.17291569632044715</v>
      </c>
      <c r="M142" t="s">
        <v>23</v>
      </c>
    </row>
    <row r="143" spans="1:14" x14ac:dyDescent="0.2">
      <c r="A143" t="s">
        <v>185</v>
      </c>
      <c r="B143" t="s">
        <v>27</v>
      </c>
      <c r="C143" s="1">
        <v>45564</v>
      </c>
      <c r="D143" t="s">
        <v>15</v>
      </c>
      <c r="E143" t="s">
        <v>28</v>
      </c>
      <c r="F143">
        <v>2936</v>
      </c>
      <c r="G143">
        <v>439</v>
      </c>
      <c r="H143">
        <v>44</v>
      </c>
      <c r="I143">
        <v>38168</v>
      </c>
      <c r="J143">
        <v>37571</v>
      </c>
      <c r="K143">
        <v>22</v>
      </c>
      <c r="L143" s="23">
        <f>(Posts[[#This Row],[Likes]]+Posts[[#This Row],[Shares]]+Posts[[#This Row],[Comments]])/Posts[[#This Row],[Impressions]]</f>
        <v>8.9577656675749323E-2</v>
      </c>
      <c r="M143" t="s">
        <v>34</v>
      </c>
      <c r="N143" t="s">
        <v>35</v>
      </c>
    </row>
    <row r="144" spans="1:14" x14ac:dyDescent="0.2">
      <c r="A144" t="s">
        <v>186</v>
      </c>
      <c r="B144" t="s">
        <v>31</v>
      </c>
      <c r="C144" s="1">
        <v>45586</v>
      </c>
      <c r="D144" t="s">
        <v>15</v>
      </c>
      <c r="E144" t="s">
        <v>63</v>
      </c>
      <c r="F144">
        <v>4840</v>
      </c>
      <c r="G144">
        <v>658</v>
      </c>
      <c r="H144">
        <v>211</v>
      </c>
      <c r="I144">
        <v>43560</v>
      </c>
      <c r="J144">
        <v>43225</v>
      </c>
      <c r="K144">
        <v>57</v>
      </c>
      <c r="L144" s="23">
        <f>(Posts[[#This Row],[Likes]]+Posts[[#This Row],[Shares]]+Posts[[#This Row],[Comments]])/Posts[[#This Row],[Impressions]]</f>
        <v>0.13106060606060607</v>
      </c>
      <c r="M144" t="s">
        <v>17</v>
      </c>
      <c r="N144" t="s">
        <v>29</v>
      </c>
    </row>
    <row r="145" spans="1:14" x14ac:dyDescent="0.2">
      <c r="A145" t="s">
        <v>187</v>
      </c>
      <c r="B145" t="s">
        <v>31</v>
      </c>
      <c r="C145" s="1">
        <v>45720</v>
      </c>
      <c r="D145" t="s">
        <v>32</v>
      </c>
      <c r="E145" t="s">
        <v>33</v>
      </c>
      <c r="F145">
        <v>1947</v>
      </c>
      <c r="G145">
        <v>842</v>
      </c>
      <c r="H145">
        <v>101</v>
      </c>
      <c r="I145">
        <v>21417</v>
      </c>
      <c r="J145">
        <v>20967</v>
      </c>
      <c r="K145">
        <v>186</v>
      </c>
      <c r="L145" s="23">
        <f>(Posts[[#This Row],[Likes]]+Posts[[#This Row],[Shares]]+Posts[[#This Row],[Comments]])/Posts[[#This Row],[Impressions]]</f>
        <v>0.13493953401503478</v>
      </c>
      <c r="M145" t="s">
        <v>17</v>
      </c>
      <c r="N145" t="s">
        <v>24</v>
      </c>
    </row>
    <row r="146" spans="1:14" x14ac:dyDescent="0.2">
      <c r="A146" t="s">
        <v>188</v>
      </c>
      <c r="B146" t="s">
        <v>38</v>
      </c>
      <c r="C146" s="1">
        <v>45694</v>
      </c>
      <c r="D146" t="s">
        <v>44</v>
      </c>
      <c r="E146" t="s">
        <v>49</v>
      </c>
      <c r="F146">
        <v>2072</v>
      </c>
      <c r="G146">
        <v>532</v>
      </c>
      <c r="H146">
        <v>71</v>
      </c>
      <c r="I146">
        <v>37296</v>
      </c>
      <c r="J146">
        <v>36467</v>
      </c>
      <c r="K146">
        <v>25</v>
      </c>
      <c r="L146" s="23">
        <f>(Posts[[#This Row],[Likes]]+Posts[[#This Row],[Shares]]+Posts[[#This Row],[Comments]])/Posts[[#This Row],[Impressions]]</f>
        <v>7.172350922350923E-2</v>
      </c>
      <c r="M146" t="s">
        <v>23</v>
      </c>
      <c r="N146" t="s">
        <v>35</v>
      </c>
    </row>
    <row r="147" spans="1:14" x14ac:dyDescent="0.2">
      <c r="A147" t="s">
        <v>189</v>
      </c>
      <c r="B147" t="s">
        <v>14</v>
      </c>
      <c r="C147" s="1">
        <v>45771</v>
      </c>
      <c r="D147" t="s">
        <v>15</v>
      </c>
      <c r="E147" t="s">
        <v>16</v>
      </c>
      <c r="F147">
        <v>3731</v>
      </c>
      <c r="G147">
        <v>115</v>
      </c>
      <c r="H147">
        <v>135</v>
      </c>
      <c r="I147">
        <v>55965</v>
      </c>
      <c r="J147">
        <v>55436</v>
      </c>
      <c r="K147">
        <v>103</v>
      </c>
      <c r="L147" s="23">
        <f>(Posts[[#This Row],[Likes]]+Posts[[#This Row],[Shares]]+Posts[[#This Row],[Comments]])/Posts[[#This Row],[Impressions]]</f>
        <v>7.1133744304476013E-2</v>
      </c>
      <c r="M147" t="s">
        <v>23</v>
      </c>
      <c r="N147" t="s">
        <v>18</v>
      </c>
    </row>
    <row r="148" spans="1:14" x14ac:dyDescent="0.2">
      <c r="A148" t="s">
        <v>190</v>
      </c>
      <c r="B148" t="s">
        <v>38</v>
      </c>
      <c r="C148" s="1">
        <v>45624</v>
      </c>
      <c r="D148" t="s">
        <v>21</v>
      </c>
      <c r="E148" t="s">
        <v>47</v>
      </c>
      <c r="F148">
        <v>4213</v>
      </c>
      <c r="G148">
        <v>253</v>
      </c>
      <c r="H148">
        <v>434</v>
      </c>
      <c r="I148">
        <v>75834</v>
      </c>
      <c r="J148">
        <v>75437</v>
      </c>
      <c r="K148">
        <v>272</v>
      </c>
      <c r="L148" s="23">
        <f>(Posts[[#This Row],[Likes]]+Posts[[#This Row],[Shares]]+Posts[[#This Row],[Comments]])/Posts[[#This Row],[Impressions]]</f>
        <v>6.461481657304112E-2</v>
      </c>
      <c r="M148" t="s">
        <v>17</v>
      </c>
      <c r="N148" t="s">
        <v>35</v>
      </c>
    </row>
    <row r="149" spans="1:14" x14ac:dyDescent="0.2">
      <c r="A149" t="s">
        <v>191</v>
      </c>
      <c r="B149" t="s">
        <v>31</v>
      </c>
      <c r="C149" s="1">
        <v>45484</v>
      </c>
      <c r="D149" t="s">
        <v>21</v>
      </c>
      <c r="E149" t="s">
        <v>80</v>
      </c>
      <c r="F149">
        <v>3134</v>
      </c>
      <c r="G149">
        <v>888</v>
      </c>
      <c r="H149">
        <v>444</v>
      </c>
      <c r="I149">
        <v>21938</v>
      </c>
      <c r="J149">
        <v>21337</v>
      </c>
      <c r="K149">
        <v>130</v>
      </c>
      <c r="L149" s="23">
        <f>(Posts[[#This Row],[Likes]]+Posts[[#This Row],[Shares]]+Posts[[#This Row],[Comments]])/Posts[[#This Row],[Impressions]]</f>
        <v>0.20357370772176134</v>
      </c>
      <c r="M149" t="s">
        <v>34</v>
      </c>
      <c r="N149" t="s">
        <v>35</v>
      </c>
    </row>
    <row r="150" spans="1:14" x14ac:dyDescent="0.2">
      <c r="A150" t="s">
        <v>192</v>
      </c>
      <c r="B150" t="s">
        <v>38</v>
      </c>
      <c r="C150" s="1">
        <v>45504</v>
      </c>
      <c r="D150" t="s">
        <v>58</v>
      </c>
      <c r="E150" t="s">
        <v>59</v>
      </c>
      <c r="F150">
        <v>3008</v>
      </c>
      <c r="G150">
        <v>94</v>
      </c>
      <c r="H150">
        <v>37</v>
      </c>
      <c r="I150">
        <v>15040</v>
      </c>
      <c r="J150">
        <v>14639</v>
      </c>
      <c r="K150">
        <v>277</v>
      </c>
      <c r="L150" s="23">
        <f>(Posts[[#This Row],[Likes]]+Posts[[#This Row],[Shares]]+Posts[[#This Row],[Comments]])/Posts[[#This Row],[Impressions]]</f>
        <v>0.20871010638297871</v>
      </c>
      <c r="M150" t="s">
        <v>17</v>
      </c>
    </row>
    <row r="151" spans="1:14" x14ac:dyDescent="0.2">
      <c r="A151" t="s">
        <v>193</v>
      </c>
      <c r="B151" t="s">
        <v>14</v>
      </c>
      <c r="C151" s="1">
        <v>45745</v>
      </c>
      <c r="D151" t="s">
        <v>44</v>
      </c>
      <c r="E151" t="s">
        <v>90</v>
      </c>
      <c r="F151">
        <v>305</v>
      </c>
      <c r="G151">
        <v>187</v>
      </c>
      <c r="H151">
        <v>243</v>
      </c>
      <c r="I151">
        <v>4575</v>
      </c>
      <c r="J151">
        <v>3704</v>
      </c>
      <c r="K151">
        <v>234</v>
      </c>
      <c r="L151" s="23">
        <f>(Posts[[#This Row],[Likes]]+Posts[[#This Row],[Shares]]+Posts[[#This Row],[Comments]])/Posts[[#This Row],[Impressions]]</f>
        <v>0.16065573770491803</v>
      </c>
      <c r="M151" t="s">
        <v>17</v>
      </c>
      <c r="N151" t="s">
        <v>29</v>
      </c>
    </row>
    <row r="152" spans="1:14" x14ac:dyDescent="0.2">
      <c r="A152" t="s">
        <v>194</v>
      </c>
      <c r="B152" t="s">
        <v>27</v>
      </c>
      <c r="C152" s="1">
        <v>45594</v>
      </c>
      <c r="D152" t="s">
        <v>21</v>
      </c>
      <c r="E152" t="s">
        <v>75</v>
      </c>
      <c r="F152">
        <v>2746</v>
      </c>
      <c r="G152">
        <v>156</v>
      </c>
      <c r="H152">
        <v>203</v>
      </c>
      <c r="I152">
        <v>32952</v>
      </c>
      <c r="J152">
        <v>32147</v>
      </c>
      <c r="K152">
        <v>147</v>
      </c>
      <c r="L152" s="23">
        <f>(Posts[[#This Row],[Likes]]+Posts[[#This Row],[Shares]]+Posts[[#This Row],[Comments]])/Posts[[#This Row],[Impressions]]</f>
        <v>9.422796795338674E-2</v>
      </c>
      <c r="M152" t="s">
        <v>34</v>
      </c>
      <c r="N152" t="s">
        <v>18</v>
      </c>
    </row>
    <row r="153" spans="1:14" x14ac:dyDescent="0.2">
      <c r="A153" t="s">
        <v>195</v>
      </c>
      <c r="B153" t="s">
        <v>38</v>
      </c>
      <c r="C153" s="1">
        <v>45488</v>
      </c>
      <c r="D153" t="s">
        <v>44</v>
      </c>
      <c r="E153" t="s">
        <v>49</v>
      </c>
      <c r="F153">
        <v>2291</v>
      </c>
      <c r="G153">
        <v>78</v>
      </c>
      <c r="H153">
        <v>485</v>
      </c>
      <c r="I153">
        <v>18328</v>
      </c>
      <c r="J153">
        <v>18101</v>
      </c>
      <c r="K153">
        <v>10</v>
      </c>
      <c r="L153" s="23">
        <f>(Posts[[#This Row],[Likes]]+Posts[[#This Row],[Shares]]+Posts[[#This Row],[Comments]])/Posts[[#This Row],[Impressions]]</f>
        <v>0.15571802706241816</v>
      </c>
      <c r="M153" t="s">
        <v>34</v>
      </c>
      <c r="N153" t="s">
        <v>24</v>
      </c>
    </row>
    <row r="154" spans="1:14" x14ac:dyDescent="0.2">
      <c r="A154" t="s">
        <v>195</v>
      </c>
      <c r="B154" t="s">
        <v>38</v>
      </c>
      <c r="C154" s="1">
        <v>45488</v>
      </c>
      <c r="D154" t="s">
        <v>44</v>
      </c>
      <c r="E154" t="s">
        <v>49</v>
      </c>
      <c r="F154">
        <v>2291</v>
      </c>
      <c r="G154">
        <v>78</v>
      </c>
      <c r="H154">
        <v>485</v>
      </c>
      <c r="I154">
        <v>18328</v>
      </c>
      <c r="J154">
        <v>18101</v>
      </c>
      <c r="K154">
        <v>10</v>
      </c>
      <c r="L154" s="23">
        <f>(Posts[[#This Row],[Likes]]+Posts[[#This Row],[Shares]]+Posts[[#This Row],[Comments]])/Posts[[#This Row],[Impressions]]</f>
        <v>0.15571802706241816</v>
      </c>
      <c r="M154" t="s">
        <v>196</v>
      </c>
      <c r="N154" t="s">
        <v>24</v>
      </c>
    </row>
    <row r="155" spans="1:14" x14ac:dyDescent="0.2">
      <c r="A155" t="s">
        <v>197</v>
      </c>
      <c r="B155" t="s">
        <v>14</v>
      </c>
      <c r="C155" s="1">
        <v>45535</v>
      </c>
      <c r="D155" t="s">
        <v>44</v>
      </c>
      <c r="E155" t="s">
        <v>90</v>
      </c>
      <c r="F155">
        <v>3170</v>
      </c>
      <c r="G155">
        <v>857</v>
      </c>
      <c r="H155">
        <v>379</v>
      </c>
      <c r="I155">
        <v>19020</v>
      </c>
      <c r="J155">
        <v>18559</v>
      </c>
      <c r="K155">
        <v>240</v>
      </c>
      <c r="L155" s="23">
        <f>(Posts[[#This Row],[Likes]]+Posts[[#This Row],[Shares]]+Posts[[#This Row],[Comments]])/Posts[[#This Row],[Impressions]]</f>
        <v>0.2316508937960042</v>
      </c>
      <c r="M155" t="s">
        <v>17</v>
      </c>
    </row>
    <row r="156" spans="1:14" x14ac:dyDescent="0.2">
      <c r="A156" t="s">
        <v>198</v>
      </c>
      <c r="B156" t="s">
        <v>27</v>
      </c>
      <c r="C156" s="1">
        <v>45741</v>
      </c>
      <c r="D156" t="s">
        <v>32</v>
      </c>
      <c r="E156" t="s">
        <v>103</v>
      </c>
      <c r="F156">
        <v>2070</v>
      </c>
      <c r="G156">
        <v>275</v>
      </c>
      <c r="H156">
        <v>386</v>
      </c>
      <c r="I156">
        <v>39330</v>
      </c>
      <c r="J156">
        <v>38627</v>
      </c>
      <c r="K156">
        <v>114</v>
      </c>
      <c r="L156" s="23">
        <f>(Posts[[#This Row],[Likes]]+Posts[[#This Row],[Shares]]+Posts[[#This Row],[Comments]])/Posts[[#This Row],[Impressions]]</f>
        <v>6.9438087973557078E-2</v>
      </c>
      <c r="M156" t="s">
        <v>17</v>
      </c>
      <c r="N156" t="s">
        <v>35</v>
      </c>
    </row>
    <row r="157" spans="1:14" x14ac:dyDescent="0.2">
      <c r="A157" t="s">
        <v>199</v>
      </c>
      <c r="B157" t="s">
        <v>27</v>
      </c>
      <c r="C157" s="1">
        <v>45567</v>
      </c>
      <c r="D157" t="s">
        <v>39</v>
      </c>
      <c r="E157" t="s">
        <v>54</v>
      </c>
      <c r="F157">
        <v>80</v>
      </c>
      <c r="G157">
        <v>362</v>
      </c>
      <c r="H157">
        <v>80</v>
      </c>
      <c r="I157">
        <v>1040</v>
      </c>
      <c r="J157">
        <v>349</v>
      </c>
      <c r="K157">
        <v>117</v>
      </c>
      <c r="L157" s="23">
        <f>(Posts[[#This Row],[Likes]]+Posts[[#This Row],[Shares]]+Posts[[#This Row],[Comments]])/Posts[[#This Row],[Impressions]]</f>
        <v>0.50192307692307692</v>
      </c>
      <c r="M157" t="s">
        <v>23</v>
      </c>
      <c r="N157" t="s">
        <v>29</v>
      </c>
    </row>
    <row r="158" spans="1:14" x14ac:dyDescent="0.2">
      <c r="A158" t="s">
        <v>200</v>
      </c>
      <c r="B158" t="s">
        <v>27</v>
      </c>
      <c r="C158" s="1">
        <v>45593</v>
      </c>
      <c r="D158" t="s">
        <v>32</v>
      </c>
      <c r="E158" t="s">
        <v>103</v>
      </c>
      <c r="F158">
        <v>4929</v>
      </c>
      <c r="G158">
        <v>749</v>
      </c>
      <c r="H158">
        <v>452</v>
      </c>
      <c r="I158">
        <v>93651</v>
      </c>
      <c r="J158">
        <v>92810</v>
      </c>
      <c r="K158">
        <v>66</v>
      </c>
      <c r="L158" s="23">
        <f>(Posts[[#This Row],[Likes]]+Posts[[#This Row],[Shares]]+Posts[[#This Row],[Comments]])/Posts[[#This Row],[Impressions]]</f>
        <v>6.5455787978772245E-2</v>
      </c>
      <c r="M158" t="s">
        <v>34</v>
      </c>
      <c r="N158" t="s">
        <v>35</v>
      </c>
    </row>
    <row r="159" spans="1:14" x14ac:dyDescent="0.2">
      <c r="A159" t="s">
        <v>201</v>
      </c>
      <c r="B159" t="s">
        <v>31</v>
      </c>
      <c r="C159" s="1">
        <v>45516</v>
      </c>
      <c r="D159" t="s">
        <v>39</v>
      </c>
      <c r="E159" t="s">
        <v>67</v>
      </c>
      <c r="F159">
        <v>1878</v>
      </c>
      <c r="G159">
        <v>62</v>
      </c>
      <c r="H159">
        <v>179</v>
      </c>
      <c r="I159">
        <v>37560</v>
      </c>
      <c r="J159">
        <v>36874</v>
      </c>
      <c r="K159">
        <v>142</v>
      </c>
      <c r="L159" s="23">
        <f>(Posts[[#This Row],[Likes]]+Posts[[#This Row],[Shares]]+Posts[[#This Row],[Comments]])/Posts[[#This Row],[Impressions]]</f>
        <v>5.6416400425985093E-2</v>
      </c>
      <c r="M159" t="s">
        <v>23</v>
      </c>
      <c r="N159" t="s">
        <v>35</v>
      </c>
    </row>
    <row r="160" spans="1:14" x14ac:dyDescent="0.2">
      <c r="A160" t="s">
        <v>202</v>
      </c>
      <c r="B160" t="s">
        <v>27</v>
      </c>
      <c r="C160" s="1">
        <v>45448</v>
      </c>
      <c r="D160" t="s">
        <v>15</v>
      </c>
      <c r="E160" t="s">
        <v>28</v>
      </c>
      <c r="F160">
        <v>3065</v>
      </c>
      <c r="G160">
        <v>772</v>
      </c>
      <c r="H160">
        <v>142</v>
      </c>
      <c r="I160">
        <v>18390</v>
      </c>
      <c r="J160">
        <v>17875</v>
      </c>
      <c r="K160">
        <v>200</v>
      </c>
      <c r="L160" s="23">
        <f>(Posts[[#This Row],[Likes]]+Posts[[#This Row],[Shares]]+Posts[[#This Row],[Comments]])/Posts[[#This Row],[Impressions]]</f>
        <v>0.21636759108210984</v>
      </c>
      <c r="M160" t="s">
        <v>34</v>
      </c>
    </row>
    <row r="161" spans="1:14" x14ac:dyDescent="0.2">
      <c r="A161" t="s">
        <v>202</v>
      </c>
      <c r="B161" t="s">
        <v>27</v>
      </c>
      <c r="C161" s="1">
        <v>45448</v>
      </c>
      <c r="D161" t="s">
        <v>15</v>
      </c>
      <c r="E161" t="s">
        <v>28</v>
      </c>
      <c r="F161">
        <v>3065</v>
      </c>
      <c r="G161">
        <v>772</v>
      </c>
      <c r="H161">
        <v>142</v>
      </c>
      <c r="I161">
        <v>18390</v>
      </c>
      <c r="J161">
        <v>17875</v>
      </c>
      <c r="K161">
        <v>200</v>
      </c>
      <c r="L161" s="23">
        <f>(Posts[[#This Row],[Likes]]+Posts[[#This Row],[Shares]]+Posts[[#This Row],[Comments]])/Posts[[#This Row],[Impressions]]</f>
        <v>0.21636759108210984</v>
      </c>
      <c r="M161" t="s">
        <v>19</v>
      </c>
    </row>
    <row r="162" spans="1:14" x14ac:dyDescent="0.2">
      <c r="A162" t="s">
        <v>203</v>
      </c>
      <c r="B162" t="s">
        <v>31</v>
      </c>
      <c r="C162" s="1">
        <v>45586</v>
      </c>
      <c r="D162" t="s">
        <v>15</v>
      </c>
      <c r="E162" t="s">
        <v>63</v>
      </c>
      <c r="F162">
        <v>3256</v>
      </c>
      <c r="G162">
        <v>459</v>
      </c>
      <c r="H162">
        <v>266</v>
      </c>
      <c r="I162">
        <v>26048</v>
      </c>
      <c r="J162">
        <v>25529</v>
      </c>
      <c r="K162">
        <v>143</v>
      </c>
      <c r="L162" s="23">
        <f>(Posts[[#This Row],[Likes]]+Posts[[#This Row],[Shares]]+Posts[[#This Row],[Comments]])/Posts[[#This Row],[Impressions]]</f>
        <v>0.15283323095823095</v>
      </c>
      <c r="M162" t="s">
        <v>23</v>
      </c>
      <c r="N162" t="s">
        <v>24</v>
      </c>
    </row>
    <row r="163" spans="1:14" x14ac:dyDescent="0.2">
      <c r="A163" t="s">
        <v>204</v>
      </c>
      <c r="B163" t="s">
        <v>31</v>
      </c>
      <c r="C163" s="1">
        <v>45762</v>
      </c>
      <c r="D163" t="s">
        <v>58</v>
      </c>
      <c r="E163" t="s">
        <v>65</v>
      </c>
      <c r="F163">
        <v>4133</v>
      </c>
      <c r="G163">
        <v>466</v>
      </c>
      <c r="H163">
        <v>327</v>
      </c>
      <c r="I163">
        <v>24798</v>
      </c>
      <c r="J163">
        <v>24620</v>
      </c>
      <c r="K163">
        <v>176</v>
      </c>
      <c r="L163" s="23">
        <f>(Posts[[#This Row],[Likes]]+Posts[[#This Row],[Shares]]+Posts[[#This Row],[Comments]])/Posts[[#This Row],[Impressions]]</f>
        <v>0.19864505202032423</v>
      </c>
      <c r="M163" t="s">
        <v>34</v>
      </c>
      <c r="N163" t="s">
        <v>35</v>
      </c>
    </row>
    <row r="164" spans="1:14" x14ac:dyDescent="0.2">
      <c r="A164" t="s">
        <v>205</v>
      </c>
      <c r="B164" t="s">
        <v>14</v>
      </c>
      <c r="C164" s="1">
        <v>45459</v>
      </c>
      <c r="D164" t="s">
        <v>58</v>
      </c>
      <c r="E164" t="s">
        <v>97</v>
      </c>
      <c r="F164">
        <v>1702</v>
      </c>
      <c r="G164">
        <v>750</v>
      </c>
      <c r="H164">
        <v>179</v>
      </c>
      <c r="I164">
        <v>34040</v>
      </c>
      <c r="J164">
        <v>33174</v>
      </c>
      <c r="K164">
        <v>76</v>
      </c>
      <c r="L164" s="23">
        <f>(Posts[[#This Row],[Likes]]+Posts[[#This Row],[Shares]]+Posts[[#This Row],[Comments]])/Posts[[#This Row],[Impressions]]</f>
        <v>7.7291421856639245E-2</v>
      </c>
      <c r="M164" t="s">
        <v>34</v>
      </c>
      <c r="N164" t="s">
        <v>18</v>
      </c>
    </row>
    <row r="165" spans="1:14" x14ac:dyDescent="0.2">
      <c r="A165" t="s">
        <v>206</v>
      </c>
      <c r="B165" t="s">
        <v>27</v>
      </c>
      <c r="C165" s="1">
        <v>45526</v>
      </c>
      <c r="D165" t="s">
        <v>39</v>
      </c>
      <c r="E165" t="s">
        <v>54</v>
      </c>
      <c r="F165">
        <v>4295</v>
      </c>
      <c r="G165">
        <v>853</v>
      </c>
      <c r="H165">
        <v>325</v>
      </c>
      <c r="I165">
        <v>85900</v>
      </c>
      <c r="J165">
        <v>85788</v>
      </c>
      <c r="K165">
        <v>290</v>
      </c>
      <c r="L165" s="23">
        <f>(Posts[[#This Row],[Likes]]+Posts[[#This Row],[Shares]]+Posts[[#This Row],[Comments]])/Posts[[#This Row],[Impressions]]</f>
        <v>6.3713620488940623E-2</v>
      </c>
      <c r="M165" t="s">
        <v>23</v>
      </c>
      <c r="N165" t="s">
        <v>35</v>
      </c>
    </row>
    <row r="166" spans="1:14" x14ac:dyDescent="0.2">
      <c r="A166" t="s">
        <v>207</v>
      </c>
      <c r="B166" t="s">
        <v>31</v>
      </c>
      <c r="C166" s="1">
        <v>45499</v>
      </c>
      <c r="D166" t="s">
        <v>44</v>
      </c>
      <c r="E166" t="s">
        <v>136</v>
      </c>
      <c r="F166">
        <v>3559</v>
      </c>
      <c r="G166">
        <v>59</v>
      </c>
      <c r="H166">
        <v>289</v>
      </c>
      <c r="I166">
        <v>35590</v>
      </c>
      <c r="J166">
        <v>35105</v>
      </c>
      <c r="K166">
        <v>122</v>
      </c>
      <c r="L166" s="23">
        <f>(Posts[[#This Row],[Likes]]+Posts[[#This Row],[Shares]]+Posts[[#This Row],[Comments]])/Posts[[#This Row],[Impressions]]</f>
        <v>0.10977802753582468</v>
      </c>
      <c r="M166" t="s">
        <v>34</v>
      </c>
      <c r="N166" t="s">
        <v>18</v>
      </c>
    </row>
    <row r="167" spans="1:14" x14ac:dyDescent="0.2">
      <c r="A167" t="s">
        <v>208</v>
      </c>
      <c r="B167" t="s">
        <v>38</v>
      </c>
      <c r="C167" s="1">
        <v>45769</v>
      </c>
      <c r="D167" t="s">
        <v>44</v>
      </c>
      <c r="E167" t="s">
        <v>49</v>
      </c>
      <c r="F167">
        <v>4804</v>
      </c>
      <c r="G167">
        <v>550</v>
      </c>
      <c r="H167">
        <v>270</v>
      </c>
      <c r="I167">
        <v>28824</v>
      </c>
      <c r="J167">
        <v>28370</v>
      </c>
      <c r="K167">
        <v>47</v>
      </c>
      <c r="L167" s="23">
        <f>(Posts[[#This Row],[Likes]]+Posts[[#This Row],[Shares]]+Posts[[#This Row],[Comments]])/Posts[[#This Row],[Impressions]]</f>
        <v>0.19511518179295032</v>
      </c>
      <c r="M167" t="s">
        <v>34</v>
      </c>
      <c r="N167" t="s">
        <v>35</v>
      </c>
    </row>
    <row r="168" spans="1:14" x14ac:dyDescent="0.2">
      <c r="A168" t="s">
        <v>209</v>
      </c>
      <c r="B168" t="s">
        <v>14</v>
      </c>
      <c r="C168" s="1">
        <v>45658</v>
      </c>
      <c r="D168" t="s">
        <v>58</v>
      </c>
      <c r="E168" t="s">
        <v>97</v>
      </c>
      <c r="F168">
        <v>754</v>
      </c>
      <c r="G168">
        <v>197</v>
      </c>
      <c r="H168">
        <v>257</v>
      </c>
      <c r="I168">
        <v>6786</v>
      </c>
      <c r="J168">
        <v>6221</v>
      </c>
      <c r="K168">
        <v>212</v>
      </c>
      <c r="L168" s="23">
        <f>(Posts[[#This Row],[Likes]]+Posts[[#This Row],[Shares]]+Posts[[#This Row],[Comments]])/Posts[[#This Row],[Impressions]]</f>
        <v>0.17801355732390214</v>
      </c>
      <c r="M168" t="s">
        <v>23</v>
      </c>
      <c r="N168" t="s">
        <v>29</v>
      </c>
    </row>
    <row r="169" spans="1:14" x14ac:dyDescent="0.2">
      <c r="A169" t="s">
        <v>210</v>
      </c>
      <c r="B169" t="s">
        <v>31</v>
      </c>
      <c r="C169" s="1">
        <v>45574</v>
      </c>
      <c r="D169" t="s">
        <v>39</v>
      </c>
      <c r="E169" t="s">
        <v>67</v>
      </c>
      <c r="F169">
        <v>985</v>
      </c>
      <c r="G169">
        <v>932</v>
      </c>
      <c r="H169">
        <v>287</v>
      </c>
      <c r="I169">
        <v>6895</v>
      </c>
      <c r="J169">
        <v>6757</v>
      </c>
      <c r="K169">
        <v>64</v>
      </c>
      <c r="L169" s="23">
        <f>(Posts[[#This Row],[Likes]]+Posts[[#This Row],[Shares]]+Posts[[#This Row],[Comments]])/Posts[[#This Row],[Impressions]]</f>
        <v>0.31965192168237855</v>
      </c>
      <c r="M169" t="s">
        <v>17</v>
      </c>
      <c r="N169" t="s">
        <v>35</v>
      </c>
    </row>
    <row r="170" spans="1:14" x14ac:dyDescent="0.2">
      <c r="A170" t="s">
        <v>211</v>
      </c>
      <c r="B170" t="s">
        <v>27</v>
      </c>
      <c r="C170" s="1">
        <v>45647</v>
      </c>
      <c r="D170" t="s">
        <v>44</v>
      </c>
      <c r="E170" t="s">
        <v>45</v>
      </c>
      <c r="F170">
        <v>2283</v>
      </c>
      <c r="G170">
        <v>210</v>
      </c>
      <c r="H170">
        <v>130</v>
      </c>
      <c r="I170">
        <v>22830</v>
      </c>
      <c r="J170">
        <v>22617</v>
      </c>
      <c r="K170">
        <v>143</v>
      </c>
      <c r="L170" s="23">
        <f>(Posts[[#This Row],[Likes]]+Posts[[#This Row],[Shares]]+Posts[[#This Row],[Comments]])/Posts[[#This Row],[Impressions]]</f>
        <v>0.11489268506351293</v>
      </c>
      <c r="M170" t="s">
        <v>17</v>
      </c>
      <c r="N170" t="s">
        <v>24</v>
      </c>
    </row>
    <row r="171" spans="1:14" x14ac:dyDescent="0.2">
      <c r="A171" t="s">
        <v>212</v>
      </c>
      <c r="B171" t="s">
        <v>38</v>
      </c>
      <c r="C171" s="1">
        <v>45587</v>
      </c>
      <c r="D171" t="s">
        <v>39</v>
      </c>
      <c r="E171" t="s">
        <v>40</v>
      </c>
      <c r="F171">
        <v>3352</v>
      </c>
      <c r="G171">
        <v>941</v>
      </c>
      <c r="H171">
        <v>482</v>
      </c>
      <c r="I171">
        <v>43576</v>
      </c>
      <c r="J171">
        <v>43338</v>
      </c>
      <c r="K171">
        <v>240</v>
      </c>
      <c r="L171" s="23">
        <f>(Posts[[#This Row],[Likes]]+Posts[[#This Row],[Shares]]+Posts[[#This Row],[Comments]])/Posts[[#This Row],[Impressions]]</f>
        <v>0.1095786671562328</v>
      </c>
      <c r="M171" t="s">
        <v>17</v>
      </c>
      <c r="N171" t="s">
        <v>24</v>
      </c>
    </row>
    <row r="172" spans="1:14" x14ac:dyDescent="0.2">
      <c r="A172" t="s">
        <v>213</v>
      </c>
      <c r="B172" t="s">
        <v>27</v>
      </c>
      <c r="C172" s="1">
        <v>45496</v>
      </c>
      <c r="D172" t="s">
        <v>32</v>
      </c>
      <c r="E172" t="s">
        <v>103</v>
      </c>
      <c r="F172">
        <v>4775</v>
      </c>
      <c r="G172">
        <v>173</v>
      </c>
      <c r="H172">
        <v>206</v>
      </c>
      <c r="I172">
        <v>47750</v>
      </c>
      <c r="J172">
        <v>47544</v>
      </c>
      <c r="K172">
        <v>187</v>
      </c>
      <c r="L172" s="23">
        <f>(Posts[[#This Row],[Likes]]+Posts[[#This Row],[Shares]]+Posts[[#This Row],[Comments]])/Posts[[#This Row],[Impressions]]</f>
        <v>0.10793717277486911</v>
      </c>
      <c r="M172" t="s">
        <v>17</v>
      </c>
      <c r="N172" t="s">
        <v>24</v>
      </c>
    </row>
    <row r="173" spans="1:14" x14ac:dyDescent="0.2">
      <c r="A173" t="s">
        <v>214</v>
      </c>
      <c r="B173" t="s">
        <v>31</v>
      </c>
      <c r="C173" s="1">
        <v>45515</v>
      </c>
      <c r="D173" t="s">
        <v>32</v>
      </c>
      <c r="E173" t="s">
        <v>33</v>
      </c>
      <c r="F173">
        <v>1762</v>
      </c>
      <c r="G173">
        <v>405</v>
      </c>
      <c r="H173">
        <v>423</v>
      </c>
      <c r="I173">
        <v>22906</v>
      </c>
      <c r="J173">
        <v>21925</v>
      </c>
      <c r="K173">
        <v>25</v>
      </c>
      <c r="L173" s="23">
        <f>(Posts[[#This Row],[Likes]]+Posts[[#This Row],[Shares]]+Posts[[#This Row],[Comments]])/Posts[[#This Row],[Impressions]]</f>
        <v>0.11307081114118571</v>
      </c>
      <c r="M173" t="s">
        <v>23</v>
      </c>
      <c r="N173" t="s">
        <v>18</v>
      </c>
    </row>
    <row r="174" spans="1:14" x14ac:dyDescent="0.2">
      <c r="A174" t="s">
        <v>215</v>
      </c>
      <c r="B174" t="s">
        <v>38</v>
      </c>
      <c r="C174" s="1">
        <v>45621</v>
      </c>
      <c r="D174" t="s">
        <v>32</v>
      </c>
      <c r="E174" t="s">
        <v>56</v>
      </c>
      <c r="F174">
        <v>2120</v>
      </c>
      <c r="G174">
        <v>158</v>
      </c>
      <c r="H174">
        <v>488</v>
      </c>
      <c r="I174">
        <v>12720</v>
      </c>
      <c r="J174">
        <v>12085</v>
      </c>
      <c r="K174">
        <v>17</v>
      </c>
      <c r="L174" s="23">
        <f>(Posts[[#This Row],[Likes]]+Posts[[#This Row],[Shares]]+Posts[[#This Row],[Comments]])/Posts[[#This Row],[Impressions]]</f>
        <v>0.21745283018867925</v>
      </c>
      <c r="M174" t="s">
        <v>17</v>
      </c>
      <c r="N174" t="s">
        <v>24</v>
      </c>
    </row>
    <row r="175" spans="1:14" x14ac:dyDescent="0.2">
      <c r="A175" t="s">
        <v>216</v>
      </c>
      <c r="B175" t="s">
        <v>14</v>
      </c>
      <c r="C175" s="1">
        <v>45528</v>
      </c>
      <c r="D175" t="s">
        <v>58</v>
      </c>
      <c r="E175" t="s">
        <v>97</v>
      </c>
      <c r="F175">
        <v>1082</v>
      </c>
      <c r="G175">
        <v>209</v>
      </c>
      <c r="H175">
        <v>484</v>
      </c>
      <c r="I175">
        <v>19476</v>
      </c>
      <c r="J175">
        <v>18654</v>
      </c>
      <c r="K175">
        <v>20</v>
      </c>
      <c r="L175" s="23">
        <f>(Posts[[#This Row],[Likes]]+Posts[[#This Row],[Shares]]+Posts[[#This Row],[Comments]])/Posts[[#This Row],[Impressions]]</f>
        <v>9.1137810638734856E-2</v>
      </c>
      <c r="M175" t="s">
        <v>23</v>
      </c>
    </row>
    <row r="176" spans="1:14" x14ac:dyDescent="0.2">
      <c r="A176" t="s">
        <v>217</v>
      </c>
      <c r="B176" t="s">
        <v>14</v>
      </c>
      <c r="C176" s="1">
        <v>45707</v>
      </c>
      <c r="D176" t="s">
        <v>21</v>
      </c>
      <c r="E176" t="s">
        <v>22</v>
      </c>
      <c r="F176">
        <v>4671</v>
      </c>
      <c r="G176">
        <v>876</v>
      </c>
      <c r="H176">
        <v>366</v>
      </c>
      <c r="I176">
        <v>51381</v>
      </c>
      <c r="J176">
        <v>50565</v>
      </c>
      <c r="K176">
        <v>245</v>
      </c>
      <c r="L176" s="23">
        <f>(Posts[[#This Row],[Likes]]+Posts[[#This Row],[Shares]]+Posts[[#This Row],[Comments]])/Posts[[#This Row],[Impressions]]</f>
        <v>0.11508145034156594</v>
      </c>
      <c r="M176" t="s">
        <v>23</v>
      </c>
      <c r="N176" t="s">
        <v>35</v>
      </c>
    </row>
    <row r="177" spans="1:14" x14ac:dyDescent="0.2">
      <c r="A177" t="s">
        <v>218</v>
      </c>
      <c r="B177" t="s">
        <v>38</v>
      </c>
      <c r="C177" s="1">
        <v>45748</v>
      </c>
      <c r="D177" t="s">
        <v>32</v>
      </c>
      <c r="E177" t="s">
        <v>56</v>
      </c>
      <c r="F177">
        <v>3430</v>
      </c>
      <c r="G177">
        <v>566</v>
      </c>
      <c r="H177">
        <v>164</v>
      </c>
      <c r="I177">
        <v>48020</v>
      </c>
      <c r="J177">
        <v>47305</v>
      </c>
      <c r="K177">
        <v>120</v>
      </c>
      <c r="L177" s="23">
        <f>(Posts[[#This Row],[Likes]]+Posts[[#This Row],[Shares]]+Posts[[#This Row],[Comments]])/Posts[[#This Row],[Impressions]]</f>
        <v>8.6630570595585168E-2</v>
      </c>
      <c r="M177" t="s">
        <v>17</v>
      </c>
    </row>
    <row r="178" spans="1:14" x14ac:dyDescent="0.2">
      <c r="A178" t="s">
        <v>219</v>
      </c>
      <c r="B178" t="s">
        <v>31</v>
      </c>
      <c r="C178" s="1">
        <v>45755</v>
      </c>
      <c r="D178" t="s">
        <v>44</v>
      </c>
      <c r="E178" t="s">
        <v>136</v>
      </c>
      <c r="F178">
        <v>4501</v>
      </c>
      <c r="G178">
        <v>375</v>
      </c>
      <c r="H178">
        <v>323</v>
      </c>
      <c r="I178">
        <v>22505</v>
      </c>
      <c r="J178">
        <v>21836</v>
      </c>
      <c r="K178">
        <v>132</v>
      </c>
      <c r="L178" s="23">
        <f>(Posts[[#This Row],[Likes]]+Posts[[#This Row],[Shares]]+Posts[[#This Row],[Comments]])/Posts[[#This Row],[Impressions]]</f>
        <v>0.23101532992668297</v>
      </c>
      <c r="M178" t="s">
        <v>23</v>
      </c>
      <c r="N178" t="s">
        <v>24</v>
      </c>
    </row>
    <row r="179" spans="1:14" x14ac:dyDescent="0.2">
      <c r="A179" t="s">
        <v>220</v>
      </c>
      <c r="B179" t="s">
        <v>27</v>
      </c>
      <c r="C179" s="1">
        <v>45715</v>
      </c>
      <c r="D179" t="s">
        <v>21</v>
      </c>
      <c r="E179" t="s">
        <v>75</v>
      </c>
      <c r="F179">
        <v>4934</v>
      </c>
      <c r="G179">
        <v>971</v>
      </c>
      <c r="H179">
        <v>156</v>
      </c>
      <c r="I179">
        <v>39472</v>
      </c>
      <c r="J179">
        <v>39025</v>
      </c>
      <c r="K179">
        <v>169</v>
      </c>
      <c r="L179" s="23">
        <f>(Posts[[#This Row],[Likes]]+Posts[[#This Row],[Shares]]+Posts[[#This Row],[Comments]])/Posts[[#This Row],[Impressions]]</f>
        <v>0.15355188488042157</v>
      </c>
      <c r="M179" t="s">
        <v>23</v>
      </c>
      <c r="N179" t="s">
        <v>35</v>
      </c>
    </row>
    <row r="180" spans="1:14" x14ac:dyDescent="0.2">
      <c r="A180" t="s">
        <v>220</v>
      </c>
      <c r="B180" t="s">
        <v>27</v>
      </c>
      <c r="C180" s="1">
        <v>45715</v>
      </c>
      <c r="D180" t="s">
        <v>21</v>
      </c>
      <c r="E180" t="s">
        <v>75</v>
      </c>
      <c r="F180">
        <v>4934</v>
      </c>
      <c r="G180">
        <v>971</v>
      </c>
      <c r="H180">
        <v>156</v>
      </c>
      <c r="I180">
        <v>39472</v>
      </c>
      <c r="J180">
        <v>39025</v>
      </c>
      <c r="K180">
        <v>169</v>
      </c>
      <c r="L180" s="23">
        <f>(Posts[[#This Row],[Likes]]+Posts[[#This Row],[Shares]]+Posts[[#This Row],[Comments]])/Posts[[#This Row],[Impressions]]</f>
        <v>0.15355188488042157</v>
      </c>
      <c r="M180" t="s">
        <v>19</v>
      </c>
      <c r="N180" t="s">
        <v>35</v>
      </c>
    </row>
    <row r="181" spans="1:14" x14ac:dyDescent="0.2">
      <c r="A181" t="s">
        <v>221</v>
      </c>
      <c r="B181" t="s">
        <v>14</v>
      </c>
      <c r="C181" s="1">
        <v>45637</v>
      </c>
      <c r="D181" t="s">
        <v>21</v>
      </c>
      <c r="E181" t="s">
        <v>22</v>
      </c>
      <c r="F181">
        <v>3239</v>
      </c>
      <c r="G181">
        <v>43</v>
      </c>
      <c r="H181">
        <v>211</v>
      </c>
      <c r="I181">
        <v>22673</v>
      </c>
      <c r="J181">
        <v>22171</v>
      </c>
      <c r="K181">
        <v>230</v>
      </c>
      <c r="L181" s="23">
        <f>(Posts[[#This Row],[Likes]]+Posts[[#This Row],[Shares]]+Posts[[#This Row],[Comments]])/Posts[[#This Row],[Impressions]]</f>
        <v>0.15405989502933004</v>
      </c>
      <c r="M181" t="s">
        <v>23</v>
      </c>
      <c r="N181" t="s">
        <v>24</v>
      </c>
    </row>
    <row r="182" spans="1:14" x14ac:dyDescent="0.2">
      <c r="A182" t="s">
        <v>222</v>
      </c>
      <c r="B182" t="s">
        <v>14</v>
      </c>
      <c r="C182" s="1">
        <v>45704</v>
      </c>
      <c r="D182" t="s">
        <v>15</v>
      </c>
      <c r="E182" t="s">
        <v>16</v>
      </c>
      <c r="F182">
        <v>1076</v>
      </c>
      <c r="G182">
        <v>313</v>
      </c>
      <c r="H182">
        <v>306</v>
      </c>
      <c r="I182">
        <v>11836</v>
      </c>
      <c r="J182">
        <v>11596</v>
      </c>
      <c r="K182">
        <v>104</v>
      </c>
      <c r="L182" s="23">
        <f>(Posts[[#This Row],[Likes]]+Posts[[#This Row],[Shares]]+Posts[[#This Row],[Comments]])/Posts[[#This Row],[Impressions]]</f>
        <v>0.14320716458262928</v>
      </c>
      <c r="M182" t="s">
        <v>17</v>
      </c>
      <c r="N182" t="s">
        <v>18</v>
      </c>
    </row>
    <row r="183" spans="1:14" x14ac:dyDescent="0.2">
      <c r="A183" t="s">
        <v>223</v>
      </c>
      <c r="B183" t="s">
        <v>31</v>
      </c>
      <c r="C183" s="1">
        <v>45624</v>
      </c>
      <c r="D183" t="s">
        <v>21</v>
      </c>
      <c r="E183" t="s">
        <v>80</v>
      </c>
      <c r="F183">
        <v>4771</v>
      </c>
      <c r="G183">
        <v>818</v>
      </c>
      <c r="H183">
        <v>56</v>
      </c>
      <c r="I183">
        <v>57252</v>
      </c>
      <c r="J183">
        <v>56378</v>
      </c>
      <c r="K183">
        <v>150</v>
      </c>
      <c r="L183" s="23">
        <f>(Posts[[#This Row],[Likes]]+Posts[[#This Row],[Shares]]+Posts[[#This Row],[Comments]])/Posts[[#This Row],[Impressions]]</f>
        <v>9.859917557465242E-2</v>
      </c>
      <c r="M183" t="s">
        <v>17</v>
      </c>
    </row>
    <row r="184" spans="1:14" x14ac:dyDescent="0.2">
      <c r="A184" t="s">
        <v>224</v>
      </c>
      <c r="B184" t="s">
        <v>38</v>
      </c>
      <c r="C184" s="1">
        <v>45608</v>
      </c>
      <c r="D184" t="s">
        <v>21</v>
      </c>
      <c r="E184" t="s">
        <v>47</v>
      </c>
      <c r="F184">
        <v>2418</v>
      </c>
      <c r="G184">
        <v>754</v>
      </c>
      <c r="H184">
        <v>54</v>
      </c>
      <c r="I184">
        <v>43524</v>
      </c>
      <c r="J184">
        <v>42743</v>
      </c>
      <c r="K184">
        <v>182</v>
      </c>
      <c r="L184" s="23">
        <f>(Posts[[#This Row],[Likes]]+Posts[[#This Row],[Shares]]+Posts[[#This Row],[Comments]])/Posts[[#This Row],[Impressions]]</f>
        <v>7.412002573292896E-2</v>
      </c>
      <c r="M184" t="s">
        <v>34</v>
      </c>
      <c r="N184" t="s">
        <v>18</v>
      </c>
    </row>
    <row r="185" spans="1:14" x14ac:dyDescent="0.2">
      <c r="A185" t="s">
        <v>225</v>
      </c>
      <c r="B185" t="s">
        <v>27</v>
      </c>
      <c r="C185" s="1">
        <v>45629</v>
      </c>
      <c r="D185" t="s">
        <v>58</v>
      </c>
      <c r="E185" t="s">
        <v>138</v>
      </c>
      <c r="F185">
        <v>3809</v>
      </c>
      <c r="G185">
        <v>273</v>
      </c>
      <c r="H185">
        <v>200</v>
      </c>
      <c r="I185">
        <v>34281</v>
      </c>
      <c r="J185">
        <v>33534</v>
      </c>
      <c r="K185">
        <v>83</v>
      </c>
      <c r="L185" s="23">
        <f>(Posts[[#This Row],[Likes]]+Posts[[#This Row],[Shares]]+Posts[[#This Row],[Comments]])/Posts[[#This Row],[Impressions]]</f>
        <v>0.12490884163239112</v>
      </c>
      <c r="M185" t="s">
        <v>34</v>
      </c>
      <c r="N185" t="s">
        <v>18</v>
      </c>
    </row>
    <row r="186" spans="1:14" x14ac:dyDescent="0.2">
      <c r="A186" t="s">
        <v>226</v>
      </c>
      <c r="B186" t="s">
        <v>14</v>
      </c>
      <c r="C186" s="1">
        <v>45775</v>
      </c>
      <c r="D186" t="s">
        <v>21</v>
      </c>
      <c r="E186" t="s">
        <v>22</v>
      </c>
      <c r="F186">
        <v>3577</v>
      </c>
      <c r="G186">
        <v>596</v>
      </c>
      <c r="H186">
        <v>493</v>
      </c>
      <c r="I186">
        <v>67963</v>
      </c>
      <c r="J186">
        <v>67839</v>
      </c>
      <c r="K186">
        <v>53</v>
      </c>
      <c r="L186" s="23">
        <f>(Posts[[#This Row],[Likes]]+Posts[[#This Row],[Shares]]+Posts[[#This Row],[Comments]])/Posts[[#This Row],[Impressions]]</f>
        <v>6.8655003457763777E-2</v>
      </c>
      <c r="M186" t="s">
        <v>23</v>
      </c>
      <c r="N186" t="s">
        <v>29</v>
      </c>
    </row>
    <row r="187" spans="1:14" x14ac:dyDescent="0.2">
      <c r="A187" t="s">
        <v>227</v>
      </c>
      <c r="B187" t="s">
        <v>27</v>
      </c>
      <c r="C187" s="1">
        <v>45657</v>
      </c>
      <c r="D187" t="s">
        <v>58</v>
      </c>
      <c r="E187" t="s">
        <v>138</v>
      </c>
      <c r="F187">
        <v>1018</v>
      </c>
      <c r="G187">
        <v>447</v>
      </c>
      <c r="H187">
        <v>332</v>
      </c>
      <c r="I187">
        <v>18324</v>
      </c>
      <c r="J187">
        <v>18164</v>
      </c>
      <c r="K187">
        <v>38</v>
      </c>
      <c r="L187" s="23">
        <f>(Posts[[#This Row],[Likes]]+Posts[[#This Row],[Shares]]+Posts[[#This Row],[Comments]])/Posts[[#This Row],[Impressions]]</f>
        <v>9.8068107400130972E-2</v>
      </c>
      <c r="M187" t="s">
        <v>17</v>
      </c>
      <c r="N187" t="s">
        <v>24</v>
      </c>
    </row>
    <row r="188" spans="1:14" x14ac:dyDescent="0.2">
      <c r="A188" t="s">
        <v>228</v>
      </c>
      <c r="B188" t="s">
        <v>38</v>
      </c>
      <c r="C188" s="1">
        <v>45518</v>
      </c>
      <c r="D188" t="s">
        <v>39</v>
      </c>
      <c r="E188" t="s">
        <v>40</v>
      </c>
      <c r="F188">
        <v>3073</v>
      </c>
      <c r="G188">
        <v>553</v>
      </c>
      <c r="H188">
        <v>174</v>
      </c>
      <c r="I188">
        <v>52241</v>
      </c>
      <c r="J188">
        <v>51605</v>
      </c>
      <c r="K188">
        <v>246</v>
      </c>
      <c r="L188" s="23">
        <f>(Posts[[#This Row],[Likes]]+Posts[[#This Row],[Shares]]+Posts[[#This Row],[Comments]])/Posts[[#This Row],[Impressions]]</f>
        <v>7.2739802071170159E-2</v>
      </c>
      <c r="M188" t="s">
        <v>34</v>
      </c>
      <c r="N188" t="s">
        <v>29</v>
      </c>
    </row>
    <row r="189" spans="1:14" x14ac:dyDescent="0.2">
      <c r="A189" t="s">
        <v>229</v>
      </c>
      <c r="B189" t="s">
        <v>14</v>
      </c>
      <c r="C189" s="1">
        <v>45631</v>
      </c>
      <c r="D189" t="s">
        <v>58</v>
      </c>
      <c r="E189" t="s">
        <v>97</v>
      </c>
      <c r="F189">
        <v>1330</v>
      </c>
      <c r="G189">
        <v>925</v>
      </c>
      <c r="H189">
        <v>35</v>
      </c>
      <c r="I189">
        <v>15960</v>
      </c>
      <c r="J189">
        <v>15379</v>
      </c>
      <c r="K189">
        <v>229</v>
      </c>
      <c r="L189" s="23">
        <f>(Posts[[#This Row],[Likes]]+Posts[[#This Row],[Shares]]+Posts[[#This Row],[Comments]])/Posts[[#This Row],[Impressions]]</f>
        <v>0.14348370927318296</v>
      </c>
      <c r="M189" t="s">
        <v>17</v>
      </c>
      <c r="N189" t="s">
        <v>29</v>
      </c>
    </row>
    <row r="190" spans="1:14" x14ac:dyDescent="0.2">
      <c r="A190" t="s">
        <v>230</v>
      </c>
      <c r="B190" t="s">
        <v>38</v>
      </c>
      <c r="C190" s="1">
        <v>45465</v>
      </c>
      <c r="D190" t="s">
        <v>21</v>
      </c>
      <c r="E190" t="s">
        <v>47</v>
      </c>
      <c r="F190">
        <v>3828</v>
      </c>
      <c r="G190">
        <v>148</v>
      </c>
      <c r="H190">
        <v>253</v>
      </c>
      <c r="I190">
        <v>30624</v>
      </c>
      <c r="J190">
        <v>30229</v>
      </c>
      <c r="K190">
        <v>235</v>
      </c>
      <c r="L190" s="23">
        <f>(Posts[[#This Row],[Likes]]+Posts[[#This Row],[Shares]]+Posts[[#This Row],[Comments]])/Posts[[#This Row],[Impressions]]</f>
        <v>0.13809430512016718</v>
      </c>
      <c r="M190" t="s">
        <v>34</v>
      </c>
    </row>
    <row r="191" spans="1:14" x14ac:dyDescent="0.2">
      <c r="A191" t="s">
        <v>231</v>
      </c>
      <c r="B191" t="s">
        <v>31</v>
      </c>
      <c r="C191" s="1">
        <v>45674</v>
      </c>
      <c r="D191" t="s">
        <v>15</v>
      </c>
      <c r="E191" t="s">
        <v>63</v>
      </c>
      <c r="F191">
        <v>142</v>
      </c>
      <c r="G191">
        <v>784</v>
      </c>
      <c r="H191">
        <v>183</v>
      </c>
      <c r="I191">
        <v>1704</v>
      </c>
      <c r="J191">
        <v>995</v>
      </c>
      <c r="K191">
        <v>154</v>
      </c>
      <c r="L191" s="23">
        <f>(Posts[[#This Row],[Likes]]+Posts[[#This Row],[Shares]]+Posts[[#This Row],[Comments]])/Posts[[#This Row],[Impressions]]</f>
        <v>0.6508215962441315</v>
      </c>
      <c r="M191" t="s">
        <v>17</v>
      </c>
      <c r="N191" t="s">
        <v>35</v>
      </c>
    </row>
    <row r="192" spans="1:14" x14ac:dyDescent="0.2">
      <c r="A192" t="s">
        <v>232</v>
      </c>
      <c r="B192" t="s">
        <v>38</v>
      </c>
      <c r="C192" s="1">
        <v>45463</v>
      </c>
      <c r="D192" t="s">
        <v>58</v>
      </c>
      <c r="E192" t="s">
        <v>59</v>
      </c>
      <c r="F192">
        <v>3798</v>
      </c>
      <c r="G192">
        <v>31</v>
      </c>
      <c r="H192">
        <v>279</v>
      </c>
      <c r="I192">
        <v>75960</v>
      </c>
      <c r="J192">
        <v>75813</v>
      </c>
      <c r="K192">
        <v>266</v>
      </c>
      <c r="L192" s="23">
        <f>(Posts[[#This Row],[Likes]]+Posts[[#This Row],[Shares]]+Posts[[#This Row],[Comments]])/Posts[[#This Row],[Impressions]]</f>
        <v>5.4081095313322801E-2</v>
      </c>
      <c r="M192" t="s">
        <v>23</v>
      </c>
      <c r="N192" t="s">
        <v>18</v>
      </c>
    </row>
    <row r="193" spans="1:14" x14ac:dyDescent="0.2">
      <c r="A193" t="s">
        <v>233</v>
      </c>
      <c r="B193" t="s">
        <v>31</v>
      </c>
      <c r="C193" s="1">
        <v>45483</v>
      </c>
      <c r="D193" t="s">
        <v>39</v>
      </c>
      <c r="E193" t="s">
        <v>67</v>
      </c>
      <c r="F193">
        <v>3099</v>
      </c>
      <c r="G193">
        <v>694</v>
      </c>
      <c r="H193">
        <v>171</v>
      </c>
      <c r="I193">
        <v>43386</v>
      </c>
      <c r="J193">
        <v>42921</v>
      </c>
      <c r="K193">
        <v>52</v>
      </c>
      <c r="L193" s="23">
        <f>(Posts[[#This Row],[Likes]]+Posts[[#This Row],[Shares]]+Posts[[#This Row],[Comments]])/Posts[[#This Row],[Impressions]]</f>
        <v>9.1365878393951966E-2</v>
      </c>
      <c r="M193" t="s">
        <v>23</v>
      </c>
      <c r="N193" t="s">
        <v>29</v>
      </c>
    </row>
    <row r="194" spans="1:14" x14ac:dyDescent="0.2">
      <c r="A194" t="s">
        <v>234</v>
      </c>
      <c r="B194" t="s">
        <v>31</v>
      </c>
      <c r="C194" s="1">
        <v>45603</v>
      </c>
      <c r="D194" t="s">
        <v>58</v>
      </c>
      <c r="E194" t="s">
        <v>65</v>
      </c>
      <c r="F194">
        <v>129</v>
      </c>
      <c r="G194">
        <v>643</v>
      </c>
      <c r="H194">
        <v>136</v>
      </c>
      <c r="I194">
        <v>1290</v>
      </c>
      <c r="J194">
        <v>839</v>
      </c>
      <c r="K194">
        <v>238</v>
      </c>
      <c r="L194" s="23">
        <f>(Posts[[#This Row],[Likes]]+Posts[[#This Row],[Shares]]+Posts[[#This Row],[Comments]])/Posts[[#This Row],[Impressions]]</f>
        <v>0.70387596899224802</v>
      </c>
      <c r="M194" t="s">
        <v>23</v>
      </c>
      <c r="N194" t="s">
        <v>35</v>
      </c>
    </row>
    <row r="195" spans="1:14" x14ac:dyDescent="0.2">
      <c r="A195" t="s">
        <v>235</v>
      </c>
      <c r="B195" t="s">
        <v>38</v>
      </c>
      <c r="C195" s="1">
        <v>45488</v>
      </c>
      <c r="D195" t="s">
        <v>39</v>
      </c>
      <c r="E195" t="s">
        <v>40</v>
      </c>
      <c r="F195">
        <v>3796</v>
      </c>
      <c r="G195">
        <v>667</v>
      </c>
      <c r="H195">
        <v>395</v>
      </c>
      <c r="I195">
        <v>64532</v>
      </c>
      <c r="J195">
        <v>63550</v>
      </c>
      <c r="K195">
        <v>292</v>
      </c>
      <c r="L195" s="23">
        <f>(Posts[[#This Row],[Likes]]+Posts[[#This Row],[Shares]]+Posts[[#This Row],[Comments]])/Posts[[#This Row],[Impressions]]</f>
        <v>7.5280481001673588E-2</v>
      </c>
      <c r="M195" t="s">
        <v>23</v>
      </c>
    </row>
    <row r="196" spans="1:14" x14ac:dyDescent="0.2">
      <c r="A196" t="s">
        <v>236</v>
      </c>
      <c r="B196" t="s">
        <v>27</v>
      </c>
      <c r="C196" s="1">
        <v>45629</v>
      </c>
      <c r="D196" t="s">
        <v>21</v>
      </c>
      <c r="E196" t="s">
        <v>75</v>
      </c>
      <c r="F196">
        <v>3711</v>
      </c>
      <c r="G196">
        <v>352</v>
      </c>
      <c r="H196">
        <v>290</v>
      </c>
      <c r="I196">
        <v>48243</v>
      </c>
      <c r="J196">
        <v>47579</v>
      </c>
      <c r="K196">
        <v>11</v>
      </c>
      <c r="L196" s="23">
        <f>(Posts[[#This Row],[Likes]]+Posts[[#This Row],[Shares]]+Posts[[#This Row],[Comments]])/Posts[[#This Row],[Impressions]]</f>
        <v>9.023070704558174E-2</v>
      </c>
      <c r="M196" t="s">
        <v>23</v>
      </c>
      <c r="N196" t="s">
        <v>18</v>
      </c>
    </row>
    <row r="197" spans="1:14" x14ac:dyDescent="0.2">
      <c r="A197" t="s">
        <v>237</v>
      </c>
      <c r="B197" t="s">
        <v>27</v>
      </c>
      <c r="C197" s="1">
        <v>45737</v>
      </c>
      <c r="D197" t="s">
        <v>44</v>
      </c>
      <c r="E197" t="s">
        <v>45</v>
      </c>
      <c r="F197">
        <v>606</v>
      </c>
      <c r="G197">
        <v>789</v>
      </c>
      <c r="H197">
        <v>470</v>
      </c>
      <c r="I197">
        <v>7878</v>
      </c>
      <c r="J197">
        <v>7389</v>
      </c>
      <c r="K197">
        <v>239</v>
      </c>
      <c r="L197" s="23">
        <f>(Posts[[#This Row],[Likes]]+Posts[[#This Row],[Shares]]+Posts[[#This Row],[Comments]])/Posts[[#This Row],[Impressions]]</f>
        <v>0.23673521198273673</v>
      </c>
      <c r="M197" t="s">
        <v>34</v>
      </c>
      <c r="N197" t="s">
        <v>29</v>
      </c>
    </row>
    <row r="198" spans="1:14" x14ac:dyDescent="0.2">
      <c r="A198" t="s">
        <v>238</v>
      </c>
      <c r="B198" t="s">
        <v>38</v>
      </c>
      <c r="C198" s="1">
        <v>45504</v>
      </c>
      <c r="D198" t="s">
        <v>44</v>
      </c>
      <c r="E198" t="s">
        <v>49</v>
      </c>
      <c r="F198">
        <v>4689</v>
      </c>
      <c r="G198">
        <v>134</v>
      </c>
      <c r="H198">
        <v>403</v>
      </c>
      <c r="I198">
        <v>51579</v>
      </c>
      <c r="J198">
        <v>50924</v>
      </c>
      <c r="K198">
        <v>173</v>
      </c>
      <c r="L198" s="23">
        <f>(Posts[[#This Row],[Likes]]+Posts[[#This Row],[Shares]]+Posts[[#This Row],[Comments]])/Posts[[#This Row],[Impressions]]</f>
        <v>0.10132030477519921</v>
      </c>
      <c r="M198" t="s">
        <v>23</v>
      </c>
      <c r="N198" t="s">
        <v>35</v>
      </c>
    </row>
    <row r="199" spans="1:14" x14ac:dyDescent="0.2">
      <c r="A199" t="s">
        <v>239</v>
      </c>
      <c r="B199" t="s">
        <v>31</v>
      </c>
      <c r="C199" s="1">
        <v>45643</v>
      </c>
      <c r="D199" t="s">
        <v>32</v>
      </c>
      <c r="E199" t="s">
        <v>33</v>
      </c>
      <c r="F199">
        <v>360</v>
      </c>
      <c r="G199">
        <v>590</v>
      </c>
      <c r="H199">
        <v>393</v>
      </c>
      <c r="I199">
        <v>4680</v>
      </c>
      <c r="J199">
        <v>4322</v>
      </c>
      <c r="K199">
        <v>208</v>
      </c>
      <c r="L199" s="23">
        <f>(Posts[[#This Row],[Likes]]+Posts[[#This Row],[Shares]]+Posts[[#This Row],[Comments]])/Posts[[#This Row],[Impressions]]</f>
        <v>0.28696581196581195</v>
      </c>
      <c r="M199" t="s">
        <v>17</v>
      </c>
      <c r="N199" t="s">
        <v>24</v>
      </c>
    </row>
    <row r="200" spans="1:14" x14ac:dyDescent="0.2">
      <c r="A200" t="s">
        <v>240</v>
      </c>
      <c r="B200" t="s">
        <v>14</v>
      </c>
      <c r="C200" s="1">
        <v>45501</v>
      </c>
      <c r="D200" t="s">
        <v>44</v>
      </c>
      <c r="E200" t="s">
        <v>90</v>
      </c>
      <c r="F200">
        <v>3215</v>
      </c>
      <c r="G200">
        <v>960</v>
      </c>
      <c r="H200">
        <v>202</v>
      </c>
      <c r="I200">
        <v>32150</v>
      </c>
      <c r="J200">
        <v>31404</v>
      </c>
      <c r="K200">
        <v>251</v>
      </c>
      <c r="L200" s="23">
        <f>(Posts[[#This Row],[Likes]]+Posts[[#This Row],[Shares]]+Posts[[#This Row],[Comments]])/Posts[[#This Row],[Impressions]]</f>
        <v>0.13614307931570763</v>
      </c>
      <c r="M200" t="s">
        <v>34</v>
      </c>
      <c r="N200" t="s">
        <v>18</v>
      </c>
    </row>
    <row r="201" spans="1:14" x14ac:dyDescent="0.2">
      <c r="A201" t="s">
        <v>241</v>
      </c>
      <c r="B201" t="s">
        <v>31</v>
      </c>
      <c r="C201" s="1">
        <v>45668</v>
      </c>
      <c r="D201" t="s">
        <v>39</v>
      </c>
      <c r="E201" t="s">
        <v>67</v>
      </c>
      <c r="F201">
        <v>4523</v>
      </c>
      <c r="G201">
        <v>61</v>
      </c>
      <c r="H201">
        <v>157</v>
      </c>
      <c r="I201">
        <v>49753</v>
      </c>
      <c r="J201">
        <v>49329</v>
      </c>
      <c r="K201">
        <v>71</v>
      </c>
      <c r="L201" s="23">
        <f>(Posts[[#This Row],[Likes]]+Posts[[#This Row],[Shares]]+Posts[[#This Row],[Comments]])/Posts[[#This Row],[Impressions]]</f>
        <v>9.5290736237010829E-2</v>
      </c>
      <c r="M201" t="s">
        <v>34</v>
      </c>
    </row>
    <row r="202" spans="1:14" x14ac:dyDescent="0.2">
      <c r="A202" t="s">
        <v>242</v>
      </c>
      <c r="B202" t="s">
        <v>38</v>
      </c>
      <c r="C202" s="1">
        <v>45528</v>
      </c>
      <c r="D202" t="s">
        <v>39</v>
      </c>
      <c r="E202" t="s">
        <v>40</v>
      </c>
      <c r="F202">
        <v>4292</v>
      </c>
      <c r="G202">
        <v>51</v>
      </c>
      <c r="H202">
        <v>392</v>
      </c>
      <c r="I202">
        <v>55796</v>
      </c>
      <c r="J202">
        <v>54826</v>
      </c>
      <c r="K202">
        <v>264</v>
      </c>
      <c r="L202" s="23">
        <f>(Posts[[#This Row],[Likes]]+Posts[[#This Row],[Shares]]+Posts[[#This Row],[Comments]])/Posts[[#This Row],[Impressions]]</f>
        <v>8.4862714173059003E-2</v>
      </c>
      <c r="M202" t="s">
        <v>34</v>
      </c>
      <c r="N202" t="s">
        <v>29</v>
      </c>
    </row>
    <row r="203" spans="1:14" x14ac:dyDescent="0.2">
      <c r="A203" t="s">
        <v>243</v>
      </c>
      <c r="B203" t="s">
        <v>14</v>
      </c>
      <c r="C203" s="1">
        <v>45648</v>
      </c>
      <c r="D203" t="s">
        <v>15</v>
      </c>
      <c r="E203" t="s">
        <v>16</v>
      </c>
      <c r="F203">
        <v>1644</v>
      </c>
      <c r="G203">
        <v>546</v>
      </c>
      <c r="H203">
        <v>150</v>
      </c>
      <c r="I203">
        <v>27948</v>
      </c>
      <c r="J203">
        <v>27184</v>
      </c>
      <c r="K203">
        <v>300</v>
      </c>
      <c r="L203" s="23">
        <f>(Posts[[#This Row],[Likes]]+Posts[[#This Row],[Shares]]+Posts[[#This Row],[Comments]])/Posts[[#This Row],[Impressions]]</f>
        <v>8.3726921425504502E-2</v>
      </c>
      <c r="M203" t="s">
        <v>34</v>
      </c>
      <c r="N203" t="s">
        <v>29</v>
      </c>
    </row>
    <row r="204" spans="1:14" x14ac:dyDescent="0.2">
      <c r="A204" t="s">
        <v>244</v>
      </c>
      <c r="B204" t="s">
        <v>27</v>
      </c>
      <c r="C204" s="1">
        <v>45449</v>
      </c>
      <c r="D204" t="s">
        <v>15</v>
      </c>
      <c r="E204" t="s">
        <v>28</v>
      </c>
      <c r="F204">
        <v>2728</v>
      </c>
      <c r="G204">
        <v>533</v>
      </c>
      <c r="H204">
        <v>215</v>
      </c>
      <c r="I204">
        <v>40920</v>
      </c>
      <c r="J204">
        <v>40816</v>
      </c>
      <c r="K204">
        <v>137</v>
      </c>
      <c r="L204" s="23">
        <f>(Posts[[#This Row],[Likes]]+Posts[[#This Row],[Shares]]+Posts[[#This Row],[Comments]])/Posts[[#This Row],[Impressions]]</f>
        <v>8.4946236559139784E-2</v>
      </c>
      <c r="M204" t="s">
        <v>17</v>
      </c>
      <c r="N204" t="s">
        <v>24</v>
      </c>
    </row>
    <row r="205" spans="1:14" x14ac:dyDescent="0.2">
      <c r="A205" t="s">
        <v>245</v>
      </c>
      <c r="B205" t="s">
        <v>38</v>
      </c>
      <c r="C205" s="1">
        <v>45740</v>
      </c>
      <c r="D205" t="s">
        <v>15</v>
      </c>
      <c r="E205" t="s">
        <v>52</v>
      </c>
      <c r="F205">
        <v>3360</v>
      </c>
      <c r="G205">
        <v>525</v>
      </c>
      <c r="H205">
        <v>500</v>
      </c>
      <c r="I205">
        <v>60480</v>
      </c>
      <c r="J205">
        <v>59610</v>
      </c>
      <c r="K205">
        <v>192</v>
      </c>
      <c r="L205" s="23">
        <f>(Posts[[#This Row],[Likes]]+Posts[[#This Row],[Shares]]+Posts[[#This Row],[Comments]])/Posts[[#This Row],[Impressions]]</f>
        <v>7.2503306878306875E-2</v>
      </c>
      <c r="M205" t="s">
        <v>23</v>
      </c>
      <c r="N205" t="s">
        <v>18</v>
      </c>
    </row>
    <row r="206" spans="1:14" x14ac:dyDescent="0.2">
      <c r="A206" t="s">
        <v>246</v>
      </c>
      <c r="B206" t="s">
        <v>27</v>
      </c>
      <c r="C206" s="1">
        <v>45569</v>
      </c>
      <c r="D206" t="s">
        <v>21</v>
      </c>
      <c r="E206" t="s">
        <v>75</v>
      </c>
      <c r="F206">
        <v>1963</v>
      </c>
      <c r="G206">
        <v>213</v>
      </c>
      <c r="H206">
        <v>19</v>
      </c>
      <c r="I206">
        <v>39260</v>
      </c>
      <c r="J206">
        <v>38771</v>
      </c>
      <c r="K206">
        <v>145</v>
      </c>
      <c r="L206" s="23">
        <f>(Posts[[#This Row],[Likes]]+Posts[[#This Row],[Shares]]+Posts[[#This Row],[Comments]])/Posts[[#This Row],[Impressions]]</f>
        <v>5.5909322465613857E-2</v>
      </c>
      <c r="M206" t="s">
        <v>17</v>
      </c>
    </row>
    <row r="207" spans="1:14" x14ac:dyDescent="0.2">
      <c r="A207" t="s">
        <v>247</v>
      </c>
      <c r="B207" t="s">
        <v>27</v>
      </c>
      <c r="C207" s="1">
        <v>45629</v>
      </c>
      <c r="D207" t="s">
        <v>32</v>
      </c>
      <c r="E207" t="s">
        <v>103</v>
      </c>
      <c r="F207">
        <v>4285</v>
      </c>
      <c r="G207">
        <v>886</v>
      </c>
      <c r="H207">
        <v>376</v>
      </c>
      <c r="I207">
        <v>55705</v>
      </c>
      <c r="J207">
        <v>55556</v>
      </c>
      <c r="K207">
        <v>51</v>
      </c>
      <c r="L207" s="23">
        <f>(Posts[[#This Row],[Likes]]+Posts[[#This Row],[Shares]]+Posts[[#This Row],[Comments]])/Posts[[#This Row],[Impressions]]</f>
        <v>9.9578134817341346E-2</v>
      </c>
      <c r="M207" t="s">
        <v>17</v>
      </c>
      <c r="N207" t="s">
        <v>29</v>
      </c>
    </row>
    <row r="208" spans="1:14" x14ac:dyDescent="0.2">
      <c r="A208" t="s">
        <v>248</v>
      </c>
      <c r="B208" t="s">
        <v>31</v>
      </c>
      <c r="C208" s="1">
        <v>45625</v>
      </c>
      <c r="D208" t="s">
        <v>58</v>
      </c>
      <c r="E208" t="s">
        <v>65</v>
      </c>
      <c r="F208">
        <v>1176</v>
      </c>
      <c r="G208">
        <v>464</v>
      </c>
      <c r="H208">
        <v>394</v>
      </c>
      <c r="I208">
        <v>14112</v>
      </c>
      <c r="J208">
        <v>13588</v>
      </c>
      <c r="K208">
        <v>272</v>
      </c>
      <c r="L208" s="23">
        <f>(Posts[[#This Row],[Likes]]+Posts[[#This Row],[Shares]]+Posts[[#This Row],[Comments]])/Posts[[#This Row],[Impressions]]</f>
        <v>0.1441326530612245</v>
      </c>
      <c r="M208" t="s">
        <v>34</v>
      </c>
    </row>
    <row r="209" spans="1:14" x14ac:dyDescent="0.2">
      <c r="A209" t="s">
        <v>249</v>
      </c>
      <c r="B209" t="s">
        <v>14</v>
      </c>
      <c r="C209" s="1">
        <v>45546</v>
      </c>
      <c r="D209" t="s">
        <v>44</v>
      </c>
      <c r="E209" t="s">
        <v>90</v>
      </c>
      <c r="F209">
        <v>4858</v>
      </c>
      <c r="G209">
        <v>317</v>
      </c>
      <c r="H209">
        <v>129</v>
      </c>
      <c r="I209">
        <v>53438</v>
      </c>
      <c r="J209">
        <v>52687</v>
      </c>
      <c r="K209">
        <v>223</v>
      </c>
      <c r="L209" s="23">
        <f>(Posts[[#This Row],[Likes]]+Posts[[#This Row],[Shares]]+Posts[[#This Row],[Comments]])/Posts[[#This Row],[Impressions]]</f>
        <v>9.9255211647142488E-2</v>
      </c>
      <c r="M209" t="s">
        <v>34</v>
      </c>
      <c r="N209" t="s">
        <v>29</v>
      </c>
    </row>
    <row r="210" spans="1:14" x14ac:dyDescent="0.2">
      <c r="A210" t="s">
        <v>250</v>
      </c>
      <c r="B210" t="s">
        <v>27</v>
      </c>
      <c r="C210" s="1">
        <v>45567</v>
      </c>
      <c r="D210" t="s">
        <v>32</v>
      </c>
      <c r="E210" t="s">
        <v>103</v>
      </c>
      <c r="F210">
        <v>4350</v>
      </c>
      <c r="G210">
        <v>771</v>
      </c>
      <c r="H210">
        <v>7</v>
      </c>
      <c r="I210">
        <v>60900</v>
      </c>
      <c r="J210">
        <v>60592</v>
      </c>
      <c r="K210">
        <v>195</v>
      </c>
      <c r="L210" s="23">
        <f>(Posts[[#This Row],[Likes]]+Posts[[#This Row],[Shares]]+Posts[[#This Row],[Comments]])/Posts[[#This Row],[Impressions]]</f>
        <v>8.4203612479474554E-2</v>
      </c>
      <c r="M210" t="s">
        <v>34</v>
      </c>
      <c r="N210" t="s">
        <v>18</v>
      </c>
    </row>
    <row r="211" spans="1:14" x14ac:dyDescent="0.2">
      <c r="A211" t="s">
        <v>251</v>
      </c>
      <c r="B211" t="s">
        <v>31</v>
      </c>
      <c r="C211" s="1">
        <v>45519</v>
      </c>
      <c r="D211" t="s">
        <v>39</v>
      </c>
      <c r="E211" t="s">
        <v>67</v>
      </c>
      <c r="F211">
        <v>914</v>
      </c>
      <c r="G211">
        <v>464</v>
      </c>
      <c r="H211">
        <v>246</v>
      </c>
      <c r="I211">
        <v>11882</v>
      </c>
      <c r="J211">
        <v>11500</v>
      </c>
      <c r="K211">
        <v>282</v>
      </c>
      <c r="L211" s="23">
        <f>(Posts[[#This Row],[Likes]]+Posts[[#This Row],[Shares]]+Posts[[#This Row],[Comments]])/Posts[[#This Row],[Impressions]]</f>
        <v>0.13667732704931829</v>
      </c>
      <c r="M211" t="s">
        <v>17</v>
      </c>
      <c r="N211" t="s">
        <v>35</v>
      </c>
    </row>
    <row r="212" spans="1:14" x14ac:dyDescent="0.2">
      <c r="A212" t="s">
        <v>251</v>
      </c>
      <c r="B212" t="s">
        <v>31</v>
      </c>
      <c r="C212" s="1">
        <v>45519</v>
      </c>
      <c r="D212" t="s">
        <v>39</v>
      </c>
      <c r="E212" t="s">
        <v>67</v>
      </c>
      <c r="F212">
        <v>914</v>
      </c>
      <c r="G212">
        <v>464</v>
      </c>
      <c r="H212">
        <v>246</v>
      </c>
      <c r="I212">
        <v>11882</v>
      </c>
      <c r="J212">
        <v>11500</v>
      </c>
      <c r="K212">
        <v>282</v>
      </c>
      <c r="L212" s="23">
        <f>(Posts[[#This Row],[Likes]]+Posts[[#This Row],[Shares]]+Posts[[#This Row],[Comments]])/Posts[[#This Row],[Impressions]]</f>
        <v>0.13667732704931829</v>
      </c>
      <c r="M212" t="s">
        <v>23</v>
      </c>
      <c r="N212" t="s">
        <v>35</v>
      </c>
    </row>
    <row r="213" spans="1:14" x14ac:dyDescent="0.2">
      <c r="A213" t="s">
        <v>251</v>
      </c>
      <c r="B213" t="s">
        <v>31</v>
      </c>
      <c r="C213" s="1">
        <v>45519</v>
      </c>
      <c r="D213" t="s">
        <v>39</v>
      </c>
      <c r="E213" t="s">
        <v>67</v>
      </c>
      <c r="F213">
        <v>914</v>
      </c>
      <c r="G213">
        <v>464</v>
      </c>
      <c r="H213">
        <v>246</v>
      </c>
      <c r="I213">
        <v>11882</v>
      </c>
      <c r="J213">
        <v>11500</v>
      </c>
      <c r="K213">
        <v>282</v>
      </c>
      <c r="L213" s="23">
        <f>(Posts[[#This Row],[Likes]]+Posts[[#This Row],[Shares]]+Posts[[#This Row],[Comments]])/Posts[[#This Row],[Impressions]]</f>
        <v>0.13667732704931829</v>
      </c>
      <c r="M213" t="s">
        <v>19</v>
      </c>
      <c r="N213" t="s">
        <v>35</v>
      </c>
    </row>
    <row r="214" spans="1:14" x14ac:dyDescent="0.2">
      <c r="A214" t="s">
        <v>252</v>
      </c>
      <c r="B214" t="s">
        <v>31</v>
      </c>
      <c r="C214" s="1">
        <v>45645</v>
      </c>
      <c r="D214" t="s">
        <v>21</v>
      </c>
      <c r="E214" t="s">
        <v>80</v>
      </c>
      <c r="F214">
        <v>1813</v>
      </c>
      <c r="G214">
        <v>623</v>
      </c>
      <c r="H214">
        <v>72</v>
      </c>
      <c r="I214">
        <v>19943</v>
      </c>
      <c r="J214">
        <v>18959</v>
      </c>
      <c r="K214">
        <v>85</v>
      </c>
      <c r="L214" s="23">
        <f>(Posts[[#This Row],[Likes]]+Posts[[#This Row],[Shares]]+Posts[[#This Row],[Comments]])/Posts[[#This Row],[Impressions]]</f>
        <v>0.12575841147269717</v>
      </c>
      <c r="M214" t="s">
        <v>34</v>
      </c>
      <c r="N214" t="s">
        <v>29</v>
      </c>
    </row>
    <row r="215" spans="1:14" x14ac:dyDescent="0.2">
      <c r="A215" t="s">
        <v>253</v>
      </c>
      <c r="B215" t="s">
        <v>14</v>
      </c>
      <c r="C215" s="1">
        <v>45587</v>
      </c>
      <c r="D215" t="s">
        <v>15</v>
      </c>
      <c r="E215" t="s">
        <v>16</v>
      </c>
      <c r="F215">
        <v>4782</v>
      </c>
      <c r="G215">
        <v>721</v>
      </c>
      <c r="H215">
        <v>82</v>
      </c>
      <c r="I215">
        <v>86076</v>
      </c>
      <c r="J215">
        <v>85339</v>
      </c>
      <c r="K215">
        <v>19</v>
      </c>
      <c r="L215" s="23">
        <f>(Posts[[#This Row],[Likes]]+Posts[[#This Row],[Shares]]+Posts[[#This Row],[Comments]])/Posts[[#This Row],[Impressions]]</f>
        <v>6.4884520656164318E-2</v>
      </c>
      <c r="M215" t="s">
        <v>34</v>
      </c>
      <c r="N215" t="s">
        <v>18</v>
      </c>
    </row>
    <row r="216" spans="1:14" x14ac:dyDescent="0.2">
      <c r="A216" t="s">
        <v>254</v>
      </c>
      <c r="B216" t="s">
        <v>14</v>
      </c>
      <c r="C216" s="1">
        <v>45549</v>
      </c>
      <c r="D216" t="s">
        <v>44</v>
      </c>
      <c r="E216" t="s">
        <v>90</v>
      </c>
      <c r="F216">
        <v>1048</v>
      </c>
      <c r="G216">
        <v>374</v>
      </c>
      <c r="H216">
        <v>450</v>
      </c>
      <c r="I216">
        <v>9432</v>
      </c>
      <c r="J216">
        <v>8882</v>
      </c>
      <c r="K216">
        <v>158</v>
      </c>
      <c r="L216" s="23">
        <f>(Posts[[#This Row],[Likes]]+Posts[[#This Row],[Shares]]+Posts[[#This Row],[Comments]])/Posts[[#This Row],[Impressions]]</f>
        <v>0.19847328244274809</v>
      </c>
      <c r="M216" t="s">
        <v>23</v>
      </c>
      <c r="N216" t="s">
        <v>29</v>
      </c>
    </row>
    <row r="217" spans="1:14" x14ac:dyDescent="0.2">
      <c r="A217" t="s">
        <v>255</v>
      </c>
      <c r="B217" t="s">
        <v>27</v>
      </c>
      <c r="C217" s="1">
        <v>45626</v>
      </c>
      <c r="D217" t="s">
        <v>39</v>
      </c>
      <c r="E217" t="s">
        <v>54</v>
      </c>
      <c r="F217">
        <v>2509</v>
      </c>
      <c r="G217">
        <v>324</v>
      </c>
      <c r="H217">
        <v>171</v>
      </c>
      <c r="I217">
        <v>35126</v>
      </c>
      <c r="J217">
        <v>34685</v>
      </c>
      <c r="K217">
        <v>277</v>
      </c>
      <c r="L217" s="23">
        <f>(Posts[[#This Row],[Likes]]+Posts[[#This Row],[Shares]]+Posts[[#This Row],[Comments]])/Posts[[#This Row],[Impressions]]</f>
        <v>8.5520696919660646E-2</v>
      </c>
      <c r="M217" t="s">
        <v>23</v>
      </c>
      <c r="N217" t="s">
        <v>24</v>
      </c>
    </row>
    <row r="218" spans="1:14" x14ac:dyDescent="0.2">
      <c r="A218" t="s">
        <v>256</v>
      </c>
      <c r="B218" t="s">
        <v>38</v>
      </c>
      <c r="C218" s="1">
        <v>45754</v>
      </c>
      <c r="D218" t="s">
        <v>15</v>
      </c>
      <c r="E218" t="s">
        <v>52</v>
      </c>
      <c r="F218">
        <v>3718</v>
      </c>
      <c r="G218">
        <v>385</v>
      </c>
      <c r="H218">
        <v>310</v>
      </c>
      <c r="I218">
        <v>70642</v>
      </c>
      <c r="J218">
        <v>69749</v>
      </c>
      <c r="K218">
        <v>233</v>
      </c>
      <c r="L218" s="23">
        <f>(Posts[[#This Row],[Likes]]+Posts[[#This Row],[Shares]]+Posts[[#This Row],[Comments]])/Posts[[#This Row],[Impressions]]</f>
        <v>6.246991874522239E-2</v>
      </c>
      <c r="M218" t="s">
        <v>23</v>
      </c>
      <c r="N218" t="s">
        <v>24</v>
      </c>
    </row>
    <row r="219" spans="1:14" x14ac:dyDescent="0.2">
      <c r="A219" t="s">
        <v>257</v>
      </c>
      <c r="B219" t="s">
        <v>14</v>
      </c>
      <c r="C219" s="1">
        <v>45672</v>
      </c>
      <c r="D219" t="s">
        <v>15</v>
      </c>
      <c r="E219" t="s">
        <v>16</v>
      </c>
      <c r="F219">
        <v>802</v>
      </c>
      <c r="G219">
        <v>262</v>
      </c>
      <c r="H219">
        <v>244</v>
      </c>
      <c r="I219">
        <v>14436</v>
      </c>
      <c r="J219">
        <v>14280</v>
      </c>
      <c r="K219">
        <v>49</v>
      </c>
      <c r="L219" s="23">
        <f>(Posts[[#This Row],[Likes]]+Posts[[#This Row],[Shares]]+Posts[[#This Row],[Comments]])/Posts[[#This Row],[Impressions]]</f>
        <v>9.0606816292601824E-2</v>
      </c>
      <c r="M219" t="s">
        <v>34</v>
      </c>
      <c r="N219" t="s">
        <v>18</v>
      </c>
    </row>
    <row r="220" spans="1:14" x14ac:dyDescent="0.2">
      <c r="A220" t="s">
        <v>258</v>
      </c>
      <c r="B220" t="s">
        <v>38</v>
      </c>
      <c r="C220" s="1">
        <v>45445</v>
      </c>
      <c r="D220" t="s">
        <v>44</v>
      </c>
      <c r="E220" t="s">
        <v>49</v>
      </c>
      <c r="F220">
        <v>1871</v>
      </c>
      <c r="G220">
        <v>252</v>
      </c>
      <c r="H220">
        <v>335</v>
      </c>
      <c r="I220">
        <v>29936</v>
      </c>
      <c r="J220">
        <v>29576</v>
      </c>
      <c r="K220">
        <v>288</v>
      </c>
      <c r="L220" s="23">
        <f>(Posts[[#This Row],[Likes]]+Posts[[#This Row],[Shares]]+Posts[[#This Row],[Comments]])/Posts[[#This Row],[Impressions]]</f>
        <v>8.2108498129342594E-2</v>
      </c>
      <c r="M220" t="s">
        <v>34</v>
      </c>
      <c r="N220" t="s">
        <v>29</v>
      </c>
    </row>
    <row r="221" spans="1:14" x14ac:dyDescent="0.2">
      <c r="A221" t="s">
        <v>259</v>
      </c>
      <c r="B221" t="s">
        <v>31</v>
      </c>
      <c r="C221" s="1">
        <v>45617</v>
      </c>
      <c r="D221" t="s">
        <v>39</v>
      </c>
      <c r="E221" t="s">
        <v>67</v>
      </c>
      <c r="F221">
        <v>3773</v>
      </c>
      <c r="G221">
        <v>299</v>
      </c>
      <c r="H221">
        <v>38</v>
      </c>
      <c r="I221">
        <v>71687</v>
      </c>
      <c r="J221">
        <v>71447</v>
      </c>
      <c r="K221">
        <v>286</v>
      </c>
      <c r="L221" s="23">
        <f>(Posts[[#This Row],[Likes]]+Posts[[#This Row],[Shares]]+Posts[[#This Row],[Comments]])/Posts[[#This Row],[Impressions]]</f>
        <v>5.7332570758993957E-2</v>
      </c>
      <c r="M221" t="s">
        <v>17</v>
      </c>
      <c r="N221" t="s">
        <v>18</v>
      </c>
    </row>
    <row r="222" spans="1:14" x14ac:dyDescent="0.2">
      <c r="A222" t="s">
        <v>260</v>
      </c>
      <c r="B222" t="s">
        <v>31</v>
      </c>
      <c r="C222" s="1">
        <v>45658</v>
      </c>
      <c r="D222" t="s">
        <v>39</v>
      </c>
      <c r="E222" t="s">
        <v>67</v>
      </c>
      <c r="F222">
        <v>2234</v>
      </c>
      <c r="G222">
        <v>653</v>
      </c>
      <c r="H222">
        <v>432</v>
      </c>
      <c r="I222">
        <v>11170</v>
      </c>
      <c r="J222">
        <v>10569</v>
      </c>
      <c r="K222">
        <v>198</v>
      </c>
      <c r="L222" s="23">
        <f>(Posts[[#This Row],[Likes]]+Posts[[#This Row],[Shares]]+Posts[[#This Row],[Comments]])/Posts[[#This Row],[Impressions]]</f>
        <v>0.29713518352730528</v>
      </c>
      <c r="M222" t="s">
        <v>17</v>
      </c>
      <c r="N222" t="s">
        <v>29</v>
      </c>
    </row>
    <row r="223" spans="1:14" x14ac:dyDescent="0.2">
      <c r="A223" t="s">
        <v>261</v>
      </c>
      <c r="B223" t="s">
        <v>14</v>
      </c>
      <c r="C223" s="1">
        <v>45771</v>
      </c>
      <c r="D223" t="s">
        <v>58</v>
      </c>
      <c r="E223" t="s">
        <v>97</v>
      </c>
      <c r="F223">
        <v>3820</v>
      </c>
      <c r="G223">
        <v>697</v>
      </c>
      <c r="H223">
        <v>268</v>
      </c>
      <c r="I223">
        <v>45840</v>
      </c>
      <c r="J223">
        <v>45631</v>
      </c>
      <c r="K223">
        <v>171</v>
      </c>
      <c r="L223" s="23">
        <f>(Posts[[#This Row],[Likes]]+Posts[[#This Row],[Shares]]+Posts[[#This Row],[Comments]])/Posts[[#This Row],[Impressions]]</f>
        <v>0.1043848167539267</v>
      </c>
      <c r="M223" t="s">
        <v>23</v>
      </c>
      <c r="N223" t="s">
        <v>35</v>
      </c>
    </row>
    <row r="224" spans="1:14" x14ac:dyDescent="0.2">
      <c r="A224" t="s">
        <v>261</v>
      </c>
      <c r="B224" t="s">
        <v>14</v>
      </c>
      <c r="C224" s="1">
        <v>45771</v>
      </c>
      <c r="D224" t="s">
        <v>58</v>
      </c>
      <c r="E224" t="s">
        <v>97</v>
      </c>
      <c r="F224">
        <v>3820</v>
      </c>
      <c r="G224">
        <v>697</v>
      </c>
      <c r="H224">
        <v>268</v>
      </c>
      <c r="I224">
        <v>45840</v>
      </c>
      <c r="J224">
        <v>45631</v>
      </c>
      <c r="K224">
        <v>171</v>
      </c>
      <c r="L224" s="23">
        <f>(Posts[[#This Row],[Likes]]+Posts[[#This Row],[Shares]]+Posts[[#This Row],[Comments]])/Posts[[#This Row],[Impressions]]</f>
        <v>0.1043848167539267</v>
      </c>
      <c r="M224" t="s">
        <v>196</v>
      </c>
      <c r="N224" t="s">
        <v>35</v>
      </c>
    </row>
    <row r="225" spans="1:14" x14ac:dyDescent="0.2">
      <c r="A225" t="s">
        <v>262</v>
      </c>
      <c r="B225" t="s">
        <v>14</v>
      </c>
      <c r="C225" s="1">
        <v>45467</v>
      </c>
      <c r="D225" t="s">
        <v>21</v>
      </c>
      <c r="E225" t="s">
        <v>22</v>
      </c>
      <c r="F225">
        <v>941</v>
      </c>
      <c r="G225">
        <v>121</v>
      </c>
      <c r="H225">
        <v>458</v>
      </c>
      <c r="I225">
        <v>14115</v>
      </c>
      <c r="J225">
        <v>13838</v>
      </c>
      <c r="K225">
        <v>87</v>
      </c>
      <c r="L225" s="23">
        <f>(Posts[[#This Row],[Likes]]+Posts[[#This Row],[Shares]]+Posts[[#This Row],[Comments]])/Posts[[#This Row],[Impressions]]</f>
        <v>0.10768685795253277</v>
      </c>
      <c r="M225" t="s">
        <v>34</v>
      </c>
      <c r="N225" t="s">
        <v>18</v>
      </c>
    </row>
    <row r="226" spans="1:14" x14ac:dyDescent="0.2">
      <c r="A226" t="s">
        <v>263</v>
      </c>
      <c r="B226" t="s">
        <v>14</v>
      </c>
      <c r="C226" s="1">
        <v>45655</v>
      </c>
      <c r="D226" t="s">
        <v>39</v>
      </c>
      <c r="E226" t="s">
        <v>42</v>
      </c>
      <c r="F226">
        <v>4274</v>
      </c>
      <c r="G226">
        <v>340</v>
      </c>
      <c r="H226">
        <v>281</v>
      </c>
      <c r="I226">
        <v>34192</v>
      </c>
      <c r="J226">
        <v>33446</v>
      </c>
      <c r="K226">
        <v>129</v>
      </c>
      <c r="L226" s="23">
        <f>(Posts[[#This Row],[Likes]]+Posts[[#This Row],[Shares]]+Posts[[#This Row],[Comments]])/Posts[[#This Row],[Impressions]]</f>
        <v>0.14316214319138981</v>
      </c>
      <c r="M226" t="s">
        <v>23</v>
      </c>
      <c r="N226" t="s">
        <v>29</v>
      </c>
    </row>
    <row r="227" spans="1:14" x14ac:dyDescent="0.2">
      <c r="A227" t="s">
        <v>263</v>
      </c>
      <c r="B227" t="s">
        <v>14</v>
      </c>
      <c r="C227" s="1">
        <v>45655</v>
      </c>
      <c r="D227" t="s">
        <v>39</v>
      </c>
      <c r="E227" t="s">
        <v>42</v>
      </c>
      <c r="F227">
        <v>4274</v>
      </c>
      <c r="G227">
        <v>340</v>
      </c>
      <c r="H227">
        <v>281</v>
      </c>
      <c r="I227">
        <v>34192</v>
      </c>
      <c r="J227">
        <v>33446</v>
      </c>
      <c r="K227">
        <v>129</v>
      </c>
      <c r="L227" s="23">
        <f>(Posts[[#This Row],[Likes]]+Posts[[#This Row],[Shares]]+Posts[[#This Row],[Comments]])/Posts[[#This Row],[Impressions]]</f>
        <v>0.14316214319138981</v>
      </c>
      <c r="M227" t="s">
        <v>196</v>
      </c>
      <c r="N227" t="s">
        <v>29</v>
      </c>
    </row>
    <row r="228" spans="1:14" x14ac:dyDescent="0.2">
      <c r="A228" t="s">
        <v>264</v>
      </c>
      <c r="B228" t="s">
        <v>27</v>
      </c>
      <c r="C228" s="1">
        <v>45467</v>
      </c>
      <c r="D228" t="s">
        <v>58</v>
      </c>
      <c r="E228" t="s">
        <v>138</v>
      </c>
      <c r="F228">
        <v>2949</v>
      </c>
      <c r="G228">
        <v>476</v>
      </c>
      <c r="H228">
        <v>403</v>
      </c>
      <c r="I228">
        <v>44235</v>
      </c>
      <c r="J228">
        <v>43705</v>
      </c>
      <c r="K228">
        <v>135</v>
      </c>
      <c r="L228" s="23">
        <f>(Posts[[#This Row],[Likes]]+Posts[[#This Row],[Shares]]+Posts[[#This Row],[Comments]])/Posts[[#This Row],[Impressions]]</f>
        <v>8.6537809426924378E-2</v>
      </c>
      <c r="M228" t="s">
        <v>23</v>
      </c>
      <c r="N228" t="s">
        <v>24</v>
      </c>
    </row>
    <row r="229" spans="1:14" x14ac:dyDescent="0.2">
      <c r="A229" t="s">
        <v>265</v>
      </c>
      <c r="B229" t="s">
        <v>14</v>
      </c>
      <c r="C229" s="1">
        <v>45735</v>
      </c>
      <c r="D229" t="s">
        <v>58</v>
      </c>
      <c r="E229" t="s">
        <v>97</v>
      </c>
      <c r="F229">
        <v>3160</v>
      </c>
      <c r="G229">
        <v>204</v>
      </c>
      <c r="H229">
        <v>297</v>
      </c>
      <c r="I229">
        <v>44240</v>
      </c>
      <c r="J229">
        <v>43666</v>
      </c>
      <c r="K229">
        <v>49</v>
      </c>
      <c r="L229" s="23">
        <f>(Posts[[#This Row],[Likes]]+Posts[[#This Row],[Shares]]+Posts[[#This Row],[Comments]])/Posts[[#This Row],[Impressions]]</f>
        <v>8.2753164556962022E-2</v>
      </c>
      <c r="M229" t="s">
        <v>17</v>
      </c>
      <c r="N229" t="s">
        <v>35</v>
      </c>
    </row>
    <row r="230" spans="1:14" x14ac:dyDescent="0.2">
      <c r="A230" t="s">
        <v>265</v>
      </c>
      <c r="B230" t="s">
        <v>14</v>
      </c>
      <c r="C230" s="1">
        <v>45735</v>
      </c>
      <c r="D230" t="s">
        <v>58</v>
      </c>
      <c r="E230" t="s">
        <v>97</v>
      </c>
      <c r="F230">
        <v>3160</v>
      </c>
      <c r="G230">
        <v>204</v>
      </c>
      <c r="H230">
        <v>297</v>
      </c>
      <c r="I230">
        <v>44240</v>
      </c>
      <c r="J230">
        <v>43666</v>
      </c>
      <c r="K230">
        <v>49</v>
      </c>
      <c r="L230" s="23">
        <f>(Posts[[#This Row],[Likes]]+Posts[[#This Row],[Shares]]+Posts[[#This Row],[Comments]])/Posts[[#This Row],[Impressions]]</f>
        <v>8.2753164556962022E-2</v>
      </c>
      <c r="M230" t="s">
        <v>19</v>
      </c>
      <c r="N230" t="s">
        <v>35</v>
      </c>
    </row>
    <row r="231" spans="1:14" x14ac:dyDescent="0.2">
      <c r="A231" t="s">
        <v>266</v>
      </c>
      <c r="B231" t="s">
        <v>27</v>
      </c>
      <c r="C231" s="1">
        <v>45707</v>
      </c>
      <c r="D231" t="s">
        <v>44</v>
      </c>
      <c r="E231" t="s">
        <v>45</v>
      </c>
      <c r="F231">
        <v>257</v>
      </c>
      <c r="G231">
        <v>966</v>
      </c>
      <c r="H231">
        <v>398</v>
      </c>
      <c r="I231">
        <v>3341</v>
      </c>
      <c r="J231">
        <v>2753</v>
      </c>
      <c r="K231">
        <v>287</v>
      </c>
      <c r="L231" s="23">
        <f>(Posts[[#This Row],[Likes]]+Posts[[#This Row],[Shares]]+Posts[[#This Row],[Comments]])/Posts[[#This Row],[Impressions]]</f>
        <v>0.48518407662376534</v>
      </c>
      <c r="M231" t="s">
        <v>17</v>
      </c>
      <c r="N231" t="s">
        <v>18</v>
      </c>
    </row>
    <row r="232" spans="1:14" x14ac:dyDescent="0.2">
      <c r="A232" t="s">
        <v>267</v>
      </c>
      <c r="B232" t="s">
        <v>14</v>
      </c>
      <c r="C232" s="1">
        <v>45491</v>
      </c>
      <c r="D232" t="s">
        <v>39</v>
      </c>
      <c r="E232" t="s">
        <v>42</v>
      </c>
      <c r="F232">
        <v>2120</v>
      </c>
      <c r="G232">
        <v>38</v>
      </c>
      <c r="H232">
        <v>212</v>
      </c>
      <c r="I232">
        <v>12720</v>
      </c>
      <c r="J232">
        <v>12564</v>
      </c>
      <c r="K232">
        <v>21</v>
      </c>
      <c r="L232" s="23">
        <f>(Posts[[#This Row],[Likes]]+Posts[[#This Row],[Shares]]+Posts[[#This Row],[Comments]])/Posts[[#This Row],[Impressions]]</f>
        <v>0.18632075471698112</v>
      </c>
      <c r="M232" t="s">
        <v>17</v>
      </c>
      <c r="N232" t="s">
        <v>35</v>
      </c>
    </row>
    <row r="233" spans="1:14" x14ac:dyDescent="0.2">
      <c r="A233" t="s">
        <v>268</v>
      </c>
      <c r="B233" t="s">
        <v>27</v>
      </c>
      <c r="C233" s="1">
        <v>45719</v>
      </c>
      <c r="D233" t="s">
        <v>58</v>
      </c>
      <c r="E233" t="s">
        <v>138</v>
      </c>
      <c r="F233">
        <v>3874</v>
      </c>
      <c r="G233">
        <v>884</v>
      </c>
      <c r="H233">
        <v>19</v>
      </c>
      <c r="I233">
        <v>38740</v>
      </c>
      <c r="J233">
        <v>38552</v>
      </c>
      <c r="K233">
        <v>219</v>
      </c>
      <c r="L233" s="23">
        <f>(Posts[[#This Row],[Likes]]+Posts[[#This Row],[Shares]]+Posts[[#This Row],[Comments]])/Posts[[#This Row],[Impressions]]</f>
        <v>0.123309241094476</v>
      </c>
      <c r="M233" t="s">
        <v>23</v>
      </c>
      <c r="N233" t="s">
        <v>24</v>
      </c>
    </row>
    <row r="234" spans="1:14" x14ac:dyDescent="0.2">
      <c r="A234" t="s">
        <v>269</v>
      </c>
      <c r="B234" t="s">
        <v>38</v>
      </c>
      <c r="C234" s="1">
        <v>45778</v>
      </c>
      <c r="D234" t="s">
        <v>39</v>
      </c>
      <c r="E234" t="s">
        <v>40</v>
      </c>
      <c r="F234">
        <v>2696</v>
      </c>
      <c r="G234">
        <v>628</v>
      </c>
      <c r="H234">
        <v>443</v>
      </c>
      <c r="I234">
        <v>45832</v>
      </c>
      <c r="J234">
        <v>45632</v>
      </c>
      <c r="K234">
        <v>248</v>
      </c>
      <c r="L234" s="23">
        <f>(Posts[[#This Row],[Likes]]+Posts[[#This Row],[Shares]]+Posts[[#This Row],[Comments]])/Posts[[#This Row],[Impressions]]</f>
        <v>8.21914819340199E-2</v>
      </c>
      <c r="M234" t="s">
        <v>34</v>
      </c>
      <c r="N234" t="s">
        <v>35</v>
      </c>
    </row>
    <row r="235" spans="1:14" x14ac:dyDescent="0.2">
      <c r="A235" t="s">
        <v>270</v>
      </c>
      <c r="B235" t="s">
        <v>31</v>
      </c>
      <c r="C235" s="1">
        <v>45649</v>
      </c>
      <c r="D235" t="s">
        <v>44</v>
      </c>
      <c r="E235" t="s">
        <v>136</v>
      </c>
      <c r="F235">
        <v>521</v>
      </c>
      <c r="G235">
        <v>746</v>
      </c>
      <c r="H235">
        <v>315</v>
      </c>
      <c r="I235">
        <v>4168</v>
      </c>
      <c r="J235">
        <v>3399</v>
      </c>
      <c r="K235">
        <v>282</v>
      </c>
      <c r="L235" s="23">
        <f>(Posts[[#This Row],[Likes]]+Posts[[#This Row],[Shares]]+Posts[[#This Row],[Comments]])/Posts[[#This Row],[Impressions]]</f>
        <v>0.37955854126679461</v>
      </c>
      <c r="M235" t="s">
        <v>17</v>
      </c>
      <c r="N235" t="s">
        <v>24</v>
      </c>
    </row>
    <row r="236" spans="1:14" x14ac:dyDescent="0.2">
      <c r="A236" t="s">
        <v>271</v>
      </c>
      <c r="B236" t="s">
        <v>38</v>
      </c>
      <c r="C236" s="1">
        <v>45783</v>
      </c>
      <c r="D236" t="s">
        <v>44</v>
      </c>
      <c r="E236" t="s">
        <v>49</v>
      </c>
      <c r="F236">
        <v>4872</v>
      </c>
      <c r="G236">
        <v>925</v>
      </c>
      <c r="H236">
        <v>176</v>
      </c>
      <c r="I236">
        <v>82824</v>
      </c>
      <c r="J236">
        <v>82543</v>
      </c>
      <c r="K236">
        <v>89</v>
      </c>
      <c r="L236" s="23">
        <f>(Posts[[#This Row],[Likes]]+Posts[[#This Row],[Shares]]+Posts[[#This Row],[Comments]])/Posts[[#This Row],[Impressions]]</f>
        <v>7.2116777745580993E-2</v>
      </c>
      <c r="M236" t="s">
        <v>34</v>
      </c>
      <c r="N236" t="s">
        <v>24</v>
      </c>
    </row>
    <row r="237" spans="1:14" x14ac:dyDescent="0.2">
      <c r="A237" t="s">
        <v>272</v>
      </c>
      <c r="B237" t="s">
        <v>27</v>
      </c>
      <c r="C237" s="1">
        <v>45502</v>
      </c>
      <c r="D237" t="s">
        <v>32</v>
      </c>
      <c r="E237" t="s">
        <v>103</v>
      </c>
      <c r="F237">
        <v>1509</v>
      </c>
      <c r="G237">
        <v>88</v>
      </c>
      <c r="H237">
        <v>163</v>
      </c>
      <c r="I237">
        <v>30180</v>
      </c>
      <c r="J237">
        <v>29689</v>
      </c>
      <c r="K237">
        <v>119</v>
      </c>
      <c r="L237" s="23">
        <f>(Posts[[#This Row],[Likes]]+Posts[[#This Row],[Shares]]+Posts[[#This Row],[Comments]])/Posts[[#This Row],[Impressions]]</f>
        <v>5.8316766070245198E-2</v>
      </c>
      <c r="M237" t="s">
        <v>34</v>
      </c>
      <c r="N237" t="s">
        <v>24</v>
      </c>
    </row>
    <row r="238" spans="1:14" x14ac:dyDescent="0.2">
      <c r="A238" t="s">
        <v>273</v>
      </c>
      <c r="B238" t="s">
        <v>38</v>
      </c>
      <c r="C238" s="1">
        <v>45629</v>
      </c>
      <c r="D238" t="s">
        <v>44</v>
      </c>
      <c r="E238" t="s">
        <v>49</v>
      </c>
      <c r="F238">
        <v>4606</v>
      </c>
      <c r="G238">
        <v>931</v>
      </c>
      <c r="H238">
        <v>230</v>
      </c>
      <c r="I238">
        <v>92120</v>
      </c>
      <c r="J238">
        <v>91440</v>
      </c>
      <c r="K238">
        <v>56</v>
      </c>
      <c r="L238" s="23">
        <f>(Posts[[#This Row],[Likes]]+Posts[[#This Row],[Shares]]+Posts[[#This Row],[Comments]])/Posts[[#This Row],[Impressions]]</f>
        <v>6.2603126356925748E-2</v>
      </c>
      <c r="M238" t="s">
        <v>23</v>
      </c>
    </row>
    <row r="239" spans="1:14" x14ac:dyDescent="0.2">
      <c r="A239" t="s">
        <v>274</v>
      </c>
      <c r="B239" t="s">
        <v>38</v>
      </c>
      <c r="C239" s="1">
        <v>45454</v>
      </c>
      <c r="D239" t="s">
        <v>39</v>
      </c>
      <c r="E239" t="s">
        <v>40</v>
      </c>
      <c r="F239">
        <v>1869</v>
      </c>
      <c r="G239">
        <v>453</v>
      </c>
      <c r="H239">
        <v>490</v>
      </c>
      <c r="I239">
        <v>14952</v>
      </c>
      <c r="J239">
        <v>14309</v>
      </c>
      <c r="K239">
        <v>275</v>
      </c>
      <c r="L239" s="23">
        <f>(Posts[[#This Row],[Likes]]+Posts[[#This Row],[Shares]]+Posts[[#This Row],[Comments]])/Posts[[#This Row],[Impressions]]</f>
        <v>0.18806848582129482</v>
      </c>
      <c r="M239" t="s">
        <v>23</v>
      </c>
      <c r="N239" t="s">
        <v>35</v>
      </c>
    </row>
    <row r="240" spans="1:14" x14ac:dyDescent="0.2">
      <c r="A240" t="s">
        <v>275</v>
      </c>
      <c r="B240" t="s">
        <v>14</v>
      </c>
      <c r="C240" s="1">
        <v>45685</v>
      </c>
      <c r="D240" t="s">
        <v>15</v>
      </c>
      <c r="E240" t="s">
        <v>16</v>
      </c>
      <c r="F240">
        <v>1188</v>
      </c>
      <c r="G240">
        <v>470</v>
      </c>
      <c r="H240">
        <v>174</v>
      </c>
      <c r="I240">
        <v>7128</v>
      </c>
      <c r="J240">
        <v>6145</v>
      </c>
      <c r="K240">
        <v>270</v>
      </c>
      <c r="L240" s="23">
        <f>(Posts[[#This Row],[Likes]]+Posts[[#This Row],[Shares]]+Posts[[#This Row],[Comments]])/Posts[[#This Row],[Impressions]]</f>
        <v>0.25701459034792368</v>
      </c>
      <c r="M240" t="s">
        <v>23</v>
      </c>
      <c r="N240" t="s">
        <v>35</v>
      </c>
    </row>
    <row r="241" spans="1:14" x14ac:dyDescent="0.2">
      <c r="A241" t="s">
        <v>276</v>
      </c>
      <c r="B241" t="s">
        <v>31</v>
      </c>
      <c r="C241" s="1">
        <v>45445</v>
      </c>
      <c r="D241" t="s">
        <v>32</v>
      </c>
      <c r="E241" t="s">
        <v>33</v>
      </c>
      <c r="F241">
        <v>84</v>
      </c>
      <c r="G241">
        <v>897</v>
      </c>
      <c r="H241">
        <v>85</v>
      </c>
      <c r="I241">
        <v>588</v>
      </c>
      <c r="J241">
        <v>8</v>
      </c>
      <c r="K241">
        <v>12</v>
      </c>
      <c r="L241" s="23">
        <f>(Posts[[#This Row],[Likes]]+Posts[[#This Row],[Shares]]+Posts[[#This Row],[Comments]])/Posts[[#This Row],[Impressions]]</f>
        <v>1.8129251700680271</v>
      </c>
      <c r="M241" t="s">
        <v>34</v>
      </c>
    </row>
    <row r="242" spans="1:14" x14ac:dyDescent="0.2">
      <c r="A242" t="s">
        <v>277</v>
      </c>
      <c r="B242" t="s">
        <v>38</v>
      </c>
      <c r="C242" s="1">
        <v>45739</v>
      </c>
      <c r="D242" t="s">
        <v>58</v>
      </c>
      <c r="E242" t="s">
        <v>59</v>
      </c>
      <c r="F242">
        <v>4453</v>
      </c>
      <c r="G242">
        <v>111</v>
      </c>
      <c r="H242">
        <v>420</v>
      </c>
      <c r="I242">
        <v>31171</v>
      </c>
      <c r="J242">
        <v>30565</v>
      </c>
      <c r="K242">
        <v>23</v>
      </c>
      <c r="L242" s="23">
        <f>(Posts[[#This Row],[Likes]]+Posts[[#This Row],[Shares]]+Posts[[#This Row],[Comments]])/Posts[[#This Row],[Impressions]]</f>
        <v>0.15989220750056141</v>
      </c>
      <c r="M242" t="s">
        <v>23</v>
      </c>
    </row>
    <row r="243" spans="1:14" x14ac:dyDescent="0.2">
      <c r="A243" t="s">
        <v>278</v>
      </c>
      <c r="B243" t="s">
        <v>38</v>
      </c>
      <c r="C243" s="1">
        <v>45573</v>
      </c>
      <c r="D243" t="s">
        <v>15</v>
      </c>
      <c r="E243" t="s">
        <v>52</v>
      </c>
      <c r="F243">
        <v>1814</v>
      </c>
      <c r="G243">
        <v>653</v>
      </c>
      <c r="H243">
        <v>363</v>
      </c>
      <c r="I243">
        <v>25396</v>
      </c>
      <c r="J243">
        <v>25286</v>
      </c>
      <c r="K243">
        <v>39</v>
      </c>
      <c r="L243" s="23">
        <f>(Posts[[#This Row],[Likes]]+Posts[[#This Row],[Shares]]+Posts[[#This Row],[Comments]])/Posts[[#This Row],[Impressions]]</f>
        <v>0.11143487163332809</v>
      </c>
      <c r="M243" t="s">
        <v>17</v>
      </c>
      <c r="N243" t="s">
        <v>18</v>
      </c>
    </row>
    <row r="244" spans="1:14" x14ac:dyDescent="0.2">
      <c r="A244" t="s">
        <v>278</v>
      </c>
      <c r="B244" t="s">
        <v>38</v>
      </c>
      <c r="C244" s="1">
        <v>45573</v>
      </c>
      <c r="D244" t="s">
        <v>15</v>
      </c>
      <c r="E244" t="s">
        <v>52</v>
      </c>
      <c r="F244">
        <v>1814</v>
      </c>
      <c r="G244">
        <v>653</v>
      </c>
      <c r="H244">
        <v>363</v>
      </c>
      <c r="I244">
        <v>25396</v>
      </c>
      <c r="J244">
        <v>25286</v>
      </c>
      <c r="K244">
        <v>39</v>
      </c>
      <c r="L244" s="23">
        <f>(Posts[[#This Row],[Likes]]+Posts[[#This Row],[Shares]]+Posts[[#This Row],[Comments]])/Posts[[#This Row],[Impressions]]</f>
        <v>0.11143487163332809</v>
      </c>
      <c r="M244" t="s">
        <v>196</v>
      </c>
      <c r="N244" t="s">
        <v>18</v>
      </c>
    </row>
    <row r="245" spans="1:14" x14ac:dyDescent="0.2">
      <c r="A245" t="s">
        <v>279</v>
      </c>
      <c r="B245" t="s">
        <v>14</v>
      </c>
      <c r="C245" s="1">
        <v>45608</v>
      </c>
      <c r="D245" t="s">
        <v>44</v>
      </c>
      <c r="E245" t="s">
        <v>90</v>
      </c>
      <c r="F245">
        <v>3338</v>
      </c>
      <c r="G245">
        <v>277</v>
      </c>
      <c r="H245">
        <v>118</v>
      </c>
      <c r="I245">
        <v>60084</v>
      </c>
      <c r="J245">
        <v>59842</v>
      </c>
      <c r="K245">
        <v>252</v>
      </c>
      <c r="L245" s="23">
        <f>(Posts[[#This Row],[Likes]]+Posts[[#This Row],[Shares]]+Posts[[#This Row],[Comments]])/Posts[[#This Row],[Impressions]]</f>
        <v>6.2129685107516146E-2</v>
      </c>
      <c r="M245" t="s">
        <v>23</v>
      </c>
    </row>
    <row r="246" spans="1:14" x14ac:dyDescent="0.2">
      <c r="A246" t="s">
        <v>280</v>
      </c>
      <c r="B246" t="s">
        <v>38</v>
      </c>
      <c r="C246" s="1">
        <v>45790</v>
      </c>
      <c r="D246" t="s">
        <v>44</v>
      </c>
      <c r="E246" t="s">
        <v>49</v>
      </c>
      <c r="F246">
        <v>602</v>
      </c>
      <c r="G246">
        <v>594</v>
      </c>
      <c r="H246">
        <v>156</v>
      </c>
      <c r="I246">
        <v>4214</v>
      </c>
      <c r="J246">
        <v>3363</v>
      </c>
      <c r="K246">
        <v>164</v>
      </c>
      <c r="L246" s="23">
        <f>(Posts[[#This Row],[Likes]]+Posts[[#This Row],[Shares]]+Posts[[#This Row],[Comments]])/Posts[[#This Row],[Impressions]]</f>
        <v>0.32083531086853345</v>
      </c>
      <c r="M246" t="s">
        <v>23</v>
      </c>
      <c r="N246" t="s">
        <v>29</v>
      </c>
    </row>
    <row r="247" spans="1:14" x14ac:dyDescent="0.2">
      <c r="A247" t="s">
        <v>281</v>
      </c>
      <c r="B247" t="s">
        <v>14</v>
      </c>
      <c r="C247" s="1">
        <v>45463</v>
      </c>
      <c r="D247" t="s">
        <v>39</v>
      </c>
      <c r="E247" t="s">
        <v>42</v>
      </c>
      <c r="F247">
        <v>4672</v>
      </c>
      <c r="G247">
        <v>325</v>
      </c>
      <c r="H247">
        <v>32</v>
      </c>
      <c r="I247">
        <v>88768</v>
      </c>
      <c r="J247">
        <v>87833</v>
      </c>
      <c r="K247">
        <v>118</v>
      </c>
      <c r="L247" s="23">
        <f>(Posts[[#This Row],[Likes]]+Posts[[#This Row],[Shares]]+Posts[[#This Row],[Comments]])/Posts[[#This Row],[Impressions]]</f>
        <v>5.6653298485940883E-2</v>
      </c>
      <c r="M247" t="s">
        <v>34</v>
      </c>
    </row>
    <row r="248" spans="1:14" x14ac:dyDescent="0.2">
      <c r="A248" t="s">
        <v>282</v>
      </c>
      <c r="B248" t="s">
        <v>31</v>
      </c>
      <c r="C248" s="1">
        <v>45511</v>
      </c>
      <c r="D248" t="s">
        <v>39</v>
      </c>
      <c r="E248" t="s">
        <v>67</v>
      </c>
      <c r="F248">
        <v>1741</v>
      </c>
      <c r="G248">
        <v>164</v>
      </c>
      <c r="H248">
        <v>318</v>
      </c>
      <c r="I248">
        <v>8705</v>
      </c>
      <c r="J248">
        <v>8272</v>
      </c>
      <c r="K248">
        <v>121</v>
      </c>
      <c r="L248" s="23">
        <f>(Posts[[#This Row],[Likes]]+Posts[[#This Row],[Shares]]+Posts[[#This Row],[Comments]])/Posts[[#This Row],[Impressions]]</f>
        <v>0.25537047673750718</v>
      </c>
      <c r="M248" t="s">
        <v>23</v>
      </c>
    </row>
    <row r="249" spans="1:14" x14ac:dyDescent="0.2">
      <c r="A249" t="s">
        <v>283</v>
      </c>
      <c r="B249" t="s">
        <v>31</v>
      </c>
      <c r="C249" s="1">
        <v>45455</v>
      </c>
      <c r="D249" t="s">
        <v>21</v>
      </c>
      <c r="E249" t="s">
        <v>80</v>
      </c>
      <c r="F249">
        <v>246</v>
      </c>
      <c r="G249">
        <v>149</v>
      </c>
      <c r="H249">
        <v>130</v>
      </c>
      <c r="I249">
        <v>4674</v>
      </c>
      <c r="J249">
        <v>4390</v>
      </c>
      <c r="K249">
        <v>217</v>
      </c>
      <c r="L249" s="23">
        <f>(Posts[[#This Row],[Likes]]+Posts[[#This Row],[Shares]]+Posts[[#This Row],[Comments]])/Posts[[#This Row],[Impressions]]</f>
        <v>0.11232349165596919</v>
      </c>
      <c r="M249" t="s">
        <v>17</v>
      </c>
      <c r="N249" t="s">
        <v>29</v>
      </c>
    </row>
    <row r="250" spans="1:14" x14ac:dyDescent="0.2">
      <c r="A250" t="s">
        <v>284</v>
      </c>
      <c r="B250" t="s">
        <v>31</v>
      </c>
      <c r="C250" s="1">
        <v>45474</v>
      </c>
      <c r="D250" t="s">
        <v>32</v>
      </c>
      <c r="E250" t="s">
        <v>33</v>
      </c>
      <c r="F250">
        <v>4808</v>
      </c>
      <c r="G250">
        <v>772</v>
      </c>
      <c r="H250">
        <v>320</v>
      </c>
      <c r="I250">
        <v>72120</v>
      </c>
      <c r="J250">
        <v>71696</v>
      </c>
      <c r="K250">
        <v>195</v>
      </c>
      <c r="L250" s="23">
        <f>(Posts[[#This Row],[Likes]]+Posts[[#This Row],[Shares]]+Posts[[#This Row],[Comments]])/Posts[[#This Row],[Impressions]]</f>
        <v>8.1808097615085965E-2</v>
      </c>
      <c r="M250" t="s">
        <v>34</v>
      </c>
      <c r="N250" t="s">
        <v>18</v>
      </c>
    </row>
    <row r="251" spans="1:14" x14ac:dyDescent="0.2">
      <c r="A251" t="s">
        <v>285</v>
      </c>
      <c r="B251" t="s">
        <v>31</v>
      </c>
      <c r="C251" s="1">
        <v>45476</v>
      </c>
      <c r="D251" t="s">
        <v>39</v>
      </c>
      <c r="E251" t="s">
        <v>67</v>
      </c>
      <c r="F251">
        <v>4799</v>
      </c>
      <c r="G251">
        <v>694</v>
      </c>
      <c r="H251">
        <v>289</v>
      </c>
      <c r="I251">
        <v>43191</v>
      </c>
      <c r="J251">
        <v>42228</v>
      </c>
      <c r="K251">
        <v>118</v>
      </c>
      <c r="L251" s="23">
        <f>(Posts[[#This Row],[Likes]]+Posts[[#This Row],[Shares]]+Posts[[#This Row],[Comments]])/Posts[[#This Row],[Impressions]]</f>
        <v>0.13387048227640017</v>
      </c>
      <c r="M251" t="s">
        <v>23</v>
      </c>
    </row>
    <row r="252" spans="1:14" x14ac:dyDescent="0.2">
      <c r="A252" t="s">
        <v>286</v>
      </c>
      <c r="B252" t="s">
        <v>38</v>
      </c>
      <c r="C252" s="1">
        <v>45488</v>
      </c>
      <c r="D252" t="s">
        <v>15</v>
      </c>
      <c r="E252" t="s">
        <v>52</v>
      </c>
      <c r="F252">
        <v>3663</v>
      </c>
      <c r="G252">
        <v>17</v>
      </c>
      <c r="H252">
        <v>295</v>
      </c>
      <c r="I252">
        <v>51282</v>
      </c>
      <c r="J252">
        <v>50567</v>
      </c>
      <c r="K252">
        <v>84</v>
      </c>
      <c r="L252" s="23">
        <f>(Posts[[#This Row],[Likes]]+Posts[[#This Row],[Shares]]+Posts[[#This Row],[Comments]])/Posts[[#This Row],[Impressions]]</f>
        <v>7.7512577512577507E-2</v>
      </c>
      <c r="M252" t="s">
        <v>34</v>
      </c>
      <c r="N252" t="s">
        <v>29</v>
      </c>
    </row>
    <row r="253" spans="1:14" x14ac:dyDescent="0.2">
      <c r="A253" t="s">
        <v>287</v>
      </c>
      <c r="B253" t="s">
        <v>31</v>
      </c>
      <c r="C253" s="1">
        <v>45778</v>
      </c>
      <c r="D253" t="s">
        <v>21</v>
      </c>
      <c r="E253" t="s">
        <v>80</v>
      </c>
      <c r="F253">
        <v>1430</v>
      </c>
      <c r="G253">
        <v>376</v>
      </c>
      <c r="H253">
        <v>33</v>
      </c>
      <c r="I253">
        <v>21450</v>
      </c>
      <c r="J253">
        <v>20509</v>
      </c>
      <c r="K253">
        <v>251</v>
      </c>
      <c r="L253" s="23">
        <f>(Posts[[#This Row],[Likes]]+Posts[[#This Row],[Shares]]+Posts[[#This Row],[Comments]])/Posts[[#This Row],[Impressions]]</f>
        <v>8.5734265734265735E-2</v>
      </c>
      <c r="M253" t="s">
        <v>17</v>
      </c>
      <c r="N253" t="s">
        <v>18</v>
      </c>
    </row>
    <row r="254" spans="1:14" x14ac:dyDescent="0.2">
      <c r="A254" t="s">
        <v>288</v>
      </c>
      <c r="B254" t="s">
        <v>14</v>
      </c>
      <c r="C254" s="1">
        <v>45776</v>
      </c>
      <c r="D254" t="s">
        <v>32</v>
      </c>
      <c r="E254" t="s">
        <v>100</v>
      </c>
      <c r="F254">
        <v>249</v>
      </c>
      <c r="G254">
        <v>592</v>
      </c>
      <c r="H254">
        <v>230</v>
      </c>
      <c r="I254">
        <v>1494</v>
      </c>
      <c r="J254">
        <v>1044</v>
      </c>
      <c r="K254">
        <v>201</v>
      </c>
      <c r="L254" s="23">
        <f>(Posts[[#This Row],[Likes]]+Posts[[#This Row],[Shares]]+Posts[[#This Row],[Comments]])/Posts[[#This Row],[Impressions]]</f>
        <v>0.7168674698795181</v>
      </c>
      <c r="M254" t="s">
        <v>34</v>
      </c>
      <c r="N254" t="s">
        <v>35</v>
      </c>
    </row>
    <row r="255" spans="1:14" x14ac:dyDescent="0.2">
      <c r="A255" t="s">
        <v>289</v>
      </c>
      <c r="B255" t="s">
        <v>38</v>
      </c>
      <c r="C255" s="1">
        <v>45724</v>
      </c>
      <c r="D255" t="s">
        <v>44</v>
      </c>
      <c r="E255" t="s">
        <v>49</v>
      </c>
      <c r="F255">
        <v>2382</v>
      </c>
      <c r="G255">
        <v>265</v>
      </c>
      <c r="H255">
        <v>134</v>
      </c>
      <c r="I255">
        <v>38112</v>
      </c>
      <c r="J255">
        <v>37437</v>
      </c>
      <c r="K255">
        <v>249</v>
      </c>
      <c r="L255" s="23">
        <f>(Posts[[#This Row],[Likes]]+Posts[[#This Row],[Shares]]+Posts[[#This Row],[Comments]])/Posts[[#This Row],[Impressions]]</f>
        <v>7.2969143576826198E-2</v>
      </c>
      <c r="M255" t="s">
        <v>17</v>
      </c>
      <c r="N255" t="s">
        <v>35</v>
      </c>
    </row>
    <row r="256" spans="1:14" x14ac:dyDescent="0.2">
      <c r="A256" t="s">
        <v>290</v>
      </c>
      <c r="B256" t="s">
        <v>38</v>
      </c>
      <c r="C256" s="1">
        <v>45444</v>
      </c>
      <c r="D256" t="s">
        <v>21</v>
      </c>
      <c r="E256" t="s">
        <v>47</v>
      </c>
      <c r="F256">
        <v>1272</v>
      </c>
      <c r="G256">
        <v>465</v>
      </c>
      <c r="H256">
        <v>99</v>
      </c>
      <c r="I256">
        <v>24168</v>
      </c>
      <c r="J256">
        <v>23719</v>
      </c>
      <c r="K256">
        <v>42</v>
      </c>
      <c r="L256" s="23">
        <f>(Posts[[#This Row],[Likes]]+Posts[[#This Row],[Shares]]+Posts[[#This Row],[Comments]])/Posts[[#This Row],[Impressions]]</f>
        <v>7.5968222442899705E-2</v>
      </c>
      <c r="M256" t="s">
        <v>23</v>
      </c>
    </row>
    <row r="257" spans="1:14" x14ac:dyDescent="0.2">
      <c r="A257" t="s">
        <v>291</v>
      </c>
      <c r="B257" t="s">
        <v>38</v>
      </c>
      <c r="C257" s="1">
        <v>45648</v>
      </c>
      <c r="D257" t="s">
        <v>44</v>
      </c>
      <c r="E257" t="s">
        <v>49</v>
      </c>
      <c r="F257">
        <v>3196</v>
      </c>
      <c r="G257">
        <v>941</v>
      </c>
      <c r="H257">
        <v>376</v>
      </c>
      <c r="I257">
        <v>35156</v>
      </c>
      <c r="J257">
        <v>34444</v>
      </c>
      <c r="K257">
        <v>241</v>
      </c>
      <c r="L257" s="23">
        <f>(Posts[[#This Row],[Likes]]+Posts[[#This Row],[Shares]]+Posts[[#This Row],[Comments]])/Posts[[#This Row],[Impressions]]</f>
        <v>0.1283706906360223</v>
      </c>
      <c r="M257" t="s">
        <v>23</v>
      </c>
      <c r="N257" t="s">
        <v>29</v>
      </c>
    </row>
    <row r="258" spans="1:14" x14ac:dyDescent="0.2">
      <c r="A258" t="s">
        <v>292</v>
      </c>
      <c r="B258" t="s">
        <v>38</v>
      </c>
      <c r="C258" s="1">
        <v>45523</v>
      </c>
      <c r="D258" t="s">
        <v>21</v>
      </c>
      <c r="E258" t="s">
        <v>47</v>
      </c>
      <c r="F258">
        <v>1257</v>
      </c>
      <c r="G258">
        <v>19</v>
      </c>
      <c r="H258">
        <v>351</v>
      </c>
      <c r="I258">
        <v>12570</v>
      </c>
      <c r="J258">
        <v>11660</v>
      </c>
      <c r="K258">
        <v>194</v>
      </c>
      <c r="L258" s="23">
        <f>(Posts[[#This Row],[Likes]]+Posts[[#This Row],[Shares]]+Posts[[#This Row],[Comments]])/Posts[[#This Row],[Impressions]]</f>
        <v>0.12943516308671441</v>
      </c>
      <c r="M258" t="s">
        <v>17</v>
      </c>
      <c r="N258" t="s">
        <v>24</v>
      </c>
    </row>
    <row r="259" spans="1:14" x14ac:dyDescent="0.2">
      <c r="A259" t="s">
        <v>292</v>
      </c>
      <c r="B259" t="s">
        <v>38</v>
      </c>
      <c r="C259" s="1">
        <v>45523</v>
      </c>
      <c r="D259" t="s">
        <v>21</v>
      </c>
      <c r="E259" t="s">
        <v>47</v>
      </c>
      <c r="F259">
        <v>1257</v>
      </c>
      <c r="G259">
        <v>19</v>
      </c>
      <c r="H259">
        <v>351</v>
      </c>
      <c r="I259">
        <v>12570</v>
      </c>
      <c r="J259">
        <v>11660</v>
      </c>
      <c r="K259">
        <v>194</v>
      </c>
      <c r="L259" s="23">
        <f>(Posts[[#This Row],[Likes]]+Posts[[#This Row],[Shares]]+Posts[[#This Row],[Comments]])/Posts[[#This Row],[Impressions]]</f>
        <v>0.12943516308671441</v>
      </c>
      <c r="M259" t="s">
        <v>19</v>
      </c>
      <c r="N259" t="s">
        <v>24</v>
      </c>
    </row>
    <row r="260" spans="1:14" x14ac:dyDescent="0.2">
      <c r="A260" t="s">
        <v>292</v>
      </c>
      <c r="B260" t="s">
        <v>38</v>
      </c>
      <c r="C260" s="1">
        <v>45523</v>
      </c>
      <c r="D260" t="s">
        <v>21</v>
      </c>
      <c r="E260" t="s">
        <v>47</v>
      </c>
      <c r="F260">
        <v>1257</v>
      </c>
      <c r="G260">
        <v>19</v>
      </c>
      <c r="H260">
        <v>351</v>
      </c>
      <c r="I260">
        <v>12570</v>
      </c>
      <c r="J260">
        <v>11660</v>
      </c>
      <c r="K260">
        <v>194</v>
      </c>
      <c r="L260" s="23">
        <f>(Posts[[#This Row],[Likes]]+Posts[[#This Row],[Shares]]+Posts[[#This Row],[Comments]])/Posts[[#This Row],[Impressions]]</f>
        <v>0.12943516308671441</v>
      </c>
      <c r="M260" t="s">
        <v>34</v>
      </c>
      <c r="N260" t="s">
        <v>24</v>
      </c>
    </row>
    <row r="261" spans="1:14" x14ac:dyDescent="0.2">
      <c r="A261" t="s">
        <v>293</v>
      </c>
      <c r="B261" t="s">
        <v>31</v>
      </c>
      <c r="C261" s="1">
        <v>45587</v>
      </c>
      <c r="D261" t="s">
        <v>32</v>
      </c>
      <c r="E261" t="s">
        <v>33</v>
      </c>
      <c r="F261">
        <v>3770</v>
      </c>
      <c r="G261">
        <v>917</v>
      </c>
      <c r="H261">
        <v>129</v>
      </c>
      <c r="I261">
        <v>71630</v>
      </c>
      <c r="J261">
        <v>71322</v>
      </c>
      <c r="K261">
        <v>76</v>
      </c>
      <c r="L261" s="23">
        <f>(Posts[[#This Row],[Likes]]+Posts[[#This Row],[Shares]]+Posts[[#This Row],[Comments]])/Posts[[#This Row],[Impressions]]</f>
        <v>6.7234398994834563E-2</v>
      </c>
      <c r="M261" t="s">
        <v>17</v>
      </c>
      <c r="N261" t="s">
        <v>18</v>
      </c>
    </row>
    <row r="262" spans="1:14" x14ac:dyDescent="0.2">
      <c r="A262" t="s">
        <v>294</v>
      </c>
      <c r="B262" t="s">
        <v>14</v>
      </c>
      <c r="C262" s="1">
        <v>45489</v>
      </c>
      <c r="D262" t="s">
        <v>21</v>
      </c>
      <c r="E262" t="s">
        <v>22</v>
      </c>
      <c r="F262">
        <v>4725</v>
      </c>
      <c r="G262">
        <v>400</v>
      </c>
      <c r="H262">
        <v>362</v>
      </c>
      <c r="I262">
        <v>75600</v>
      </c>
      <c r="J262">
        <v>74927</v>
      </c>
      <c r="K262">
        <v>43</v>
      </c>
      <c r="L262" s="23">
        <f>(Posts[[#This Row],[Likes]]+Posts[[#This Row],[Shares]]+Posts[[#This Row],[Comments]])/Posts[[#This Row],[Impressions]]</f>
        <v>7.2579365079365077E-2</v>
      </c>
      <c r="M262" t="s">
        <v>17</v>
      </c>
      <c r="N262" t="s">
        <v>35</v>
      </c>
    </row>
    <row r="263" spans="1:14" x14ac:dyDescent="0.2">
      <c r="A263" t="s">
        <v>295</v>
      </c>
      <c r="B263" t="s">
        <v>27</v>
      </c>
      <c r="C263" s="1">
        <v>45712</v>
      </c>
      <c r="D263" t="s">
        <v>21</v>
      </c>
      <c r="E263" t="s">
        <v>75</v>
      </c>
      <c r="F263">
        <v>4188</v>
      </c>
      <c r="G263">
        <v>942</v>
      </c>
      <c r="H263">
        <v>118</v>
      </c>
      <c r="I263">
        <v>20940</v>
      </c>
      <c r="J263">
        <v>20471</v>
      </c>
      <c r="K263">
        <v>102</v>
      </c>
      <c r="L263" s="23">
        <f>(Posts[[#This Row],[Likes]]+Posts[[#This Row],[Shares]]+Posts[[#This Row],[Comments]])/Posts[[#This Row],[Impressions]]</f>
        <v>0.25062082139446035</v>
      </c>
      <c r="M263" t="s">
        <v>17</v>
      </c>
    </row>
    <row r="264" spans="1:14" x14ac:dyDescent="0.2">
      <c r="A264" t="s">
        <v>296</v>
      </c>
      <c r="B264" t="s">
        <v>14</v>
      </c>
      <c r="C264" s="1">
        <v>45530</v>
      </c>
      <c r="D264" t="s">
        <v>39</v>
      </c>
      <c r="E264" t="s">
        <v>42</v>
      </c>
      <c r="F264">
        <v>929</v>
      </c>
      <c r="G264">
        <v>192</v>
      </c>
      <c r="H264">
        <v>322</v>
      </c>
      <c r="I264">
        <v>16722</v>
      </c>
      <c r="J264">
        <v>15996</v>
      </c>
      <c r="K264">
        <v>145</v>
      </c>
      <c r="L264" s="23">
        <f>(Posts[[#This Row],[Likes]]+Posts[[#This Row],[Shares]]+Posts[[#This Row],[Comments]])/Posts[[#This Row],[Impressions]]</f>
        <v>8.6293505561535699E-2</v>
      </c>
      <c r="M264" t="s">
        <v>34</v>
      </c>
      <c r="N264" t="s">
        <v>29</v>
      </c>
    </row>
    <row r="265" spans="1:14" x14ac:dyDescent="0.2">
      <c r="A265" t="s">
        <v>296</v>
      </c>
      <c r="B265" t="s">
        <v>14</v>
      </c>
      <c r="C265" s="1">
        <v>45530</v>
      </c>
      <c r="D265" t="s">
        <v>39</v>
      </c>
      <c r="E265" t="s">
        <v>42</v>
      </c>
      <c r="F265">
        <v>929</v>
      </c>
      <c r="G265">
        <v>192</v>
      </c>
      <c r="H265">
        <v>322</v>
      </c>
      <c r="I265">
        <v>16722</v>
      </c>
      <c r="J265">
        <v>15996</v>
      </c>
      <c r="K265">
        <v>145</v>
      </c>
      <c r="L265" s="23">
        <f>(Posts[[#This Row],[Likes]]+Posts[[#This Row],[Shares]]+Posts[[#This Row],[Comments]])/Posts[[#This Row],[Impressions]]</f>
        <v>8.6293505561535699E-2</v>
      </c>
      <c r="M265" t="s">
        <v>23</v>
      </c>
      <c r="N265" t="s">
        <v>29</v>
      </c>
    </row>
    <row r="266" spans="1:14" x14ac:dyDescent="0.2">
      <c r="A266" t="s">
        <v>296</v>
      </c>
      <c r="B266" t="s">
        <v>14</v>
      </c>
      <c r="C266" s="1">
        <v>45530</v>
      </c>
      <c r="D266" t="s">
        <v>39</v>
      </c>
      <c r="E266" t="s">
        <v>42</v>
      </c>
      <c r="F266">
        <v>929</v>
      </c>
      <c r="G266">
        <v>192</v>
      </c>
      <c r="H266">
        <v>322</v>
      </c>
      <c r="I266">
        <v>16722</v>
      </c>
      <c r="J266">
        <v>15996</v>
      </c>
      <c r="K266">
        <v>145</v>
      </c>
      <c r="L266" s="23">
        <f>(Posts[[#This Row],[Likes]]+Posts[[#This Row],[Shares]]+Posts[[#This Row],[Comments]])/Posts[[#This Row],[Impressions]]</f>
        <v>8.6293505561535699E-2</v>
      </c>
      <c r="M266" t="s">
        <v>19</v>
      </c>
      <c r="N266" t="s">
        <v>29</v>
      </c>
    </row>
    <row r="267" spans="1:14" x14ac:dyDescent="0.2">
      <c r="A267" t="s">
        <v>297</v>
      </c>
      <c r="B267" t="s">
        <v>38</v>
      </c>
      <c r="C267" s="1">
        <v>45675</v>
      </c>
      <c r="D267" t="s">
        <v>32</v>
      </c>
      <c r="E267" t="s">
        <v>56</v>
      </c>
      <c r="F267">
        <v>4321</v>
      </c>
      <c r="G267">
        <v>874</v>
      </c>
      <c r="H267">
        <v>172</v>
      </c>
      <c r="I267">
        <v>30247</v>
      </c>
      <c r="J267">
        <v>29254</v>
      </c>
      <c r="K267">
        <v>122</v>
      </c>
      <c r="L267" s="23">
        <f>(Posts[[#This Row],[Likes]]+Posts[[#This Row],[Shares]]+Posts[[#This Row],[Comments]])/Posts[[#This Row],[Impressions]]</f>
        <v>0.17743908486792079</v>
      </c>
      <c r="M267" t="s">
        <v>23</v>
      </c>
      <c r="N267" t="s">
        <v>35</v>
      </c>
    </row>
    <row r="268" spans="1:14" x14ac:dyDescent="0.2">
      <c r="A268" t="s">
        <v>298</v>
      </c>
      <c r="B268" t="s">
        <v>38</v>
      </c>
      <c r="C268" s="1">
        <v>45480</v>
      </c>
      <c r="D268" t="s">
        <v>15</v>
      </c>
      <c r="E268" t="s">
        <v>52</v>
      </c>
      <c r="F268">
        <v>4767</v>
      </c>
      <c r="G268">
        <v>190</v>
      </c>
      <c r="H268">
        <v>340</v>
      </c>
      <c r="I268">
        <v>28602</v>
      </c>
      <c r="J268">
        <v>28044</v>
      </c>
      <c r="K268">
        <v>210</v>
      </c>
      <c r="L268" s="23">
        <f>(Posts[[#This Row],[Likes]]+Posts[[#This Row],[Shares]]+Posts[[#This Row],[Comments]])/Posts[[#This Row],[Impressions]]</f>
        <v>0.18519683938186141</v>
      </c>
      <c r="M268" t="s">
        <v>34</v>
      </c>
      <c r="N268" t="s">
        <v>29</v>
      </c>
    </row>
    <row r="269" spans="1:14" x14ac:dyDescent="0.2">
      <c r="A269" t="s">
        <v>299</v>
      </c>
      <c r="B269" t="s">
        <v>14</v>
      </c>
      <c r="C269" s="1">
        <v>45722</v>
      </c>
      <c r="D269" t="s">
        <v>44</v>
      </c>
      <c r="E269" t="s">
        <v>90</v>
      </c>
      <c r="F269">
        <v>3592</v>
      </c>
      <c r="G269">
        <v>911</v>
      </c>
      <c r="H269">
        <v>375</v>
      </c>
      <c r="I269">
        <v>50288</v>
      </c>
      <c r="J269">
        <v>49490</v>
      </c>
      <c r="K269">
        <v>32</v>
      </c>
      <c r="L269" s="23">
        <f>(Posts[[#This Row],[Likes]]+Posts[[#This Row],[Shares]]+Posts[[#This Row],[Comments]])/Posts[[#This Row],[Impressions]]</f>
        <v>9.7001272669424113E-2</v>
      </c>
      <c r="M269" t="s">
        <v>17</v>
      </c>
      <c r="N269" t="s">
        <v>35</v>
      </c>
    </row>
    <row r="270" spans="1:14" x14ac:dyDescent="0.2">
      <c r="A270" t="s">
        <v>300</v>
      </c>
      <c r="B270" t="s">
        <v>27</v>
      </c>
      <c r="C270" s="1">
        <v>45590</v>
      </c>
      <c r="D270" t="s">
        <v>58</v>
      </c>
      <c r="E270" t="s">
        <v>138</v>
      </c>
      <c r="F270">
        <v>4661</v>
      </c>
      <c r="G270">
        <v>935</v>
      </c>
      <c r="H270">
        <v>433</v>
      </c>
      <c r="I270">
        <v>23305</v>
      </c>
      <c r="J270">
        <v>22583</v>
      </c>
      <c r="K270">
        <v>63</v>
      </c>
      <c r="L270" s="23">
        <f>(Posts[[#This Row],[Likes]]+Posts[[#This Row],[Shares]]+Posts[[#This Row],[Comments]])/Posts[[#This Row],[Impressions]]</f>
        <v>0.25869984981763572</v>
      </c>
      <c r="M270" t="s">
        <v>17</v>
      </c>
      <c r="N270" t="s">
        <v>29</v>
      </c>
    </row>
    <row r="271" spans="1:14" x14ac:dyDescent="0.2">
      <c r="A271" t="s">
        <v>301</v>
      </c>
      <c r="B271" t="s">
        <v>38</v>
      </c>
      <c r="C271" s="1">
        <v>45669</v>
      </c>
      <c r="D271" t="s">
        <v>15</v>
      </c>
      <c r="E271" t="s">
        <v>52</v>
      </c>
      <c r="F271">
        <v>4134</v>
      </c>
      <c r="G271">
        <v>824</v>
      </c>
      <c r="H271">
        <v>99</v>
      </c>
      <c r="I271">
        <v>41340</v>
      </c>
      <c r="J271">
        <v>41050</v>
      </c>
      <c r="K271">
        <v>177</v>
      </c>
      <c r="L271" s="23">
        <f>(Posts[[#This Row],[Likes]]+Posts[[#This Row],[Shares]]+Posts[[#This Row],[Comments]])/Posts[[#This Row],[Impressions]]</f>
        <v>0.12232704402515723</v>
      </c>
      <c r="M271" t="s">
        <v>34</v>
      </c>
      <c r="N271" t="s">
        <v>18</v>
      </c>
    </row>
    <row r="272" spans="1:14" x14ac:dyDescent="0.2">
      <c r="A272" t="s">
        <v>302</v>
      </c>
      <c r="B272" t="s">
        <v>38</v>
      </c>
      <c r="C272" s="1">
        <v>45576</v>
      </c>
      <c r="D272" t="s">
        <v>44</v>
      </c>
      <c r="E272" t="s">
        <v>49</v>
      </c>
      <c r="F272">
        <v>400</v>
      </c>
      <c r="G272">
        <v>680</v>
      </c>
      <c r="H272">
        <v>434</v>
      </c>
      <c r="I272">
        <v>6400</v>
      </c>
      <c r="J272">
        <v>5472</v>
      </c>
      <c r="K272">
        <v>160</v>
      </c>
      <c r="L272" s="23">
        <f>(Posts[[#This Row],[Likes]]+Posts[[#This Row],[Shares]]+Posts[[#This Row],[Comments]])/Posts[[#This Row],[Impressions]]</f>
        <v>0.23656250000000001</v>
      </c>
      <c r="M272" t="s">
        <v>17</v>
      </c>
      <c r="N272" t="s">
        <v>24</v>
      </c>
    </row>
    <row r="273" spans="1:14" x14ac:dyDescent="0.2">
      <c r="A273" t="s">
        <v>303</v>
      </c>
      <c r="B273" t="s">
        <v>38</v>
      </c>
      <c r="C273" s="1">
        <v>45531</v>
      </c>
      <c r="D273" t="s">
        <v>15</v>
      </c>
      <c r="E273" t="s">
        <v>52</v>
      </c>
      <c r="F273">
        <v>3960</v>
      </c>
      <c r="G273">
        <v>266</v>
      </c>
      <c r="H273">
        <v>8</v>
      </c>
      <c r="I273">
        <v>35640</v>
      </c>
      <c r="J273">
        <v>34850</v>
      </c>
      <c r="K273">
        <v>208</v>
      </c>
      <c r="L273" s="23">
        <f>(Posts[[#This Row],[Likes]]+Posts[[#This Row],[Shares]]+Posts[[#This Row],[Comments]])/Posts[[#This Row],[Impressions]]</f>
        <v>0.11879910213243547</v>
      </c>
      <c r="M273" t="s">
        <v>17</v>
      </c>
    </row>
    <row r="274" spans="1:14" x14ac:dyDescent="0.2">
      <c r="A274" t="s">
        <v>303</v>
      </c>
      <c r="B274" t="s">
        <v>38</v>
      </c>
      <c r="C274" s="1">
        <v>45531</v>
      </c>
      <c r="D274" t="s">
        <v>15</v>
      </c>
      <c r="E274" t="s">
        <v>52</v>
      </c>
      <c r="F274">
        <v>3960</v>
      </c>
      <c r="G274">
        <v>266</v>
      </c>
      <c r="H274">
        <v>8</v>
      </c>
      <c r="I274">
        <v>35640</v>
      </c>
      <c r="J274">
        <v>34850</v>
      </c>
      <c r="K274">
        <v>208</v>
      </c>
      <c r="L274" s="23">
        <f>(Posts[[#This Row],[Likes]]+Posts[[#This Row],[Shares]]+Posts[[#This Row],[Comments]])/Posts[[#This Row],[Impressions]]</f>
        <v>0.11879910213243547</v>
      </c>
      <c r="M274" t="s">
        <v>34</v>
      </c>
    </row>
    <row r="275" spans="1:14" x14ac:dyDescent="0.2">
      <c r="A275" t="s">
        <v>303</v>
      </c>
      <c r="B275" t="s">
        <v>38</v>
      </c>
      <c r="C275" s="1">
        <v>45531</v>
      </c>
      <c r="D275" t="s">
        <v>15</v>
      </c>
      <c r="E275" t="s">
        <v>52</v>
      </c>
      <c r="F275">
        <v>3960</v>
      </c>
      <c r="G275">
        <v>266</v>
      </c>
      <c r="H275">
        <v>8</v>
      </c>
      <c r="I275">
        <v>35640</v>
      </c>
      <c r="J275">
        <v>34850</v>
      </c>
      <c r="K275">
        <v>208</v>
      </c>
      <c r="L275" s="23">
        <f>(Posts[[#This Row],[Likes]]+Posts[[#This Row],[Shares]]+Posts[[#This Row],[Comments]])/Posts[[#This Row],[Impressions]]</f>
        <v>0.11879910213243547</v>
      </c>
      <c r="M275" t="s">
        <v>25</v>
      </c>
    </row>
    <row r="276" spans="1:14" x14ac:dyDescent="0.2">
      <c r="A276" t="s">
        <v>304</v>
      </c>
      <c r="B276" t="s">
        <v>38</v>
      </c>
      <c r="C276" s="1">
        <v>45690</v>
      </c>
      <c r="D276" t="s">
        <v>32</v>
      </c>
      <c r="E276" t="s">
        <v>56</v>
      </c>
      <c r="F276">
        <v>886</v>
      </c>
      <c r="G276">
        <v>126</v>
      </c>
      <c r="H276">
        <v>153</v>
      </c>
      <c r="I276">
        <v>4430</v>
      </c>
      <c r="J276">
        <v>4037</v>
      </c>
      <c r="K276">
        <v>212</v>
      </c>
      <c r="L276" s="23">
        <f>(Posts[[#This Row],[Likes]]+Posts[[#This Row],[Shares]]+Posts[[#This Row],[Comments]])/Posts[[#This Row],[Impressions]]</f>
        <v>0.26297968397291194</v>
      </c>
      <c r="M276" t="s">
        <v>34</v>
      </c>
    </row>
    <row r="277" spans="1:14" x14ac:dyDescent="0.2">
      <c r="A277" t="s">
        <v>305</v>
      </c>
      <c r="B277" t="s">
        <v>14</v>
      </c>
      <c r="C277" s="1">
        <v>45491</v>
      </c>
      <c r="D277" t="s">
        <v>44</v>
      </c>
      <c r="E277" t="s">
        <v>90</v>
      </c>
      <c r="F277">
        <v>827</v>
      </c>
      <c r="G277">
        <v>77</v>
      </c>
      <c r="H277">
        <v>402</v>
      </c>
      <c r="I277">
        <v>14886</v>
      </c>
      <c r="J277">
        <v>14129</v>
      </c>
      <c r="K277">
        <v>254</v>
      </c>
      <c r="L277" s="23">
        <f>(Posts[[#This Row],[Likes]]+Posts[[#This Row],[Shares]]+Posts[[#This Row],[Comments]])/Posts[[#This Row],[Impressions]]</f>
        <v>8.7733440816874911E-2</v>
      </c>
      <c r="M277" t="s">
        <v>34</v>
      </c>
      <c r="N277" t="s">
        <v>24</v>
      </c>
    </row>
    <row r="278" spans="1:14" x14ac:dyDescent="0.2">
      <c r="A278" t="s">
        <v>306</v>
      </c>
      <c r="B278" t="s">
        <v>38</v>
      </c>
      <c r="C278" s="1">
        <v>45465</v>
      </c>
      <c r="D278" t="s">
        <v>15</v>
      </c>
      <c r="E278" t="s">
        <v>52</v>
      </c>
      <c r="F278">
        <v>3813</v>
      </c>
      <c r="G278">
        <v>935</v>
      </c>
      <c r="H278">
        <v>274</v>
      </c>
      <c r="I278">
        <v>68634</v>
      </c>
      <c r="J278">
        <v>68488</v>
      </c>
      <c r="K278">
        <v>251</v>
      </c>
      <c r="L278" s="23">
        <f>(Posts[[#This Row],[Likes]]+Posts[[#This Row],[Shares]]+Posts[[#This Row],[Comments]])/Posts[[#This Row],[Impressions]]</f>
        <v>7.3170731707317069E-2</v>
      </c>
      <c r="M278" t="s">
        <v>17</v>
      </c>
    </row>
    <row r="279" spans="1:14" x14ac:dyDescent="0.2">
      <c r="A279" t="s">
        <v>307</v>
      </c>
      <c r="B279" t="s">
        <v>31</v>
      </c>
      <c r="C279" s="1">
        <v>45743</v>
      </c>
      <c r="D279" t="s">
        <v>39</v>
      </c>
      <c r="E279" t="s">
        <v>67</v>
      </c>
      <c r="F279">
        <v>1377</v>
      </c>
      <c r="G279">
        <v>796</v>
      </c>
      <c r="H279">
        <v>387</v>
      </c>
      <c r="I279">
        <v>22032</v>
      </c>
      <c r="J279">
        <v>21869</v>
      </c>
      <c r="K279">
        <v>189</v>
      </c>
      <c r="L279" s="23">
        <f>(Posts[[#This Row],[Likes]]+Posts[[#This Row],[Shares]]+Posts[[#This Row],[Comments]])/Posts[[#This Row],[Impressions]]</f>
        <v>0.11619462599854757</v>
      </c>
      <c r="M279" t="s">
        <v>17</v>
      </c>
    </row>
    <row r="280" spans="1:14" x14ac:dyDescent="0.2">
      <c r="A280" t="s">
        <v>308</v>
      </c>
      <c r="B280" t="s">
        <v>38</v>
      </c>
      <c r="C280" s="1">
        <v>45775</v>
      </c>
      <c r="D280" t="s">
        <v>39</v>
      </c>
      <c r="E280" t="s">
        <v>40</v>
      </c>
      <c r="F280">
        <v>2089</v>
      </c>
      <c r="G280">
        <v>476</v>
      </c>
      <c r="H280">
        <v>69</v>
      </c>
      <c r="I280">
        <v>16712</v>
      </c>
      <c r="J280">
        <v>16309</v>
      </c>
      <c r="K280">
        <v>64</v>
      </c>
      <c r="L280" s="23">
        <f>(Posts[[#This Row],[Likes]]+Posts[[#This Row],[Shares]]+Posts[[#This Row],[Comments]])/Posts[[#This Row],[Impressions]]</f>
        <v>0.15761129727142173</v>
      </c>
      <c r="M280" t="s">
        <v>17</v>
      </c>
      <c r="N280" t="s">
        <v>29</v>
      </c>
    </row>
    <row r="281" spans="1:14" x14ac:dyDescent="0.2">
      <c r="A281" t="s">
        <v>309</v>
      </c>
      <c r="B281" t="s">
        <v>14</v>
      </c>
      <c r="C281" s="1">
        <v>45507</v>
      </c>
      <c r="D281" t="s">
        <v>15</v>
      </c>
      <c r="E281" t="s">
        <v>16</v>
      </c>
      <c r="F281">
        <v>3791</v>
      </c>
      <c r="G281">
        <v>593</v>
      </c>
      <c r="H281">
        <v>228</v>
      </c>
      <c r="I281">
        <v>53074</v>
      </c>
      <c r="J281">
        <v>52613</v>
      </c>
      <c r="K281">
        <v>205</v>
      </c>
      <c r="L281" s="23">
        <f>(Posts[[#This Row],[Likes]]+Posts[[#This Row],[Shares]]+Posts[[#This Row],[Comments]])/Posts[[#This Row],[Impressions]]</f>
        <v>8.6897539284772202E-2</v>
      </c>
      <c r="M281" t="s">
        <v>34</v>
      </c>
    </row>
    <row r="282" spans="1:14" x14ac:dyDescent="0.2">
      <c r="A282" t="s">
        <v>310</v>
      </c>
      <c r="B282" t="s">
        <v>14</v>
      </c>
      <c r="C282" s="1">
        <v>45671</v>
      </c>
      <c r="D282" t="s">
        <v>44</v>
      </c>
      <c r="E282" t="s">
        <v>90</v>
      </c>
      <c r="F282">
        <v>2692</v>
      </c>
      <c r="G282">
        <v>115</v>
      </c>
      <c r="H282">
        <v>64</v>
      </c>
      <c r="I282">
        <v>21536</v>
      </c>
      <c r="J282">
        <v>21120</v>
      </c>
      <c r="K282">
        <v>224</v>
      </c>
      <c r="L282" s="23">
        <f>(Posts[[#This Row],[Likes]]+Posts[[#This Row],[Shares]]+Posts[[#This Row],[Comments]])/Posts[[#This Row],[Impressions]]</f>
        <v>0.13331166419019316</v>
      </c>
      <c r="M282" t="s">
        <v>17</v>
      </c>
      <c r="N282" t="s">
        <v>24</v>
      </c>
    </row>
    <row r="283" spans="1:14" x14ac:dyDescent="0.2">
      <c r="A283" t="s">
        <v>311</v>
      </c>
      <c r="B283" t="s">
        <v>38</v>
      </c>
      <c r="C283" s="1">
        <v>45750</v>
      </c>
      <c r="D283" t="s">
        <v>32</v>
      </c>
      <c r="E283" t="s">
        <v>56</v>
      </c>
      <c r="F283">
        <v>3767</v>
      </c>
      <c r="G283">
        <v>514</v>
      </c>
      <c r="H283">
        <v>238</v>
      </c>
      <c r="I283">
        <v>37670</v>
      </c>
      <c r="J283">
        <v>36807</v>
      </c>
      <c r="K283">
        <v>226</v>
      </c>
      <c r="L283" s="23">
        <f>(Posts[[#This Row],[Likes]]+Posts[[#This Row],[Shares]]+Posts[[#This Row],[Comments]])/Posts[[#This Row],[Impressions]]</f>
        <v>0.11996283514733209</v>
      </c>
      <c r="M283" t="s">
        <v>17</v>
      </c>
      <c r="N283" t="s">
        <v>35</v>
      </c>
    </row>
    <row r="284" spans="1:14" x14ac:dyDescent="0.2">
      <c r="A284" t="s">
        <v>312</v>
      </c>
      <c r="B284" t="s">
        <v>27</v>
      </c>
      <c r="C284" s="1">
        <v>45553</v>
      </c>
      <c r="D284" t="s">
        <v>39</v>
      </c>
      <c r="E284" t="s">
        <v>54</v>
      </c>
      <c r="F284">
        <v>2143</v>
      </c>
      <c r="G284">
        <v>12</v>
      </c>
      <c r="H284">
        <v>204</v>
      </c>
      <c r="I284">
        <v>40717</v>
      </c>
      <c r="J284">
        <v>40125</v>
      </c>
      <c r="K284">
        <v>248</v>
      </c>
      <c r="L284" s="23">
        <f>(Posts[[#This Row],[Likes]]+Posts[[#This Row],[Shares]]+Posts[[#This Row],[Comments]])/Posts[[#This Row],[Impressions]]</f>
        <v>5.7936488444630008E-2</v>
      </c>
      <c r="M284" t="s">
        <v>34</v>
      </c>
      <c r="N284" t="s">
        <v>24</v>
      </c>
    </row>
    <row r="285" spans="1:14" x14ac:dyDescent="0.2">
      <c r="A285" t="s">
        <v>313</v>
      </c>
      <c r="B285" t="s">
        <v>38</v>
      </c>
      <c r="C285" s="1">
        <v>45753</v>
      </c>
      <c r="D285" t="s">
        <v>44</v>
      </c>
      <c r="E285" t="s">
        <v>49</v>
      </c>
      <c r="F285">
        <v>3090</v>
      </c>
      <c r="G285">
        <v>697</v>
      </c>
      <c r="H285">
        <v>164</v>
      </c>
      <c r="I285">
        <v>49440</v>
      </c>
      <c r="J285">
        <v>48524</v>
      </c>
      <c r="K285">
        <v>25</v>
      </c>
      <c r="L285" s="23">
        <f>(Posts[[#This Row],[Likes]]+Posts[[#This Row],[Shares]]+Posts[[#This Row],[Comments]])/Posts[[#This Row],[Impressions]]</f>
        <v>7.9915048543689318E-2</v>
      </c>
      <c r="M285" t="s">
        <v>34</v>
      </c>
      <c r="N285" t="s">
        <v>24</v>
      </c>
    </row>
    <row r="286" spans="1:14" x14ac:dyDescent="0.2">
      <c r="A286" t="s">
        <v>313</v>
      </c>
      <c r="B286" t="s">
        <v>38</v>
      </c>
      <c r="C286" s="1">
        <v>45753</v>
      </c>
      <c r="D286" t="s">
        <v>44</v>
      </c>
      <c r="E286" t="s">
        <v>49</v>
      </c>
      <c r="F286">
        <v>3090</v>
      </c>
      <c r="G286">
        <v>697</v>
      </c>
      <c r="H286">
        <v>164</v>
      </c>
      <c r="I286">
        <v>49440</v>
      </c>
      <c r="J286">
        <v>48524</v>
      </c>
      <c r="K286">
        <v>25</v>
      </c>
      <c r="L286" s="23">
        <f>(Posts[[#This Row],[Likes]]+Posts[[#This Row],[Shares]]+Posts[[#This Row],[Comments]])/Posts[[#This Row],[Impressions]]</f>
        <v>7.9915048543689318E-2</v>
      </c>
      <c r="M286" t="s">
        <v>34</v>
      </c>
      <c r="N286" t="s">
        <v>24</v>
      </c>
    </row>
    <row r="287" spans="1:14" x14ac:dyDescent="0.2">
      <c r="A287" t="s">
        <v>313</v>
      </c>
      <c r="B287" t="s">
        <v>38</v>
      </c>
      <c r="C287" s="1">
        <v>45753</v>
      </c>
      <c r="D287" t="s">
        <v>44</v>
      </c>
      <c r="E287" t="s">
        <v>49</v>
      </c>
      <c r="F287">
        <v>3090</v>
      </c>
      <c r="G287">
        <v>697</v>
      </c>
      <c r="H287">
        <v>164</v>
      </c>
      <c r="I287">
        <v>49440</v>
      </c>
      <c r="J287">
        <v>48524</v>
      </c>
      <c r="K287">
        <v>25</v>
      </c>
      <c r="L287" s="23">
        <f>(Posts[[#This Row],[Likes]]+Posts[[#This Row],[Shares]]+Posts[[#This Row],[Comments]])/Posts[[#This Row],[Impressions]]</f>
        <v>7.9915048543689318E-2</v>
      </c>
      <c r="M287" t="s">
        <v>25</v>
      </c>
      <c r="N287" t="s">
        <v>24</v>
      </c>
    </row>
    <row r="288" spans="1:14" x14ac:dyDescent="0.2">
      <c r="A288" t="s">
        <v>314</v>
      </c>
      <c r="B288" t="s">
        <v>31</v>
      </c>
      <c r="C288" s="1">
        <v>45509</v>
      </c>
      <c r="D288" t="s">
        <v>32</v>
      </c>
      <c r="E288" t="s">
        <v>33</v>
      </c>
      <c r="F288">
        <v>3601</v>
      </c>
      <c r="G288">
        <v>695</v>
      </c>
      <c r="H288">
        <v>75</v>
      </c>
      <c r="I288">
        <v>21606</v>
      </c>
      <c r="J288">
        <v>21454</v>
      </c>
      <c r="K288">
        <v>172</v>
      </c>
      <c r="L288" s="23">
        <f>(Posts[[#This Row],[Likes]]+Posts[[#This Row],[Shares]]+Posts[[#This Row],[Comments]])/Posts[[#This Row],[Impressions]]</f>
        <v>0.2023049153013052</v>
      </c>
      <c r="M288" t="s">
        <v>34</v>
      </c>
      <c r="N288" t="s">
        <v>24</v>
      </c>
    </row>
    <row r="289" spans="1:14" x14ac:dyDescent="0.2">
      <c r="A289" t="s">
        <v>315</v>
      </c>
      <c r="B289" t="s">
        <v>38</v>
      </c>
      <c r="C289" s="1">
        <v>45698</v>
      </c>
      <c r="D289" t="s">
        <v>21</v>
      </c>
      <c r="E289" t="s">
        <v>47</v>
      </c>
      <c r="F289">
        <v>562</v>
      </c>
      <c r="G289">
        <v>158</v>
      </c>
      <c r="H289">
        <v>149</v>
      </c>
      <c r="I289">
        <v>3372</v>
      </c>
      <c r="J289">
        <v>2940</v>
      </c>
      <c r="K289">
        <v>93</v>
      </c>
      <c r="L289" s="23">
        <f>(Posts[[#This Row],[Likes]]+Posts[[#This Row],[Shares]]+Posts[[#This Row],[Comments]])/Posts[[#This Row],[Impressions]]</f>
        <v>0.25771055753262156</v>
      </c>
      <c r="M289" t="s">
        <v>23</v>
      </c>
      <c r="N289" t="s">
        <v>18</v>
      </c>
    </row>
    <row r="290" spans="1:14" x14ac:dyDescent="0.2">
      <c r="A290" t="s">
        <v>316</v>
      </c>
      <c r="B290" t="s">
        <v>31</v>
      </c>
      <c r="C290" s="1">
        <v>45700</v>
      </c>
      <c r="D290" t="s">
        <v>32</v>
      </c>
      <c r="E290" t="s">
        <v>33</v>
      </c>
      <c r="F290">
        <v>4332</v>
      </c>
      <c r="G290">
        <v>771</v>
      </c>
      <c r="H290">
        <v>219</v>
      </c>
      <c r="I290">
        <v>60648</v>
      </c>
      <c r="J290">
        <v>60397</v>
      </c>
      <c r="K290">
        <v>10</v>
      </c>
      <c r="L290" s="23">
        <f>(Posts[[#This Row],[Likes]]+Posts[[#This Row],[Shares]]+Posts[[#This Row],[Comments]])/Posts[[#This Row],[Impressions]]</f>
        <v>8.7752275425405618E-2</v>
      </c>
      <c r="M290" t="s">
        <v>23</v>
      </c>
      <c r="N290" t="s">
        <v>29</v>
      </c>
    </row>
    <row r="291" spans="1:14" x14ac:dyDescent="0.2">
      <c r="A291" t="s">
        <v>316</v>
      </c>
      <c r="B291" t="s">
        <v>31</v>
      </c>
      <c r="C291" s="1">
        <v>45700</v>
      </c>
      <c r="D291" t="s">
        <v>32</v>
      </c>
      <c r="E291" t="s">
        <v>33</v>
      </c>
      <c r="F291">
        <v>4332</v>
      </c>
      <c r="G291">
        <v>771</v>
      </c>
      <c r="H291">
        <v>219</v>
      </c>
      <c r="I291">
        <v>60648</v>
      </c>
      <c r="J291">
        <v>60397</v>
      </c>
      <c r="K291">
        <v>10</v>
      </c>
      <c r="L291" s="23">
        <f>(Posts[[#This Row],[Likes]]+Posts[[#This Row],[Shares]]+Posts[[#This Row],[Comments]])/Posts[[#This Row],[Impressions]]</f>
        <v>8.7752275425405618E-2</v>
      </c>
      <c r="M291" t="s">
        <v>34</v>
      </c>
      <c r="N291" t="s">
        <v>29</v>
      </c>
    </row>
    <row r="292" spans="1:14" x14ac:dyDescent="0.2">
      <c r="A292" t="s">
        <v>316</v>
      </c>
      <c r="B292" t="s">
        <v>31</v>
      </c>
      <c r="C292" s="1">
        <v>45700</v>
      </c>
      <c r="D292" t="s">
        <v>32</v>
      </c>
      <c r="E292" t="s">
        <v>33</v>
      </c>
      <c r="F292">
        <v>4332</v>
      </c>
      <c r="G292">
        <v>771</v>
      </c>
      <c r="H292">
        <v>219</v>
      </c>
      <c r="I292">
        <v>60648</v>
      </c>
      <c r="J292">
        <v>60397</v>
      </c>
      <c r="K292">
        <v>10</v>
      </c>
      <c r="L292" s="23">
        <f>(Posts[[#This Row],[Likes]]+Posts[[#This Row],[Shares]]+Posts[[#This Row],[Comments]])/Posts[[#This Row],[Impressions]]</f>
        <v>8.7752275425405618E-2</v>
      </c>
      <c r="M292" t="s">
        <v>25</v>
      </c>
      <c r="N292" t="s">
        <v>29</v>
      </c>
    </row>
    <row r="293" spans="1:14" x14ac:dyDescent="0.2">
      <c r="A293" t="s">
        <v>317</v>
      </c>
      <c r="B293" t="s">
        <v>31</v>
      </c>
      <c r="C293" s="1">
        <v>45592</v>
      </c>
      <c r="D293" t="s">
        <v>44</v>
      </c>
      <c r="E293" t="s">
        <v>136</v>
      </c>
      <c r="F293">
        <v>4853</v>
      </c>
      <c r="G293">
        <v>837</v>
      </c>
      <c r="H293">
        <v>340</v>
      </c>
      <c r="I293">
        <v>72795</v>
      </c>
      <c r="J293">
        <v>72237</v>
      </c>
      <c r="K293">
        <v>170</v>
      </c>
      <c r="L293" s="23">
        <f>(Posts[[#This Row],[Likes]]+Posts[[#This Row],[Shares]]+Posts[[#This Row],[Comments]])/Posts[[#This Row],[Impressions]]</f>
        <v>8.2835359571399134E-2</v>
      </c>
      <c r="M293" t="s">
        <v>34</v>
      </c>
      <c r="N293" t="s">
        <v>18</v>
      </c>
    </row>
    <row r="294" spans="1:14" x14ac:dyDescent="0.2">
      <c r="A294" t="s">
        <v>318</v>
      </c>
      <c r="B294" t="s">
        <v>27</v>
      </c>
      <c r="C294" s="1">
        <v>45675</v>
      </c>
      <c r="D294" t="s">
        <v>44</v>
      </c>
      <c r="E294" t="s">
        <v>45</v>
      </c>
      <c r="F294">
        <v>1206</v>
      </c>
      <c r="G294">
        <v>238</v>
      </c>
      <c r="H294">
        <v>36</v>
      </c>
      <c r="I294">
        <v>9648</v>
      </c>
      <c r="J294">
        <v>9417</v>
      </c>
      <c r="K294">
        <v>237</v>
      </c>
      <c r="L294" s="23">
        <f>(Posts[[#This Row],[Likes]]+Posts[[#This Row],[Shares]]+Posts[[#This Row],[Comments]])/Posts[[#This Row],[Impressions]]</f>
        <v>0.15339966832504145</v>
      </c>
      <c r="M294" t="s">
        <v>23</v>
      </c>
    </row>
    <row r="295" spans="1:14" x14ac:dyDescent="0.2">
      <c r="A295" t="s">
        <v>319</v>
      </c>
      <c r="B295" t="s">
        <v>31</v>
      </c>
      <c r="C295" s="1">
        <v>45524</v>
      </c>
      <c r="D295" t="s">
        <v>15</v>
      </c>
      <c r="E295" t="s">
        <v>63</v>
      </c>
      <c r="F295">
        <v>2603</v>
      </c>
      <c r="G295">
        <v>690</v>
      </c>
      <c r="H295">
        <v>205</v>
      </c>
      <c r="I295">
        <v>13015</v>
      </c>
      <c r="J295">
        <v>12130</v>
      </c>
      <c r="K295">
        <v>20</v>
      </c>
      <c r="L295" s="23">
        <f>(Posts[[#This Row],[Likes]]+Posts[[#This Row],[Shares]]+Posts[[#This Row],[Comments]])/Posts[[#This Row],[Impressions]]</f>
        <v>0.26876680752977333</v>
      </c>
      <c r="M295" t="s">
        <v>17</v>
      </c>
      <c r="N295" t="s">
        <v>24</v>
      </c>
    </row>
    <row r="296" spans="1:14" x14ac:dyDescent="0.2">
      <c r="A296" t="s">
        <v>320</v>
      </c>
      <c r="B296" t="s">
        <v>14</v>
      </c>
      <c r="C296" s="1">
        <v>45687</v>
      </c>
      <c r="D296" t="s">
        <v>44</v>
      </c>
      <c r="E296" t="s">
        <v>90</v>
      </c>
      <c r="F296">
        <v>59</v>
      </c>
      <c r="G296">
        <v>163</v>
      </c>
      <c r="H296">
        <v>93</v>
      </c>
      <c r="I296">
        <v>590</v>
      </c>
      <c r="J296">
        <v>475</v>
      </c>
      <c r="K296">
        <v>293</v>
      </c>
      <c r="L296" s="23">
        <f>(Posts[[#This Row],[Likes]]+Posts[[#This Row],[Shares]]+Posts[[#This Row],[Comments]])/Posts[[#This Row],[Impressions]]</f>
        <v>0.53389830508474578</v>
      </c>
      <c r="M296" t="s">
        <v>23</v>
      </c>
      <c r="N296" t="s">
        <v>24</v>
      </c>
    </row>
    <row r="297" spans="1:14" x14ac:dyDescent="0.2">
      <c r="A297" t="s">
        <v>321</v>
      </c>
      <c r="B297" t="s">
        <v>14</v>
      </c>
      <c r="C297" s="1">
        <v>45708</v>
      </c>
      <c r="D297" t="s">
        <v>39</v>
      </c>
      <c r="E297" t="s">
        <v>42</v>
      </c>
      <c r="F297">
        <v>1877</v>
      </c>
      <c r="G297">
        <v>745</v>
      </c>
      <c r="H297">
        <v>225</v>
      </c>
      <c r="I297">
        <v>11262</v>
      </c>
      <c r="J297">
        <v>10967</v>
      </c>
      <c r="K297">
        <v>41</v>
      </c>
      <c r="L297" s="23">
        <f>(Posts[[#This Row],[Likes]]+Posts[[#This Row],[Shares]]+Posts[[#This Row],[Comments]])/Posts[[#This Row],[Impressions]]</f>
        <v>0.25279701651571657</v>
      </c>
      <c r="M297" t="s">
        <v>34</v>
      </c>
      <c r="N297" t="s">
        <v>35</v>
      </c>
    </row>
    <row r="298" spans="1:14" x14ac:dyDescent="0.2">
      <c r="A298" t="s">
        <v>322</v>
      </c>
      <c r="B298" t="s">
        <v>38</v>
      </c>
      <c r="C298" s="1">
        <v>45621</v>
      </c>
      <c r="D298" t="s">
        <v>32</v>
      </c>
      <c r="E298" t="s">
        <v>56</v>
      </c>
      <c r="F298">
        <v>4182</v>
      </c>
      <c r="G298">
        <v>640</v>
      </c>
      <c r="H298">
        <v>240</v>
      </c>
      <c r="I298">
        <v>50184</v>
      </c>
      <c r="J298">
        <v>49351</v>
      </c>
      <c r="K298">
        <v>10</v>
      </c>
      <c r="L298" s="23">
        <f>(Posts[[#This Row],[Likes]]+Posts[[#This Row],[Shares]]+Posts[[#This Row],[Comments]])/Posts[[#This Row],[Impressions]]</f>
        <v>0.10086880280567512</v>
      </c>
      <c r="M298" t="s">
        <v>23</v>
      </c>
      <c r="N298" t="s">
        <v>29</v>
      </c>
    </row>
    <row r="299" spans="1:14" x14ac:dyDescent="0.2">
      <c r="A299" t="s">
        <v>323</v>
      </c>
      <c r="B299" t="s">
        <v>14</v>
      </c>
      <c r="C299" s="1">
        <v>45569</v>
      </c>
      <c r="D299" t="s">
        <v>15</v>
      </c>
      <c r="E299" t="s">
        <v>16</v>
      </c>
      <c r="F299">
        <v>4187</v>
      </c>
      <c r="G299">
        <v>66</v>
      </c>
      <c r="H299">
        <v>31</v>
      </c>
      <c r="I299">
        <v>66992</v>
      </c>
      <c r="J299">
        <v>66614</v>
      </c>
      <c r="K299">
        <v>62</v>
      </c>
      <c r="L299" s="23">
        <f>(Posts[[#This Row],[Likes]]+Posts[[#This Row],[Shares]]+Posts[[#This Row],[Comments]])/Posts[[#This Row],[Impressions]]</f>
        <v>6.3947934081681396E-2</v>
      </c>
      <c r="M299" t="s">
        <v>17</v>
      </c>
    </row>
    <row r="300" spans="1:14" x14ac:dyDescent="0.2">
      <c r="A300" t="s">
        <v>324</v>
      </c>
      <c r="B300" t="s">
        <v>31</v>
      </c>
      <c r="C300" s="1">
        <v>45760</v>
      </c>
      <c r="D300" t="s">
        <v>15</v>
      </c>
      <c r="E300" t="s">
        <v>63</v>
      </c>
      <c r="F300">
        <v>4579</v>
      </c>
      <c r="G300">
        <v>125</v>
      </c>
      <c r="H300">
        <v>300</v>
      </c>
      <c r="I300">
        <v>59527</v>
      </c>
      <c r="J300">
        <v>59400</v>
      </c>
      <c r="K300">
        <v>269</v>
      </c>
      <c r="L300" s="23">
        <f>(Posts[[#This Row],[Likes]]+Posts[[#This Row],[Shares]]+Posts[[#This Row],[Comments]])/Posts[[#This Row],[Impressions]]</f>
        <v>8.4062694239588759E-2</v>
      </c>
      <c r="M300" t="s">
        <v>34</v>
      </c>
      <c r="N300" t="s">
        <v>18</v>
      </c>
    </row>
    <row r="301" spans="1:14" x14ac:dyDescent="0.2">
      <c r="A301" t="s">
        <v>325</v>
      </c>
      <c r="B301" t="s">
        <v>31</v>
      </c>
      <c r="C301" s="1">
        <v>45601</v>
      </c>
      <c r="D301" t="s">
        <v>58</v>
      </c>
      <c r="E301" t="s">
        <v>65</v>
      </c>
      <c r="F301">
        <v>4561</v>
      </c>
      <c r="G301">
        <v>51</v>
      </c>
      <c r="H301">
        <v>441</v>
      </c>
      <c r="I301">
        <v>22805</v>
      </c>
      <c r="J301">
        <v>21890</v>
      </c>
      <c r="K301">
        <v>45</v>
      </c>
      <c r="L301" s="23">
        <f>(Posts[[#This Row],[Likes]]+Posts[[#This Row],[Shares]]+Posts[[#This Row],[Comments]])/Posts[[#This Row],[Impressions]]</f>
        <v>0.22157421618066214</v>
      </c>
      <c r="M301" t="s">
        <v>23</v>
      </c>
      <c r="N301" t="s">
        <v>24</v>
      </c>
    </row>
    <row r="302" spans="1:14" x14ac:dyDescent="0.2">
      <c r="A302" t="s">
        <v>326</v>
      </c>
      <c r="B302" t="s">
        <v>27</v>
      </c>
      <c r="C302" s="1">
        <v>45672</v>
      </c>
      <c r="D302" t="s">
        <v>15</v>
      </c>
      <c r="E302" t="s">
        <v>28</v>
      </c>
      <c r="F302">
        <v>3774</v>
      </c>
      <c r="G302">
        <v>239</v>
      </c>
      <c r="H302">
        <v>39</v>
      </c>
      <c r="I302">
        <v>60384</v>
      </c>
      <c r="J302">
        <v>59490</v>
      </c>
      <c r="K302">
        <v>241</v>
      </c>
      <c r="L302" s="23">
        <f>(Posts[[#This Row],[Likes]]+Posts[[#This Row],[Shares]]+Posts[[#This Row],[Comments]])/Posts[[#This Row],[Impressions]]</f>
        <v>6.7103868574456813E-2</v>
      </c>
      <c r="M302" t="s">
        <v>23</v>
      </c>
      <c r="N302" t="s">
        <v>29</v>
      </c>
    </row>
    <row r="303" spans="1:14" x14ac:dyDescent="0.2">
      <c r="A303" t="s">
        <v>327</v>
      </c>
      <c r="B303" t="s">
        <v>31</v>
      </c>
      <c r="C303" s="1">
        <v>45582</v>
      </c>
      <c r="D303" t="s">
        <v>58</v>
      </c>
      <c r="E303" t="s">
        <v>65</v>
      </c>
      <c r="F303">
        <v>3575</v>
      </c>
      <c r="G303">
        <v>749</v>
      </c>
      <c r="H303">
        <v>111</v>
      </c>
      <c r="I303">
        <v>21450</v>
      </c>
      <c r="J303">
        <v>20785</v>
      </c>
      <c r="K303">
        <v>195</v>
      </c>
      <c r="L303" s="23">
        <f>(Posts[[#This Row],[Likes]]+Posts[[#This Row],[Shares]]+Posts[[#This Row],[Comments]])/Posts[[#This Row],[Impressions]]</f>
        <v>0.20675990675990677</v>
      </c>
      <c r="M303" t="s">
        <v>34</v>
      </c>
      <c r="N303" t="s">
        <v>24</v>
      </c>
    </row>
    <row r="304" spans="1:14" x14ac:dyDescent="0.2">
      <c r="A304" t="s">
        <v>328</v>
      </c>
      <c r="B304" t="s">
        <v>31</v>
      </c>
      <c r="C304" s="1">
        <v>45743</v>
      </c>
      <c r="D304" t="s">
        <v>21</v>
      </c>
      <c r="E304" t="s">
        <v>80</v>
      </c>
      <c r="F304">
        <v>4941</v>
      </c>
      <c r="G304">
        <v>414</v>
      </c>
      <c r="H304">
        <v>266</v>
      </c>
      <c r="I304">
        <v>39528</v>
      </c>
      <c r="J304">
        <v>39154</v>
      </c>
      <c r="K304">
        <v>217</v>
      </c>
      <c r="L304" s="23">
        <f>(Posts[[#This Row],[Likes]]+Posts[[#This Row],[Shares]]+Posts[[#This Row],[Comments]])/Posts[[#This Row],[Impressions]]</f>
        <v>0.14220299534507186</v>
      </c>
      <c r="M304" t="s">
        <v>23</v>
      </c>
      <c r="N304" t="s">
        <v>29</v>
      </c>
    </row>
    <row r="305" spans="1:14" x14ac:dyDescent="0.2">
      <c r="A305" t="s">
        <v>329</v>
      </c>
      <c r="B305" t="s">
        <v>27</v>
      </c>
      <c r="C305" s="1">
        <v>45577</v>
      </c>
      <c r="D305" t="s">
        <v>32</v>
      </c>
      <c r="E305" t="s">
        <v>103</v>
      </c>
      <c r="F305">
        <v>3641</v>
      </c>
      <c r="G305">
        <v>226</v>
      </c>
      <c r="H305">
        <v>46</v>
      </c>
      <c r="I305">
        <v>40051</v>
      </c>
      <c r="J305">
        <v>39319</v>
      </c>
      <c r="K305">
        <v>296</v>
      </c>
      <c r="L305" s="23">
        <f>(Posts[[#This Row],[Likes]]+Posts[[#This Row],[Shares]]+Posts[[#This Row],[Comments]])/Posts[[#This Row],[Impressions]]</f>
        <v>9.7700431949264685E-2</v>
      </c>
      <c r="M305" t="s">
        <v>34</v>
      </c>
      <c r="N305" t="s">
        <v>35</v>
      </c>
    </row>
    <row r="306" spans="1:14" x14ac:dyDescent="0.2">
      <c r="A306" t="s">
        <v>330</v>
      </c>
      <c r="B306" t="s">
        <v>14</v>
      </c>
      <c r="C306" s="1">
        <v>45658</v>
      </c>
      <c r="D306" t="s">
        <v>39</v>
      </c>
      <c r="E306" t="s">
        <v>42</v>
      </c>
      <c r="F306">
        <v>3535</v>
      </c>
      <c r="G306">
        <v>494</v>
      </c>
      <c r="H306">
        <v>152</v>
      </c>
      <c r="I306">
        <v>53025</v>
      </c>
      <c r="J306">
        <v>52791</v>
      </c>
      <c r="K306">
        <v>44</v>
      </c>
      <c r="L306" s="23">
        <f>(Posts[[#This Row],[Likes]]+Posts[[#This Row],[Shares]]+Posts[[#This Row],[Comments]])/Posts[[#This Row],[Impressions]]</f>
        <v>7.8849599245638849E-2</v>
      </c>
      <c r="M306" t="s">
        <v>23</v>
      </c>
      <c r="N306" t="s">
        <v>35</v>
      </c>
    </row>
    <row r="307" spans="1:14" x14ac:dyDescent="0.2">
      <c r="A307" t="s">
        <v>331</v>
      </c>
      <c r="B307" t="s">
        <v>38</v>
      </c>
      <c r="C307" s="1">
        <v>45509</v>
      </c>
      <c r="D307" t="s">
        <v>15</v>
      </c>
      <c r="E307" t="s">
        <v>52</v>
      </c>
      <c r="F307">
        <v>1741</v>
      </c>
      <c r="G307">
        <v>831</v>
      </c>
      <c r="H307">
        <v>345</v>
      </c>
      <c r="I307">
        <v>17410</v>
      </c>
      <c r="J307">
        <v>16844</v>
      </c>
      <c r="K307">
        <v>58</v>
      </c>
      <c r="L307" s="23">
        <f>(Posts[[#This Row],[Likes]]+Posts[[#This Row],[Shares]]+Posts[[#This Row],[Comments]])/Posts[[#This Row],[Impressions]]</f>
        <v>0.16754738655944859</v>
      </c>
      <c r="M307" t="s">
        <v>34</v>
      </c>
      <c r="N307" t="s">
        <v>29</v>
      </c>
    </row>
    <row r="308" spans="1:14" x14ac:dyDescent="0.2">
      <c r="A308" t="s">
        <v>332</v>
      </c>
      <c r="B308" t="s">
        <v>14</v>
      </c>
      <c r="C308" s="1">
        <v>45450</v>
      </c>
      <c r="D308" t="s">
        <v>39</v>
      </c>
      <c r="E308" t="s">
        <v>42</v>
      </c>
      <c r="F308">
        <v>1556</v>
      </c>
      <c r="G308">
        <v>195</v>
      </c>
      <c r="H308">
        <v>131</v>
      </c>
      <c r="I308">
        <v>9336</v>
      </c>
      <c r="J308">
        <v>8875</v>
      </c>
      <c r="K308">
        <v>137</v>
      </c>
      <c r="L308" s="23">
        <f>(Posts[[#This Row],[Likes]]+Posts[[#This Row],[Shares]]+Posts[[#This Row],[Comments]])/Posts[[#This Row],[Impressions]]</f>
        <v>0.2015852613538989</v>
      </c>
      <c r="M308" t="s">
        <v>23</v>
      </c>
      <c r="N308" t="s">
        <v>24</v>
      </c>
    </row>
    <row r="309" spans="1:14" x14ac:dyDescent="0.2">
      <c r="A309" t="s">
        <v>333</v>
      </c>
      <c r="B309" t="s">
        <v>38</v>
      </c>
      <c r="C309" s="1">
        <v>45753</v>
      </c>
      <c r="D309" t="s">
        <v>44</v>
      </c>
      <c r="E309" t="s">
        <v>49</v>
      </c>
      <c r="F309">
        <v>4236</v>
      </c>
      <c r="G309">
        <v>711</v>
      </c>
      <c r="H309">
        <v>298</v>
      </c>
      <c r="I309">
        <v>21180</v>
      </c>
      <c r="J309">
        <v>20516</v>
      </c>
      <c r="K309">
        <v>238</v>
      </c>
      <c r="L309" s="23">
        <f>(Posts[[#This Row],[Likes]]+Posts[[#This Row],[Shares]]+Posts[[#This Row],[Comments]])/Posts[[#This Row],[Impressions]]</f>
        <v>0.24763928234183191</v>
      </c>
      <c r="M309" t="s">
        <v>17</v>
      </c>
      <c r="N309" t="s">
        <v>18</v>
      </c>
    </row>
    <row r="310" spans="1:14" x14ac:dyDescent="0.2">
      <c r="A310" t="s">
        <v>334</v>
      </c>
      <c r="B310" t="s">
        <v>14</v>
      </c>
      <c r="C310" s="1">
        <v>45622</v>
      </c>
      <c r="D310" t="s">
        <v>21</v>
      </c>
      <c r="E310" t="s">
        <v>22</v>
      </c>
      <c r="F310">
        <v>4516</v>
      </c>
      <c r="G310">
        <v>836</v>
      </c>
      <c r="H310">
        <v>169</v>
      </c>
      <c r="I310">
        <v>49676</v>
      </c>
      <c r="J310">
        <v>49257</v>
      </c>
      <c r="K310">
        <v>282</v>
      </c>
      <c r="L310" s="23">
        <f>(Posts[[#This Row],[Likes]]+Posts[[#This Row],[Shares]]+Posts[[#This Row],[Comments]])/Posts[[#This Row],[Impressions]]</f>
        <v>0.11114018842096787</v>
      </c>
      <c r="M310" t="s">
        <v>34</v>
      </c>
      <c r="N310" t="s">
        <v>35</v>
      </c>
    </row>
    <row r="311" spans="1:14" x14ac:dyDescent="0.2">
      <c r="A311" t="s">
        <v>335</v>
      </c>
      <c r="B311" t="s">
        <v>27</v>
      </c>
      <c r="C311" s="1">
        <v>45537</v>
      </c>
      <c r="D311" t="s">
        <v>44</v>
      </c>
      <c r="E311" t="s">
        <v>45</v>
      </c>
      <c r="F311">
        <v>4905</v>
      </c>
      <c r="G311">
        <v>845</v>
      </c>
      <c r="H311">
        <v>129</v>
      </c>
      <c r="I311">
        <v>98100</v>
      </c>
      <c r="J311">
        <v>97772</v>
      </c>
      <c r="K311">
        <v>279</v>
      </c>
      <c r="L311" s="23">
        <f>(Posts[[#This Row],[Likes]]+Posts[[#This Row],[Shares]]+Posts[[#This Row],[Comments]])/Posts[[#This Row],[Impressions]]</f>
        <v>5.9928644240570844E-2</v>
      </c>
      <c r="M311" t="s">
        <v>23</v>
      </c>
      <c r="N311" t="s">
        <v>24</v>
      </c>
    </row>
    <row r="312" spans="1:14" x14ac:dyDescent="0.2">
      <c r="A312" t="s">
        <v>336</v>
      </c>
      <c r="B312" t="s">
        <v>27</v>
      </c>
      <c r="C312" s="1">
        <v>45586</v>
      </c>
      <c r="D312" t="s">
        <v>58</v>
      </c>
      <c r="E312" t="s">
        <v>138</v>
      </c>
      <c r="F312">
        <v>4275</v>
      </c>
      <c r="G312">
        <v>680</v>
      </c>
      <c r="H312">
        <v>385</v>
      </c>
      <c r="I312">
        <v>64125</v>
      </c>
      <c r="J312">
        <v>63650</v>
      </c>
      <c r="K312">
        <v>104</v>
      </c>
      <c r="L312" s="23">
        <f>(Posts[[#This Row],[Likes]]+Posts[[#This Row],[Shares]]+Posts[[#This Row],[Comments]])/Posts[[#This Row],[Impressions]]</f>
        <v>8.3274853801169585E-2</v>
      </c>
      <c r="M312" t="s">
        <v>34</v>
      </c>
      <c r="N312" t="s">
        <v>35</v>
      </c>
    </row>
    <row r="313" spans="1:14" x14ac:dyDescent="0.2">
      <c r="A313" t="s">
        <v>336</v>
      </c>
      <c r="B313" t="s">
        <v>27</v>
      </c>
      <c r="C313" s="1">
        <v>45586</v>
      </c>
      <c r="D313" t="s">
        <v>58</v>
      </c>
      <c r="E313" t="s">
        <v>138</v>
      </c>
      <c r="F313">
        <v>4275</v>
      </c>
      <c r="G313">
        <v>680</v>
      </c>
      <c r="H313">
        <v>385</v>
      </c>
      <c r="I313">
        <v>64125</v>
      </c>
      <c r="J313">
        <v>63650</v>
      </c>
      <c r="K313">
        <v>104</v>
      </c>
      <c r="L313" s="23">
        <f>(Posts[[#This Row],[Likes]]+Posts[[#This Row],[Shares]]+Posts[[#This Row],[Comments]])/Posts[[#This Row],[Impressions]]</f>
        <v>8.3274853801169585E-2</v>
      </c>
      <c r="M313" t="s">
        <v>23</v>
      </c>
      <c r="N313" t="s">
        <v>35</v>
      </c>
    </row>
    <row r="314" spans="1:14" x14ac:dyDescent="0.2">
      <c r="A314" t="s">
        <v>336</v>
      </c>
      <c r="B314" t="s">
        <v>27</v>
      </c>
      <c r="C314" s="1">
        <v>45586</v>
      </c>
      <c r="D314" t="s">
        <v>58</v>
      </c>
      <c r="E314" t="s">
        <v>138</v>
      </c>
      <c r="F314">
        <v>4275</v>
      </c>
      <c r="G314">
        <v>680</v>
      </c>
      <c r="H314">
        <v>385</v>
      </c>
      <c r="I314">
        <v>64125</v>
      </c>
      <c r="J314">
        <v>63650</v>
      </c>
      <c r="K314">
        <v>104</v>
      </c>
      <c r="L314" s="23">
        <f>(Posts[[#This Row],[Likes]]+Posts[[#This Row],[Shares]]+Posts[[#This Row],[Comments]])/Posts[[#This Row],[Impressions]]</f>
        <v>8.3274853801169585E-2</v>
      </c>
      <c r="M314" t="s">
        <v>19</v>
      </c>
      <c r="N314" t="s">
        <v>35</v>
      </c>
    </row>
    <row r="315" spans="1:14" x14ac:dyDescent="0.2">
      <c r="A315" t="s">
        <v>337</v>
      </c>
      <c r="B315" t="s">
        <v>27</v>
      </c>
      <c r="C315" s="1">
        <v>45738</v>
      </c>
      <c r="D315" t="s">
        <v>44</v>
      </c>
      <c r="E315" t="s">
        <v>45</v>
      </c>
      <c r="F315">
        <v>3166</v>
      </c>
      <c r="G315">
        <v>90</v>
      </c>
      <c r="H315">
        <v>341</v>
      </c>
      <c r="I315">
        <v>56988</v>
      </c>
      <c r="J315">
        <v>56125</v>
      </c>
      <c r="K315">
        <v>135</v>
      </c>
      <c r="L315" s="23">
        <f>(Posts[[#This Row],[Likes]]+Posts[[#This Row],[Shares]]+Posts[[#This Row],[Comments]])/Posts[[#This Row],[Impressions]]</f>
        <v>6.3118551273952411E-2</v>
      </c>
      <c r="M315" t="s">
        <v>34</v>
      </c>
      <c r="N315" t="s">
        <v>24</v>
      </c>
    </row>
    <row r="316" spans="1:14" x14ac:dyDescent="0.2">
      <c r="A316" t="s">
        <v>338</v>
      </c>
      <c r="B316" t="s">
        <v>31</v>
      </c>
      <c r="C316" s="1">
        <v>45568</v>
      </c>
      <c r="D316" t="s">
        <v>58</v>
      </c>
      <c r="E316" t="s">
        <v>65</v>
      </c>
      <c r="F316">
        <v>1488</v>
      </c>
      <c r="G316">
        <v>417</v>
      </c>
      <c r="H316">
        <v>168</v>
      </c>
      <c r="I316">
        <v>19344</v>
      </c>
      <c r="J316">
        <v>18395</v>
      </c>
      <c r="K316">
        <v>30</v>
      </c>
      <c r="L316" s="23">
        <f>(Posts[[#This Row],[Likes]]+Posts[[#This Row],[Shares]]+Posts[[#This Row],[Comments]])/Posts[[#This Row],[Impressions]]</f>
        <v>0.1071650124069479</v>
      </c>
      <c r="M316" t="s">
        <v>17</v>
      </c>
      <c r="N316" t="s">
        <v>29</v>
      </c>
    </row>
    <row r="317" spans="1:14" x14ac:dyDescent="0.2">
      <c r="A317" t="s">
        <v>339</v>
      </c>
      <c r="B317" t="s">
        <v>14</v>
      </c>
      <c r="C317" s="1">
        <v>45786</v>
      </c>
      <c r="D317" t="s">
        <v>15</v>
      </c>
      <c r="E317" t="s">
        <v>16</v>
      </c>
      <c r="F317">
        <v>3367</v>
      </c>
      <c r="G317">
        <v>302</v>
      </c>
      <c r="H317">
        <v>57</v>
      </c>
      <c r="I317">
        <v>63973</v>
      </c>
      <c r="J317">
        <v>63789</v>
      </c>
      <c r="K317">
        <v>157</v>
      </c>
      <c r="L317" s="23">
        <f>(Posts[[#This Row],[Likes]]+Posts[[#This Row],[Shares]]+Posts[[#This Row],[Comments]])/Posts[[#This Row],[Impressions]]</f>
        <v>5.8243321401216137E-2</v>
      </c>
      <c r="M317" t="s">
        <v>17</v>
      </c>
      <c r="N317" t="s">
        <v>24</v>
      </c>
    </row>
    <row r="318" spans="1:14" x14ac:dyDescent="0.2">
      <c r="A318" t="s">
        <v>340</v>
      </c>
      <c r="B318" t="s">
        <v>14</v>
      </c>
      <c r="C318" s="1">
        <v>45552</v>
      </c>
      <c r="D318" t="s">
        <v>21</v>
      </c>
      <c r="E318" t="s">
        <v>22</v>
      </c>
      <c r="F318">
        <v>571</v>
      </c>
      <c r="G318">
        <v>190</v>
      </c>
      <c r="H318">
        <v>352</v>
      </c>
      <c r="I318">
        <v>9707</v>
      </c>
      <c r="J318">
        <v>9418</v>
      </c>
      <c r="K318">
        <v>231</v>
      </c>
      <c r="L318" s="23">
        <f>(Posts[[#This Row],[Likes]]+Posts[[#This Row],[Shares]]+Posts[[#This Row],[Comments]])/Posts[[#This Row],[Impressions]]</f>
        <v>0.11465952405480581</v>
      </c>
      <c r="M318" t="s">
        <v>23</v>
      </c>
      <c r="N318" t="s">
        <v>35</v>
      </c>
    </row>
    <row r="319" spans="1:14" x14ac:dyDescent="0.2">
      <c r="A319" t="s">
        <v>341</v>
      </c>
      <c r="B319" t="s">
        <v>27</v>
      </c>
      <c r="C319" s="1">
        <v>45491</v>
      </c>
      <c r="D319" t="s">
        <v>21</v>
      </c>
      <c r="E319" t="s">
        <v>75</v>
      </c>
      <c r="F319">
        <v>4021</v>
      </c>
      <c r="G319">
        <v>794</v>
      </c>
      <c r="H319">
        <v>77</v>
      </c>
      <c r="I319">
        <v>36189</v>
      </c>
      <c r="J319">
        <v>35505</v>
      </c>
      <c r="K319">
        <v>174</v>
      </c>
      <c r="L319" s="23">
        <f>(Posts[[#This Row],[Likes]]+Posts[[#This Row],[Shares]]+Posts[[#This Row],[Comments]])/Posts[[#This Row],[Impressions]]</f>
        <v>0.13517919809886983</v>
      </c>
      <c r="M319" t="s">
        <v>34</v>
      </c>
    </row>
    <row r="320" spans="1:14" x14ac:dyDescent="0.2">
      <c r="A320" t="s">
        <v>342</v>
      </c>
      <c r="B320" t="s">
        <v>27</v>
      </c>
      <c r="C320" s="1">
        <v>45560</v>
      </c>
      <c r="D320" t="s">
        <v>58</v>
      </c>
      <c r="E320" t="s">
        <v>138</v>
      </c>
      <c r="F320">
        <v>3389</v>
      </c>
      <c r="G320">
        <v>344</v>
      </c>
      <c r="H320">
        <v>229</v>
      </c>
      <c r="I320">
        <v>20334</v>
      </c>
      <c r="J320">
        <v>19443</v>
      </c>
      <c r="K320">
        <v>228</v>
      </c>
      <c r="L320" s="23">
        <f>(Posts[[#This Row],[Likes]]+Posts[[#This Row],[Shares]]+Posts[[#This Row],[Comments]])/Posts[[#This Row],[Impressions]]</f>
        <v>0.19484607062063539</v>
      </c>
      <c r="M320" t="s">
        <v>17</v>
      </c>
      <c r="N320" t="s">
        <v>29</v>
      </c>
    </row>
    <row r="321" spans="1:14" x14ac:dyDescent="0.2">
      <c r="A321" t="s">
        <v>343</v>
      </c>
      <c r="B321" t="s">
        <v>31</v>
      </c>
      <c r="C321" s="1">
        <v>45519</v>
      </c>
      <c r="D321" t="s">
        <v>15</v>
      </c>
      <c r="E321" t="s">
        <v>63</v>
      </c>
      <c r="F321">
        <v>1164</v>
      </c>
      <c r="G321">
        <v>616</v>
      </c>
      <c r="H321">
        <v>324</v>
      </c>
      <c r="I321">
        <v>6984</v>
      </c>
      <c r="J321">
        <v>6636</v>
      </c>
      <c r="K321">
        <v>82</v>
      </c>
      <c r="L321" s="23">
        <f>(Posts[[#This Row],[Likes]]+Posts[[#This Row],[Shares]]+Posts[[#This Row],[Comments]])/Posts[[#This Row],[Impressions]]</f>
        <v>0.30126002290950743</v>
      </c>
      <c r="M321" t="s">
        <v>34</v>
      </c>
      <c r="N321" t="s">
        <v>18</v>
      </c>
    </row>
    <row r="322" spans="1:14" x14ac:dyDescent="0.2">
      <c r="A322" t="s">
        <v>344</v>
      </c>
      <c r="B322" t="s">
        <v>27</v>
      </c>
      <c r="C322" s="1">
        <v>45764</v>
      </c>
      <c r="D322" t="s">
        <v>39</v>
      </c>
      <c r="E322" t="s">
        <v>54</v>
      </c>
      <c r="F322">
        <v>4780</v>
      </c>
      <c r="G322">
        <v>691</v>
      </c>
      <c r="H322">
        <v>380</v>
      </c>
      <c r="I322">
        <v>86040</v>
      </c>
      <c r="J322">
        <v>85743</v>
      </c>
      <c r="K322">
        <v>262</v>
      </c>
      <c r="L322" s="23">
        <f>(Posts[[#This Row],[Likes]]+Posts[[#This Row],[Shares]]+Posts[[#This Row],[Comments]])/Posts[[#This Row],[Impressions]]</f>
        <v>6.800325430032543E-2</v>
      </c>
      <c r="M322" t="s">
        <v>17</v>
      </c>
      <c r="N322" t="s">
        <v>29</v>
      </c>
    </row>
    <row r="323" spans="1:14" x14ac:dyDescent="0.2">
      <c r="A323" t="s">
        <v>345</v>
      </c>
      <c r="B323" t="s">
        <v>38</v>
      </c>
      <c r="C323" s="1">
        <v>45624</v>
      </c>
      <c r="D323" t="s">
        <v>39</v>
      </c>
      <c r="E323" t="s">
        <v>40</v>
      </c>
      <c r="F323">
        <v>2751</v>
      </c>
      <c r="G323">
        <v>33</v>
      </c>
      <c r="H323">
        <v>430</v>
      </c>
      <c r="I323">
        <v>44016</v>
      </c>
      <c r="J323">
        <v>43415</v>
      </c>
      <c r="K323">
        <v>129</v>
      </c>
      <c r="L323" s="23">
        <f>(Posts[[#This Row],[Likes]]+Posts[[#This Row],[Shares]]+Posts[[#This Row],[Comments]])/Posts[[#This Row],[Impressions]]</f>
        <v>7.3018902217375503E-2</v>
      </c>
      <c r="M323" t="s">
        <v>17</v>
      </c>
    </row>
    <row r="324" spans="1:14" x14ac:dyDescent="0.2">
      <c r="A324" t="s">
        <v>346</v>
      </c>
      <c r="B324" t="s">
        <v>31</v>
      </c>
      <c r="C324" s="1">
        <v>45646</v>
      </c>
      <c r="D324" t="s">
        <v>39</v>
      </c>
      <c r="E324" t="s">
        <v>67</v>
      </c>
      <c r="F324">
        <v>2107</v>
      </c>
      <c r="G324">
        <v>550</v>
      </c>
      <c r="H324">
        <v>349</v>
      </c>
      <c r="I324">
        <v>35819</v>
      </c>
      <c r="J324">
        <v>35340</v>
      </c>
      <c r="K324">
        <v>191</v>
      </c>
      <c r="L324" s="23">
        <f>(Posts[[#This Row],[Likes]]+Posts[[#This Row],[Shares]]+Posts[[#This Row],[Comments]])/Posts[[#This Row],[Impressions]]</f>
        <v>8.3921940869371006E-2</v>
      </c>
      <c r="M324" t="s">
        <v>34</v>
      </c>
      <c r="N324" t="s">
        <v>35</v>
      </c>
    </row>
    <row r="325" spans="1:14" x14ac:dyDescent="0.2">
      <c r="A325" t="s">
        <v>347</v>
      </c>
      <c r="B325" t="s">
        <v>38</v>
      </c>
      <c r="C325" s="1">
        <v>45602</v>
      </c>
      <c r="D325" t="s">
        <v>58</v>
      </c>
      <c r="E325" t="s">
        <v>59</v>
      </c>
      <c r="F325">
        <v>4663</v>
      </c>
      <c r="G325">
        <v>145</v>
      </c>
      <c r="H325">
        <v>225</v>
      </c>
      <c r="I325">
        <v>69945</v>
      </c>
      <c r="J325">
        <v>69596</v>
      </c>
      <c r="K325">
        <v>35</v>
      </c>
      <c r="L325" s="23">
        <f>(Posts[[#This Row],[Likes]]+Posts[[#This Row],[Shares]]+Posts[[#This Row],[Comments]])/Posts[[#This Row],[Impressions]]</f>
        <v>7.1956537279290869E-2</v>
      </c>
      <c r="M325" t="s">
        <v>34</v>
      </c>
      <c r="N325" t="s">
        <v>35</v>
      </c>
    </row>
    <row r="326" spans="1:14" x14ac:dyDescent="0.2">
      <c r="A326" t="s">
        <v>348</v>
      </c>
      <c r="B326" t="s">
        <v>38</v>
      </c>
      <c r="C326" s="1">
        <v>45613</v>
      </c>
      <c r="D326" t="s">
        <v>21</v>
      </c>
      <c r="E326" t="s">
        <v>47</v>
      </c>
      <c r="F326">
        <v>880</v>
      </c>
      <c r="G326">
        <v>297</v>
      </c>
      <c r="H326">
        <v>345</v>
      </c>
      <c r="I326">
        <v>12320</v>
      </c>
      <c r="J326">
        <v>11978</v>
      </c>
      <c r="K326">
        <v>238</v>
      </c>
      <c r="L326" s="23">
        <f>(Posts[[#This Row],[Likes]]+Posts[[#This Row],[Shares]]+Posts[[#This Row],[Comments]])/Posts[[#This Row],[Impressions]]</f>
        <v>0.12353896103896105</v>
      </c>
      <c r="M326" t="s">
        <v>23</v>
      </c>
    </row>
    <row r="327" spans="1:14" x14ac:dyDescent="0.2">
      <c r="A327" t="s">
        <v>348</v>
      </c>
      <c r="B327" t="s">
        <v>38</v>
      </c>
      <c r="C327" s="1">
        <v>45613</v>
      </c>
      <c r="D327" t="s">
        <v>21</v>
      </c>
      <c r="E327" t="s">
        <v>47</v>
      </c>
      <c r="F327">
        <v>880</v>
      </c>
      <c r="G327">
        <v>297</v>
      </c>
      <c r="H327">
        <v>345</v>
      </c>
      <c r="I327">
        <v>12320</v>
      </c>
      <c r="J327">
        <v>11978</v>
      </c>
      <c r="K327">
        <v>238</v>
      </c>
      <c r="L327" s="23">
        <f>(Posts[[#This Row],[Likes]]+Posts[[#This Row],[Shares]]+Posts[[#This Row],[Comments]])/Posts[[#This Row],[Impressions]]</f>
        <v>0.12353896103896105</v>
      </c>
      <c r="M327" t="s">
        <v>19</v>
      </c>
    </row>
    <row r="328" spans="1:14" x14ac:dyDescent="0.2">
      <c r="A328" t="s">
        <v>349</v>
      </c>
      <c r="B328" t="s">
        <v>38</v>
      </c>
      <c r="C328" s="1">
        <v>45791</v>
      </c>
      <c r="D328" t="s">
        <v>21</v>
      </c>
      <c r="E328" t="s">
        <v>47</v>
      </c>
      <c r="F328">
        <v>2634</v>
      </c>
      <c r="G328">
        <v>726</v>
      </c>
      <c r="H328">
        <v>241</v>
      </c>
      <c r="I328">
        <v>28974</v>
      </c>
      <c r="J328">
        <v>28102</v>
      </c>
      <c r="K328">
        <v>277</v>
      </c>
      <c r="L328" s="23">
        <f>(Posts[[#This Row],[Likes]]+Posts[[#This Row],[Shares]]+Posts[[#This Row],[Comments]])/Posts[[#This Row],[Impressions]]</f>
        <v>0.12428384068475185</v>
      </c>
      <c r="M328" t="s">
        <v>34</v>
      </c>
      <c r="N328" t="s">
        <v>18</v>
      </c>
    </row>
    <row r="329" spans="1:14" x14ac:dyDescent="0.2">
      <c r="A329" t="s">
        <v>350</v>
      </c>
      <c r="B329" t="s">
        <v>38</v>
      </c>
      <c r="C329" s="1">
        <v>45462</v>
      </c>
      <c r="D329" t="s">
        <v>39</v>
      </c>
      <c r="E329" t="s">
        <v>40</v>
      </c>
      <c r="F329">
        <v>4731</v>
      </c>
      <c r="G329">
        <v>173</v>
      </c>
      <c r="H329">
        <v>276</v>
      </c>
      <c r="I329">
        <v>28386</v>
      </c>
      <c r="J329">
        <v>28185</v>
      </c>
      <c r="K329">
        <v>89</v>
      </c>
      <c r="L329" s="23">
        <f>(Posts[[#This Row],[Likes]]+Posts[[#This Row],[Shares]]+Posts[[#This Row],[Comments]])/Posts[[#This Row],[Impressions]]</f>
        <v>0.18248432325794406</v>
      </c>
      <c r="M329" t="s">
        <v>34</v>
      </c>
      <c r="N329" t="s">
        <v>29</v>
      </c>
    </row>
    <row r="330" spans="1:14" x14ac:dyDescent="0.2">
      <c r="A330" t="s">
        <v>351</v>
      </c>
      <c r="B330" t="s">
        <v>14</v>
      </c>
      <c r="C330" s="1">
        <v>45783</v>
      </c>
      <c r="D330" t="s">
        <v>44</v>
      </c>
      <c r="E330" t="s">
        <v>90</v>
      </c>
      <c r="F330">
        <v>1952</v>
      </c>
      <c r="G330">
        <v>344</v>
      </c>
      <c r="H330">
        <v>287</v>
      </c>
      <c r="I330">
        <v>15616</v>
      </c>
      <c r="J330">
        <v>15403</v>
      </c>
      <c r="K330">
        <v>235</v>
      </c>
      <c r="L330" s="23">
        <f>(Posts[[#This Row],[Likes]]+Posts[[#This Row],[Shares]]+Posts[[#This Row],[Comments]])/Posts[[#This Row],[Impressions]]</f>
        <v>0.16540727459016394</v>
      </c>
      <c r="M330" t="s">
        <v>17</v>
      </c>
      <c r="N330" t="s">
        <v>24</v>
      </c>
    </row>
    <row r="331" spans="1:14" x14ac:dyDescent="0.2">
      <c r="A331" t="s">
        <v>351</v>
      </c>
      <c r="B331" t="s">
        <v>14</v>
      </c>
      <c r="C331" s="1">
        <v>45783</v>
      </c>
      <c r="D331" t="s">
        <v>44</v>
      </c>
      <c r="E331" t="s">
        <v>90</v>
      </c>
      <c r="F331">
        <v>1952</v>
      </c>
      <c r="G331">
        <v>344</v>
      </c>
      <c r="H331">
        <v>287</v>
      </c>
      <c r="I331">
        <v>15616</v>
      </c>
      <c r="J331">
        <v>15403</v>
      </c>
      <c r="K331">
        <v>235</v>
      </c>
      <c r="L331" s="23">
        <f>(Posts[[#This Row],[Likes]]+Posts[[#This Row],[Shares]]+Posts[[#This Row],[Comments]])/Posts[[#This Row],[Impressions]]</f>
        <v>0.16540727459016394</v>
      </c>
      <c r="M331" t="s">
        <v>23</v>
      </c>
      <c r="N331" t="s">
        <v>24</v>
      </c>
    </row>
    <row r="332" spans="1:14" x14ac:dyDescent="0.2">
      <c r="A332" t="s">
        <v>351</v>
      </c>
      <c r="B332" t="s">
        <v>14</v>
      </c>
      <c r="C332" s="1">
        <v>45783</v>
      </c>
      <c r="D332" t="s">
        <v>44</v>
      </c>
      <c r="E332" t="s">
        <v>90</v>
      </c>
      <c r="F332">
        <v>1952</v>
      </c>
      <c r="G332">
        <v>344</v>
      </c>
      <c r="H332">
        <v>287</v>
      </c>
      <c r="I332">
        <v>15616</v>
      </c>
      <c r="J332">
        <v>15403</v>
      </c>
      <c r="K332">
        <v>235</v>
      </c>
      <c r="L332" s="23">
        <f>(Posts[[#This Row],[Likes]]+Posts[[#This Row],[Shares]]+Posts[[#This Row],[Comments]])/Posts[[#This Row],[Impressions]]</f>
        <v>0.16540727459016394</v>
      </c>
      <c r="M332" t="s">
        <v>19</v>
      </c>
      <c r="N332" t="s">
        <v>24</v>
      </c>
    </row>
    <row r="333" spans="1:14" x14ac:dyDescent="0.2">
      <c r="A333" t="s">
        <v>352</v>
      </c>
      <c r="B333" t="s">
        <v>14</v>
      </c>
      <c r="C333" s="1">
        <v>45699</v>
      </c>
      <c r="D333" t="s">
        <v>58</v>
      </c>
      <c r="E333" t="s">
        <v>97</v>
      </c>
      <c r="F333">
        <v>3440</v>
      </c>
      <c r="G333">
        <v>13</v>
      </c>
      <c r="H333">
        <v>20</v>
      </c>
      <c r="I333">
        <v>58480</v>
      </c>
      <c r="J333">
        <v>58146</v>
      </c>
      <c r="K333">
        <v>210</v>
      </c>
      <c r="L333" s="23">
        <f>(Posts[[#This Row],[Likes]]+Posts[[#This Row],[Shares]]+Posts[[#This Row],[Comments]])/Posts[[#This Row],[Impressions]]</f>
        <v>5.9387824897400819E-2</v>
      </c>
      <c r="M333" t="s">
        <v>23</v>
      </c>
      <c r="N333" t="s">
        <v>35</v>
      </c>
    </row>
    <row r="334" spans="1:14" x14ac:dyDescent="0.2">
      <c r="A334" t="s">
        <v>352</v>
      </c>
      <c r="B334" t="s">
        <v>14</v>
      </c>
      <c r="C334" s="1">
        <v>45699</v>
      </c>
      <c r="D334" t="s">
        <v>58</v>
      </c>
      <c r="E334" t="s">
        <v>97</v>
      </c>
      <c r="F334">
        <v>3440</v>
      </c>
      <c r="G334">
        <v>13</v>
      </c>
      <c r="H334">
        <v>20</v>
      </c>
      <c r="I334">
        <v>58480</v>
      </c>
      <c r="J334">
        <v>58146</v>
      </c>
      <c r="K334">
        <v>210</v>
      </c>
      <c r="L334" s="23">
        <f>(Posts[[#This Row],[Likes]]+Posts[[#This Row],[Shares]]+Posts[[#This Row],[Comments]])/Posts[[#This Row],[Impressions]]</f>
        <v>5.9387824897400819E-2</v>
      </c>
      <c r="M334" t="s">
        <v>196</v>
      </c>
      <c r="N334" t="s">
        <v>35</v>
      </c>
    </row>
    <row r="335" spans="1:14" x14ac:dyDescent="0.2">
      <c r="A335" t="s">
        <v>353</v>
      </c>
      <c r="B335" t="s">
        <v>14</v>
      </c>
      <c r="C335" s="1">
        <v>45650</v>
      </c>
      <c r="D335" t="s">
        <v>21</v>
      </c>
      <c r="E335" t="s">
        <v>22</v>
      </c>
      <c r="F335">
        <v>2166</v>
      </c>
      <c r="G335">
        <v>354</v>
      </c>
      <c r="H335">
        <v>117</v>
      </c>
      <c r="I335">
        <v>10830</v>
      </c>
      <c r="J335">
        <v>10245</v>
      </c>
      <c r="K335">
        <v>24</v>
      </c>
      <c r="L335" s="23">
        <f>(Posts[[#This Row],[Likes]]+Posts[[#This Row],[Shares]]+Posts[[#This Row],[Comments]])/Posts[[#This Row],[Impressions]]</f>
        <v>0.24349030470914126</v>
      </c>
      <c r="M335" t="s">
        <v>34</v>
      </c>
      <c r="N335" t="s">
        <v>35</v>
      </c>
    </row>
    <row r="336" spans="1:14" x14ac:dyDescent="0.2">
      <c r="A336" t="s">
        <v>354</v>
      </c>
      <c r="B336" t="s">
        <v>38</v>
      </c>
      <c r="C336" s="1">
        <v>45589</v>
      </c>
      <c r="D336" t="s">
        <v>44</v>
      </c>
      <c r="E336" t="s">
        <v>49</v>
      </c>
      <c r="F336">
        <v>4303</v>
      </c>
      <c r="G336">
        <v>451</v>
      </c>
      <c r="H336">
        <v>286</v>
      </c>
      <c r="I336">
        <v>86060</v>
      </c>
      <c r="J336">
        <v>85823</v>
      </c>
      <c r="K336">
        <v>14</v>
      </c>
      <c r="L336" s="23">
        <f>(Posts[[#This Row],[Likes]]+Posts[[#This Row],[Shares]]+Posts[[#This Row],[Comments]])/Posts[[#This Row],[Impressions]]</f>
        <v>5.8563792702765516E-2</v>
      </c>
      <c r="M336" t="s">
        <v>23</v>
      </c>
      <c r="N336" t="s">
        <v>29</v>
      </c>
    </row>
    <row r="337" spans="1:14" x14ac:dyDescent="0.2">
      <c r="A337" t="s">
        <v>355</v>
      </c>
      <c r="B337" t="s">
        <v>38</v>
      </c>
      <c r="C337" s="1">
        <v>45530</v>
      </c>
      <c r="D337" t="s">
        <v>44</v>
      </c>
      <c r="E337" t="s">
        <v>49</v>
      </c>
      <c r="F337">
        <v>2581</v>
      </c>
      <c r="G337">
        <v>517</v>
      </c>
      <c r="H337">
        <v>117</v>
      </c>
      <c r="I337">
        <v>23229</v>
      </c>
      <c r="J337">
        <v>22331</v>
      </c>
      <c r="K337">
        <v>70</v>
      </c>
      <c r="L337" s="23">
        <f>(Posts[[#This Row],[Likes]]+Posts[[#This Row],[Shares]]+Posts[[#This Row],[Comments]])/Posts[[#This Row],[Impressions]]</f>
        <v>0.13840458048129492</v>
      </c>
      <c r="M337" t="s">
        <v>17</v>
      </c>
      <c r="N337" t="s">
        <v>29</v>
      </c>
    </row>
    <row r="338" spans="1:14" x14ac:dyDescent="0.2">
      <c r="A338" t="s">
        <v>356</v>
      </c>
      <c r="B338" t="s">
        <v>14</v>
      </c>
      <c r="C338" s="1">
        <v>45535</v>
      </c>
      <c r="D338" t="s">
        <v>39</v>
      </c>
      <c r="E338" t="s">
        <v>42</v>
      </c>
      <c r="F338">
        <v>4494</v>
      </c>
      <c r="G338">
        <v>717</v>
      </c>
      <c r="H338">
        <v>45</v>
      </c>
      <c r="I338">
        <v>62916</v>
      </c>
      <c r="J338">
        <v>62688</v>
      </c>
      <c r="K338">
        <v>191</v>
      </c>
      <c r="L338" s="23">
        <f>(Posts[[#This Row],[Likes]]+Posts[[#This Row],[Shares]]+Posts[[#This Row],[Comments]])/Posts[[#This Row],[Impressions]]</f>
        <v>8.3539958039290485E-2</v>
      </c>
      <c r="M338" t="s">
        <v>23</v>
      </c>
      <c r="N338" t="s">
        <v>18</v>
      </c>
    </row>
    <row r="339" spans="1:14" x14ac:dyDescent="0.2">
      <c r="A339" t="s">
        <v>356</v>
      </c>
      <c r="B339" t="s">
        <v>14</v>
      </c>
      <c r="C339" s="1">
        <v>45535</v>
      </c>
      <c r="D339" t="s">
        <v>39</v>
      </c>
      <c r="E339" t="s">
        <v>42</v>
      </c>
      <c r="F339">
        <v>4494</v>
      </c>
      <c r="G339">
        <v>717</v>
      </c>
      <c r="H339">
        <v>45</v>
      </c>
      <c r="I339">
        <v>62916</v>
      </c>
      <c r="J339">
        <v>62688</v>
      </c>
      <c r="K339">
        <v>191</v>
      </c>
      <c r="L339" s="23">
        <f>(Posts[[#This Row],[Likes]]+Posts[[#This Row],[Shares]]+Posts[[#This Row],[Comments]])/Posts[[#This Row],[Impressions]]</f>
        <v>8.3539958039290485E-2</v>
      </c>
      <c r="M339" t="s">
        <v>34</v>
      </c>
      <c r="N339" t="s">
        <v>18</v>
      </c>
    </row>
    <row r="340" spans="1:14" x14ac:dyDescent="0.2">
      <c r="A340" t="s">
        <v>356</v>
      </c>
      <c r="B340" t="s">
        <v>14</v>
      </c>
      <c r="C340" s="1">
        <v>45535</v>
      </c>
      <c r="D340" t="s">
        <v>39</v>
      </c>
      <c r="E340" t="s">
        <v>42</v>
      </c>
      <c r="F340">
        <v>4494</v>
      </c>
      <c r="G340">
        <v>717</v>
      </c>
      <c r="H340">
        <v>45</v>
      </c>
      <c r="I340">
        <v>62916</v>
      </c>
      <c r="J340">
        <v>62688</v>
      </c>
      <c r="K340">
        <v>191</v>
      </c>
      <c r="L340" s="23">
        <f>(Posts[[#This Row],[Likes]]+Posts[[#This Row],[Shares]]+Posts[[#This Row],[Comments]])/Posts[[#This Row],[Impressions]]</f>
        <v>8.3539958039290485E-2</v>
      </c>
      <c r="M340" t="s">
        <v>25</v>
      </c>
      <c r="N340" t="s">
        <v>18</v>
      </c>
    </row>
    <row r="341" spans="1:14" x14ac:dyDescent="0.2">
      <c r="C341" s="1"/>
      <c r="L341" s="23" t="e">
        <f>(Posts[[#This Row],[Likes]]+Posts[[#This Row],[Shares]]+Posts[[#This Row],[Comments]])/Posts[[#This Row],[Impressions]]</f>
        <v>#DIV/0!</v>
      </c>
    </row>
    <row r="342" spans="1:14" x14ac:dyDescent="0.2">
      <c r="C342" s="1"/>
      <c r="L342" s="23" t="e">
        <f>(Posts[[#This Row],[Likes]]+Posts[[#This Row],[Shares]]+Posts[[#This Row],[Comments]])/Posts[[#This Row],[Impressions]]</f>
        <v>#DIV/0!</v>
      </c>
    </row>
    <row r="343" spans="1:14" x14ac:dyDescent="0.2">
      <c r="C343" s="1"/>
      <c r="L343" s="23" t="e">
        <f>(Posts[[#This Row],[Likes]]+Posts[[#This Row],[Shares]]+Posts[[#This Row],[Comments]])/Posts[[#This Row],[Impressions]]</f>
        <v>#DIV/0!</v>
      </c>
    </row>
    <row r="344" spans="1:14" x14ac:dyDescent="0.2">
      <c r="C344" s="1"/>
      <c r="L344" s="23" t="e">
        <f>(Posts[[#This Row],[Likes]]+Posts[[#This Row],[Shares]]+Posts[[#This Row],[Comments]])/Posts[[#This Row],[Impressions]]</f>
        <v>#DIV/0!</v>
      </c>
    </row>
    <row r="345" spans="1:14" x14ac:dyDescent="0.2">
      <c r="C345" s="1"/>
      <c r="L345" s="23" t="e">
        <f>(Posts[[#This Row],[Likes]]+Posts[[#This Row],[Shares]]+Posts[[#This Row],[Comments]])/Posts[[#This Row],[Impressions]]</f>
        <v>#DIV/0!</v>
      </c>
    </row>
    <row r="346" spans="1:14" x14ac:dyDescent="0.2">
      <c r="C346" s="1"/>
      <c r="L346" s="23" t="e">
        <f>(Posts[[#This Row],[Likes]]+Posts[[#This Row],[Shares]]+Posts[[#This Row],[Comments]])/Posts[[#This Row],[Impressions]]</f>
        <v>#DIV/0!</v>
      </c>
    </row>
    <row r="347" spans="1:14" x14ac:dyDescent="0.2">
      <c r="C347" s="1"/>
      <c r="L347" s="23" t="e">
        <f>(Posts[[#This Row],[Likes]]+Posts[[#This Row],[Shares]]+Posts[[#This Row],[Comments]])/Posts[[#This Row],[Impressions]]</f>
        <v>#DIV/0!</v>
      </c>
    </row>
    <row r="348" spans="1:14" x14ac:dyDescent="0.2">
      <c r="C348" s="1"/>
      <c r="L348" s="23" t="e">
        <f>(Posts[[#This Row],[Likes]]+Posts[[#This Row],[Shares]]+Posts[[#This Row],[Comments]])/Posts[[#This Row],[Impressions]]</f>
        <v>#DIV/0!</v>
      </c>
    </row>
    <row r="349" spans="1:14" x14ac:dyDescent="0.2">
      <c r="C349" s="1"/>
      <c r="L349" s="23" t="e">
        <f>(Posts[[#This Row],[Likes]]+Posts[[#This Row],[Shares]]+Posts[[#This Row],[Comments]])/Posts[[#This Row],[Impressions]]</f>
        <v>#DIV/0!</v>
      </c>
    </row>
    <row r="350" spans="1:14" x14ac:dyDescent="0.2">
      <c r="C350" s="1"/>
      <c r="L350" s="23" t="e">
        <f>(Posts[[#This Row],[Likes]]+Posts[[#This Row],[Shares]]+Posts[[#This Row],[Comments]])/Posts[[#This Row],[Impressions]]</f>
        <v>#DIV/0!</v>
      </c>
    </row>
    <row r="351" spans="1:14" x14ac:dyDescent="0.2">
      <c r="C351" s="1"/>
      <c r="L351" s="23" t="e">
        <f>(Posts[[#This Row],[Likes]]+Posts[[#This Row],[Shares]]+Posts[[#This Row],[Comments]])/Posts[[#This Row],[Impressions]]</f>
        <v>#DIV/0!</v>
      </c>
    </row>
    <row r="352" spans="1:14" x14ac:dyDescent="0.2">
      <c r="C352" s="1"/>
      <c r="L352" s="23" t="e">
        <f>(Posts[[#This Row],[Likes]]+Posts[[#This Row],[Shares]]+Posts[[#This Row],[Comments]])/Posts[[#This Row],[Impressions]]</f>
        <v>#DIV/0!</v>
      </c>
    </row>
    <row r="353" spans="3:12" x14ac:dyDescent="0.2">
      <c r="C353" s="1"/>
      <c r="L353" s="23" t="e">
        <f>(Posts[[#This Row],[Likes]]+Posts[[#This Row],[Shares]]+Posts[[#This Row],[Comments]])/Posts[[#This Row],[Impressions]]</f>
        <v>#DIV/0!</v>
      </c>
    </row>
    <row r="354" spans="3:12" x14ac:dyDescent="0.2">
      <c r="C354" s="1"/>
      <c r="L354" s="23" t="e">
        <f>(Posts[[#This Row],[Likes]]+Posts[[#This Row],[Shares]]+Posts[[#This Row],[Comments]])/Posts[[#This Row],[Impressions]]</f>
        <v>#DIV/0!</v>
      </c>
    </row>
    <row r="355" spans="3:12" x14ac:dyDescent="0.2">
      <c r="C355" s="1"/>
      <c r="L355" s="23" t="e">
        <f>(Posts[[#This Row],[Likes]]+Posts[[#This Row],[Shares]]+Posts[[#This Row],[Comments]])/Posts[[#This Row],[Impressions]]</f>
        <v>#DIV/0!</v>
      </c>
    </row>
    <row r="356" spans="3:12" x14ac:dyDescent="0.2">
      <c r="C356" s="1"/>
      <c r="L356" s="23" t="e">
        <f>(Posts[[#This Row],[Likes]]+Posts[[#This Row],[Shares]]+Posts[[#This Row],[Comments]])/Posts[[#This Row],[Impressions]]</f>
        <v>#DIV/0!</v>
      </c>
    </row>
    <row r="357" spans="3:12" x14ac:dyDescent="0.2">
      <c r="C357" s="1"/>
      <c r="L357" s="23" t="e">
        <f>(Posts[[#This Row],[Likes]]+Posts[[#This Row],[Shares]]+Posts[[#This Row],[Comments]])/Posts[[#This Row],[Impressions]]</f>
        <v>#DIV/0!</v>
      </c>
    </row>
    <row r="358" spans="3:12" x14ac:dyDescent="0.2">
      <c r="C358" s="1"/>
      <c r="L358" s="23" t="e">
        <f>(Posts[[#This Row],[Likes]]+Posts[[#This Row],[Shares]]+Posts[[#This Row],[Comments]])/Posts[[#This Row],[Impressions]]</f>
        <v>#DIV/0!</v>
      </c>
    </row>
    <row r="359" spans="3:12" x14ac:dyDescent="0.2">
      <c r="C359" s="1"/>
      <c r="L359" s="23" t="e">
        <f>(Posts[[#This Row],[Likes]]+Posts[[#This Row],[Shares]]+Posts[[#This Row],[Comments]])/Posts[[#This Row],[Impressions]]</f>
        <v>#DIV/0!</v>
      </c>
    </row>
    <row r="360" spans="3:12" x14ac:dyDescent="0.2">
      <c r="C360" s="1"/>
      <c r="L360" s="23" t="e">
        <f>(Posts[[#This Row],[Likes]]+Posts[[#This Row],[Shares]]+Posts[[#This Row],[Comments]])/Posts[[#This Row],[Impressions]]</f>
        <v>#DIV/0!</v>
      </c>
    </row>
    <row r="361" spans="3:12" x14ac:dyDescent="0.2">
      <c r="C361" s="1"/>
      <c r="L361" s="23" t="e">
        <f>(Posts[[#This Row],[Likes]]+Posts[[#This Row],[Shares]]+Posts[[#This Row],[Comments]])/Posts[[#This Row],[Impressions]]</f>
        <v>#DIV/0!</v>
      </c>
    </row>
    <row r="362" spans="3:12" x14ac:dyDescent="0.2">
      <c r="C362" s="1"/>
      <c r="L362" s="23" t="e">
        <f>(Posts[[#This Row],[Likes]]+Posts[[#This Row],[Shares]]+Posts[[#This Row],[Comments]])/Posts[[#This Row],[Impressions]]</f>
        <v>#DIV/0!</v>
      </c>
    </row>
    <row r="363" spans="3:12" x14ac:dyDescent="0.2">
      <c r="C363" s="1"/>
      <c r="L363" s="23" t="e">
        <f>(Posts[[#This Row],[Likes]]+Posts[[#This Row],[Shares]]+Posts[[#This Row],[Comments]])/Posts[[#This Row],[Impressions]]</f>
        <v>#DIV/0!</v>
      </c>
    </row>
    <row r="364" spans="3:12" x14ac:dyDescent="0.2">
      <c r="C364" s="1"/>
      <c r="L364" s="23" t="e">
        <f>(Posts[[#This Row],[Likes]]+Posts[[#This Row],[Shares]]+Posts[[#This Row],[Comments]])/Posts[[#This Row],[Impressions]]</f>
        <v>#DIV/0!</v>
      </c>
    </row>
    <row r="365" spans="3:12" x14ac:dyDescent="0.2">
      <c r="C365" s="1"/>
      <c r="L365" s="23" t="e">
        <f>(Posts[[#This Row],[Likes]]+Posts[[#This Row],[Shares]]+Posts[[#This Row],[Comments]])/Posts[[#This Row],[Impressions]]</f>
        <v>#DIV/0!</v>
      </c>
    </row>
    <row r="366" spans="3:12" x14ac:dyDescent="0.2">
      <c r="C366" s="1"/>
      <c r="L366" s="23" t="e">
        <f>(Posts[[#This Row],[Likes]]+Posts[[#This Row],[Shares]]+Posts[[#This Row],[Comments]])/Posts[[#This Row],[Impressions]]</f>
        <v>#DIV/0!</v>
      </c>
    </row>
    <row r="367" spans="3:12" x14ac:dyDescent="0.2">
      <c r="C367" s="1"/>
      <c r="L367" s="23" t="e">
        <f>(Posts[[#This Row],[Likes]]+Posts[[#This Row],[Shares]]+Posts[[#This Row],[Comments]])/Posts[[#This Row],[Impressions]]</f>
        <v>#DIV/0!</v>
      </c>
    </row>
    <row r="368" spans="3:12" x14ac:dyDescent="0.2">
      <c r="C368" s="1"/>
      <c r="L368" s="23" t="e">
        <f>(Posts[[#This Row],[Likes]]+Posts[[#This Row],[Shares]]+Posts[[#This Row],[Comments]])/Posts[[#This Row],[Impressions]]</f>
        <v>#DIV/0!</v>
      </c>
    </row>
    <row r="369" spans="3:12" x14ac:dyDescent="0.2">
      <c r="C369" s="1"/>
      <c r="L369" s="23" t="e">
        <f>(Posts[[#This Row],[Likes]]+Posts[[#This Row],[Shares]]+Posts[[#This Row],[Comments]])/Posts[[#This Row],[Impressions]]</f>
        <v>#DIV/0!</v>
      </c>
    </row>
    <row r="370" spans="3:12" x14ac:dyDescent="0.2">
      <c r="C370" s="1"/>
      <c r="L370" s="23" t="e">
        <f>(Posts[[#This Row],[Likes]]+Posts[[#This Row],[Shares]]+Posts[[#This Row],[Comments]])/Posts[[#This Row],[Impressions]]</f>
        <v>#DIV/0!</v>
      </c>
    </row>
    <row r="371" spans="3:12" x14ac:dyDescent="0.2">
      <c r="C371" s="1"/>
      <c r="L371" s="23" t="e">
        <f>(Posts[[#This Row],[Likes]]+Posts[[#This Row],[Shares]]+Posts[[#This Row],[Comments]])/Posts[[#This Row],[Impressions]]</f>
        <v>#DIV/0!</v>
      </c>
    </row>
    <row r="372" spans="3:12" x14ac:dyDescent="0.2">
      <c r="C372" s="1"/>
      <c r="L372" s="23" t="e">
        <f>(Posts[[#This Row],[Likes]]+Posts[[#This Row],[Shares]]+Posts[[#This Row],[Comments]])/Posts[[#This Row],[Impressions]]</f>
        <v>#DIV/0!</v>
      </c>
    </row>
    <row r="373" spans="3:12" x14ac:dyDescent="0.2">
      <c r="C373" s="1"/>
      <c r="L373" s="23" t="e">
        <f>(Posts[[#This Row],[Likes]]+Posts[[#This Row],[Shares]]+Posts[[#This Row],[Comments]])/Posts[[#This Row],[Impressions]]</f>
        <v>#DIV/0!</v>
      </c>
    </row>
    <row r="374" spans="3:12" x14ac:dyDescent="0.2">
      <c r="C374" s="1"/>
      <c r="L374" s="23" t="e">
        <f>(Posts[[#This Row],[Likes]]+Posts[[#This Row],[Shares]]+Posts[[#This Row],[Comments]])/Posts[[#This Row],[Impressions]]</f>
        <v>#DIV/0!</v>
      </c>
    </row>
    <row r="375" spans="3:12" x14ac:dyDescent="0.2">
      <c r="C375" s="1"/>
      <c r="L375" s="23" t="e">
        <f>(Posts[[#This Row],[Likes]]+Posts[[#This Row],[Shares]]+Posts[[#This Row],[Comments]])/Posts[[#This Row],[Impressions]]</f>
        <v>#DIV/0!</v>
      </c>
    </row>
    <row r="376" spans="3:12" x14ac:dyDescent="0.2">
      <c r="C376" s="1"/>
      <c r="L376" s="23" t="e">
        <f>(Posts[[#This Row],[Likes]]+Posts[[#This Row],[Shares]]+Posts[[#This Row],[Comments]])/Posts[[#This Row],[Impressions]]</f>
        <v>#DIV/0!</v>
      </c>
    </row>
    <row r="377" spans="3:12" x14ac:dyDescent="0.2">
      <c r="C377" s="1"/>
      <c r="L377" s="23" t="e">
        <f>(Posts[[#This Row],[Likes]]+Posts[[#This Row],[Shares]]+Posts[[#This Row],[Comments]])/Posts[[#This Row],[Impressions]]</f>
        <v>#DIV/0!</v>
      </c>
    </row>
    <row r="378" spans="3:12" x14ac:dyDescent="0.2">
      <c r="C378" s="1"/>
      <c r="L378" s="23" t="e">
        <f>(Posts[[#This Row],[Likes]]+Posts[[#This Row],[Shares]]+Posts[[#This Row],[Comments]])/Posts[[#This Row],[Impressions]]</f>
        <v>#DIV/0!</v>
      </c>
    </row>
    <row r="379" spans="3:12" x14ac:dyDescent="0.2">
      <c r="C379" s="1"/>
      <c r="L379" s="23" t="e">
        <f>(Posts[[#This Row],[Likes]]+Posts[[#This Row],[Shares]]+Posts[[#This Row],[Comments]])/Posts[[#This Row],[Impressions]]</f>
        <v>#DIV/0!</v>
      </c>
    </row>
    <row r="380" spans="3:12" x14ac:dyDescent="0.2">
      <c r="C380" s="1"/>
      <c r="L380" s="23" t="e">
        <f>(Posts[[#This Row],[Likes]]+Posts[[#This Row],[Shares]]+Posts[[#This Row],[Comments]])/Posts[[#This Row],[Impressions]]</f>
        <v>#DIV/0!</v>
      </c>
    </row>
    <row r="381" spans="3:12" x14ac:dyDescent="0.2">
      <c r="C381" s="1"/>
      <c r="L381" s="23" t="e">
        <f>(Posts[[#This Row],[Likes]]+Posts[[#This Row],[Shares]]+Posts[[#This Row],[Comments]])/Posts[[#This Row],[Impressions]]</f>
        <v>#DIV/0!</v>
      </c>
    </row>
    <row r="382" spans="3:12" x14ac:dyDescent="0.2">
      <c r="C382" s="1"/>
      <c r="L382" s="23" t="e">
        <f>(Posts[[#This Row],[Likes]]+Posts[[#This Row],[Shares]]+Posts[[#This Row],[Comments]])/Posts[[#This Row],[Impressions]]</f>
        <v>#DIV/0!</v>
      </c>
    </row>
    <row r="383" spans="3:12" x14ac:dyDescent="0.2">
      <c r="C383" s="1"/>
      <c r="L383" s="23" t="e">
        <f>(Posts[[#This Row],[Likes]]+Posts[[#This Row],[Shares]]+Posts[[#This Row],[Comments]])/Posts[[#This Row],[Impressions]]</f>
        <v>#DIV/0!</v>
      </c>
    </row>
    <row r="384" spans="3:12" x14ac:dyDescent="0.2">
      <c r="C384" s="1"/>
      <c r="L384" s="23" t="e">
        <f>(Posts[[#This Row],[Likes]]+Posts[[#This Row],[Shares]]+Posts[[#This Row],[Comments]])/Posts[[#This Row],[Impressions]]</f>
        <v>#DIV/0!</v>
      </c>
    </row>
    <row r="385" spans="3:12" x14ac:dyDescent="0.2">
      <c r="C385" s="1"/>
      <c r="L385" s="23" t="e">
        <f>(Posts[[#This Row],[Likes]]+Posts[[#This Row],[Shares]]+Posts[[#This Row],[Comments]])/Posts[[#This Row],[Impressions]]</f>
        <v>#DIV/0!</v>
      </c>
    </row>
    <row r="386" spans="3:12" x14ac:dyDescent="0.2">
      <c r="C386" s="1"/>
      <c r="L386" s="23" t="e">
        <f>(Posts[[#This Row],[Likes]]+Posts[[#This Row],[Shares]]+Posts[[#This Row],[Comments]])/Posts[[#This Row],[Impressions]]</f>
        <v>#DIV/0!</v>
      </c>
    </row>
    <row r="387" spans="3:12" x14ac:dyDescent="0.2">
      <c r="C387" s="1"/>
      <c r="L387" s="23" t="e">
        <f>(Posts[[#This Row],[Likes]]+Posts[[#This Row],[Shares]]+Posts[[#This Row],[Comments]])/Posts[[#This Row],[Impressions]]</f>
        <v>#DIV/0!</v>
      </c>
    </row>
    <row r="388" spans="3:12" x14ac:dyDescent="0.2">
      <c r="C388" s="1"/>
      <c r="L388" s="23" t="e">
        <f>(Posts[[#This Row],[Likes]]+Posts[[#This Row],[Shares]]+Posts[[#This Row],[Comments]])/Posts[[#This Row],[Impressions]]</f>
        <v>#DIV/0!</v>
      </c>
    </row>
    <row r="389" spans="3:12" x14ac:dyDescent="0.2">
      <c r="C389" s="1"/>
      <c r="L389" s="23" t="e">
        <f>(Posts[[#This Row],[Likes]]+Posts[[#This Row],[Shares]]+Posts[[#This Row],[Comments]])/Posts[[#This Row],[Impressions]]</f>
        <v>#DIV/0!</v>
      </c>
    </row>
    <row r="390" spans="3:12" x14ac:dyDescent="0.2">
      <c r="C390" s="1"/>
      <c r="L390" s="23" t="e">
        <f>(Posts[[#This Row],[Likes]]+Posts[[#This Row],[Shares]]+Posts[[#This Row],[Comments]])/Posts[[#This Row],[Impressions]]</f>
        <v>#DIV/0!</v>
      </c>
    </row>
    <row r="391" spans="3:12" x14ac:dyDescent="0.2">
      <c r="C391" s="1"/>
      <c r="L391" s="23" t="e">
        <f>(Posts[[#This Row],[Likes]]+Posts[[#This Row],[Shares]]+Posts[[#This Row],[Comments]])/Posts[[#This Row],[Impressions]]</f>
        <v>#DIV/0!</v>
      </c>
    </row>
    <row r="392" spans="3:12" x14ac:dyDescent="0.2">
      <c r="C392" s="1"/>
      <c r="L392" s="23" t="e">
        <f>(Posts[[#This Row],[Likes]]+Posts[[#This Row],[Shares]]+Posts[[#This Row],[Comments]])/Posts[[#This Row],[Impressions]]</f>
        <v>#DIV/0!</v>
      </c>
    </row>
    <row r="393" spans="3:12" x14ac:dyDescent="0.2">
      <c r="C393" s="1"/>
      <c r="L393" s="23" t="e">
        <f>(Posts[[#This Row],[Likes]]+Posts[[#This Row],[Shares]]+Posts[[#This Row],[Comments]])/Posts[[#This Row],[Impressions]]</f>
        <v>#DIV/0!</v>
      </c>
    </row>
    <row r="394" spans="3:12" x14ac:dyDescent="0.2">
      <c r="C394" s="1"/>
      <c r="L394" s="23" t="e">
        <f>(Posts[[#This Row],[Likes]]+Posts[[#This Row],[Shares]]+Posts[[#This Row],[Comments]])/Posts[[#This Row],[Impressions]]</f>
        <v>#DIV/0!</v>
      </c>
    </row>
    <row r="395" spans="3:12" x14ac:dyDescent="0.2">
      <c r="C395" s="1"/>
      <c r="L395" s="23" t="e">
        <f>(Posts[[#This Row],[Likes]]+Posts[[#This Row],[Shares]]+Posts[[#This Row],[Comments]])/Posts[[#This Row],[Impressions]]</f>
        <v>#DIV/0!</v>
      </c>
    </row>
    <row r="396" spans="3:12" x14ac:dyDescent="0.2">
      <c r="C396" s="1"/>
      <c r="L396" s="23" t="e">
        <f>(Posts[[#This Row],[Likes]]+Posts[[#This Row],[Shares]]+Posts[[#This Row],[Comments]])/Posts[[#This Row],[Impressions]]</f>
        <v>#DIV/0!</v>
      </c>
    </row>
    <row r="397" spans="3:12" x14ac:dyDescent="0.2">
      <c r="C397" s="1"/>
      <c r="L397" s="23" t="e">
        <f>(Posts[[#This Row],[Likes]]+Posts[[#This Row],[Shares]]+Posts[[#This Row],[Comments]])/Posts[[#This Row],[Impressions]]</f>
        <v>#DIV/0!</v>
      </c>
    </row>
    <row r="398" spans="3:12" x14ac:dyDescent="0.2">
      <c r="C398" s="1"/>
      <c r="L398" s="23" t="e">
        <f>(Posts[[#This Row],[Likes]]+Posts[[#This Row],[Shares]]+Posts[[#This Row],[Comments]])/Posts[[#This Row],[Impressions]]</f>
        <v>#DIV/0!</v>
      </c>
    </row>
    <row r="399" spans="3:12" x14ac:dyDescent="0.2">
      <c r="C399" s="1"/>
      <c r="L399" s="23" t="e">
        <f>(Posts[[#This Row],[Likes]]+Posts[[#This Row],[Shares]]+Posts[[#This Row],[Comments]])/Posts[[#This Row],[Impressions]]</f>
        <v>#DIV/0!</v>
      </c>
    </row>
    <row r="400" spans="3:12" x14ac:dyDescent="0.2">
      <c r="C400" s="1"/>
      <c r="L400" s="23" t="e">
        <f>(Posts[[#This Row],[Likes]]+Posts[[#This Row],[Shares]]+Posts[[#This Row],[Comments]])/Posts[[#This Row],[Impressions]]</f>
        <v>#DIV/0!</v>
      </c>
    </row>
    <row r="401" spans="3:12" x14ac:dyDescent="0.2">
      <c r="C401" s="1"/>
      <c r="L401" s="23" t="e">
        <f>(Posts[[#This Row],[Likes]]+Posts[[#This Row],[Shares]]+Posts[[#This Row],[Comments]])/Posts[[#This Row],[Impressions]]</f>
        <v>#DIV/0!</v>
      </c>
    </row>
    <row r="402" spans="3:12" x14ac:dyDescent="0.2">
      <c r="C402" s="1"/>
      <c r="L402" s="23" t="e">
        <f>(Posts[[#This Row],[Likes]]+Posts[[#This Row],[Shares]]+Posts[[#This Row],[Comments]])/Posts[[#This Row],[Impressions]]</f>
        <v>#DIV/0!</v>
      </c>
    </row>
    <row r="403" spans="3:12" x14ac:dyDescent="0.2">
      <c r="C403" s="1"/>
      <c r="L403" s="23" t="e">
        <f>(Posts[[#This Row],[Likes]]+Posts[[#This Row],[Shares]]+Posts[[#This Row],[Comments]])/Posts[[#This Row],[Impressions]]</f>
        <v>#DIV/0!</v>
      </c>
    </row>
    <row r="404" spans="3:12" x14ac:dyDescent="0.2">
      <c r="C404" s="1"/>
      <c r="L404" s="23" t="e">
        <f>(Posts[[#This Row],[Likes]]+Posts[[#This Row],[Shares]]+Posts[[#This Row],[Comments]])/Posts[[#This Row],[Impressions]]</f>
        <v>#DIV/0!</v>
      </c>
    </row>
    <row r="405" spans="3:12" x14ac:dyDescent="0.2">
      <c r="C405" s="1"/>
      <c r="L405" s="23" t="e">
        <f>(Posts[[#This Row],[Likes]]+Posts[[#This Row],[Shares]]+Posts[[#This Row],[Comments]])/Posts[[#This Row],[Impressions]]</f>
        <v>#DIV/0!</v>
      </c>
    </row>
    <row r="406" spans="3:12" x14ac:dyDescent="0.2">
      <c r="C406" s="1"/>
      <c r="L406" s="23" t="e">
        <f>(Posts[[#This Row],[Likes]]+Posts[[#This Row],[Shares]]+Posts[[#This Row],[Comments]])/Posts[[#This Row],[Impressions]]</f>
        <v>#DIV/0!</v>
      </c>
    </row>
    <row r="407" spans="3:12" x14ac:dyDescent="0.2">
      <c r="C407" s="1"/>
      <c r="L407" s="23" t="e">
        <f>(Posts[[#This Row],[Likes]]+Posts[[#This Row],[Shares]]+Posts[[#This Row],[Comments]])/Posts[[#This Row],[Impressions]]</f>
        <v>#DIV/0!</v>
      </c>
    </row>
    <row r="408" spans="3:12" x14ac:dyDescent="0.2">
      <c r="C408" s="1"/>
      <c r="L408" s="23" t="e">
        <f>(Posts[[#This Row],[Likes]]+Posts[[#This Row],[Shares]]+Posts[[#This Row],[Comments]])/Posts[[#This Row],[Impressions]]</f>
        <v>#DIV/0!</v>
      </c>
    </row>
    <row r="409" spans="3:12" x14ac:dyDescent="0.2">
      <c r="C409" s="1"/>
      <c r="L409" s="23" t="e">
        <f>(Posts[[#This Row],[Likes]]+Posts[[#This Row],[Shares]]+Posts[[#This Row],[Comments]])/Posts[[#This Row],[Impressions]]</f>
        <v>#DIV/0!</v>
      </c>
    </row>
    <row r="410" spans="3:12" x14ac:dyDescent="0.2">
      <c r="C410" s="1"/>
      <c r="L410" s="23" t="e">
        <f>(Posts[[#This Row],[Likes]]+Posts[[#This Row],[Shares]]+Posts[[#This Row],[Comments]])/Posts[[#This Row],[Impressions]]</f>
        <v>#DIV/0!</v>
      </c>
    </row>
    <row r="411" spans="3:12" x14ac:dyDescent="0.2">
      <c r="C411" s="1"/>
      <c r="L411" s="23" t="e">
        <f>(Posts[[#This Row],[Likes]]+Posts[[#This Row],[Shares]]+Posts[[#This Row],[Comments]])/Posts[[#This Row],[Impressions]]</f>
        <v>#DIV/0!</v>
      </c>
    </row>
    <row r="412" spans="3:12" x14ac:dyDescent="0.2">
      <c r="C412" s="1"/>
      <c r="L412" s="23" t="e">
        <f>(Posts[[#This Row],[Likes]]+Posts[[#This Row],[Shares]]+Posts[[#This Row],[Comments]])/Posts[[#This Row],[Impressions]]</f>
        <v>#DIV/0!</v>
      </c>
    </row>
    <row r="413" spans="3:12" x14ac:dyDescent="0.2">
      <c r="C413" s="1"/>
      <c r="L413" s="23" t="e">
        <f>(Posts[[#This Row],[Likes]]+Posts[[#This Row],[Shares]]+Posts[[#This Row],[Comments]])/Posts[[#This Row],[Impressions]]</f>
        <v>#DIV/0!</v>
      </c>
    </row>
    <row r="414" spans="3:12" x14ac:dyDescent="0.2">
      <c r="C414" s="1"/>
      <c r="L414" s="23" t="e">
        <f>(Posts[[#This Row],[Likes]]+Posts[[#This Row],[Shares]]+Posts[[#This Row],[Comments]])/Posts[[#This Row],[Impressions]]</f>
        <v>#DIV/0!</v>
      </c>
    </row>
    <row r="415" spans="3:12" x14ac:dyDescent="0.2">
      <c r="C415" s="1"/>
      <c r="L415" s="23" t="e">
        <f>(Posts[[#This Row],[Likes]]+Posts[[#This Row],[Shares]]+Posts[[#This Row],[Comments]])/Posts[[#This Row],[Impressions]]</f>
        <v>#DIV/0!</v>
      </c>
    </row>
    <row r="416" spans="3:12" x14ac:dyDescent="0.2">
      <c r="C416" s="1"/>
      <c r="L416" s="23" t="e">
        <f>(Posts[[#This Row],[Likes]]+Posts[[#This Row],[Shares]]+Posts[[#This Row],[Comments]])/Posts[[#This Row],[Impressions]]</f>
        <v>#DIV/0!</v>
      </c>
    </row>
    <row r="417" spans="3:12" x14ac:dyDescent="0.2">
      <c r="C417" s="1"/>
      <c r="L417" s="23" t="e">
        <f>(Posts[[#This Row],[Likes]]+Posts[[#This Row],[Shares]]+Posts[[#This Row],[Comments]])/Posts[[#This Row],[Impressions]]</f>
        <v>#DIV/0!</v>
      </c>
    </row>
    <row r="418" spans="3:12" x14ac:dyDescent="0.2">
      <c r="C418" s="1"/>
      <c r="L418" s="23" t="e">
        <f>(Posts[[#This Row],[Likes]]+Posts[[#This Row],[Shares]]+Posts[[#This Row],[Comments]])/Posts[[#This Row],[Impressions]]</f>
        <v>#DIV/0!</v>
      </c>
    </row>
    <row r="419" spans="3:12" x14ac:dyDescent="0.2">
      <c r="C419" s="1"/>
      <c r="L419" s="23" t="e">
        <f>(Posts[[#This Row],[Likes]]+Posts[[#This Row],[Shares]]+Posts[[#This Row],[Comments]])/Posts[[#This Row],[Impressions]]</f>
        <v>#DIV/0!</v>
      </c>
    </row>
    <row r="420" spans="3:12" x14ac:dyDescent="0.2">
      <c r="C420" s="1"/>
      <c r="L420" s="23" t="e">
        <f>(Posts[[#This Row],[Likes]]+Posts[[#This Row],[Shares]]+Posts[[#This Row],[Comments]])/Posts[[#This Row],[Impressions]]</f>
        <v>#DIV/0!</v>
      </c>
    </row>
    <row r="421" spans="3:12" x14ac:dyDescent="0.2">
      <c r="C421" s="1"/>
      <c r="L421" s="23" t="e">
        <f>(Posts[[#This Row],[Likes]]+Posts[[#This Row],[Shares]]+Posts[[#This Row],[Comments]])/Posts[[#This Row],[Impressions]]</f>
        <v>#DIV/0!</v>
      </c>
    </row>
    <row r="422" spans="3:12" x14ac:dyDescent="0.2">
      <c r="C422" s="1"/>
      <c r="L422" s="23" t="e">
        <f>(Posts[[#This Row],[Likes]]+Posts[[#This Row],[Shares]]+Posts[[#This Row],[Comments]])/Posts[[#This Row],[Impressions]]</f>
        <v>#DIV/0!</v>
      </c>
    </row>
    <row r="423" spans="3:12" x14ac:dyDescent="0.2">
      <c r="C423" s="1"/>
      <c r="L423" s="23" t="e">
        <f>(Posts[[#This Row],[Likes]]+Posts[[#This Row],[Shares]]+Posts[[#This Row],[Comments]])/Posts[[#This Row],[Impressions]]</f>
        <v>#DIV/0!</v>
      </c>
    </row>
    <row r="424" spans="3:12" x14ac:dyDescent="0.2">
      <c r="C424" s="1"/>
      <c r="L424" s="23" t="e">
        <f>(Posts[[#This Row],[Likes]]+Posts[[#This Row],[Shares]]+Posts[[#This Row],[Comments]])/Posts[[#This Row],[Impressions]]</f>
        <v>#DIV/0!</v>
      </c>
    </row>
    <row r="425" spans="3:12" x14ac:dyDescent="0.2">
      <c r="C425" s="1"/>
      <c r="L425" s="23" t="e">
        <f>(Posts[[#This Row],[Likes]]+Posts[[#This Row],[Shares]]+Posts[[#This Row],[Comments]])/Posts[[#This Row],[Impressions]]</f>
        <v>#DIV/0!</v>
      </c>
    </row>
    <row r="426" spans="3:12" x14ac:dyDescent="0.2">
      <c r="C426" s="1"/>
      <c r="L426" s="23" t="e">
        <f>(Posts[[#This Row],[Likes]]+Posts[[#This Row],[Shares]]+Posts[[#This Row],[Comments]])/Posts[[#This Row],[Impressions]]</f>
        <v>#DIV/0!</v>
      </c>
    </row>
    <row r="427" spans="3:12" x14ac:dyDescent="0.2">
      <c r="C427" s="1"/>
      <c r="L427" s="23" t="e">
        <f>(Posts[[#This Row],[Likes]]+Posts[[#This Row],[Shares]]+Posts[[#This Row],[Comments]])/Posts[[#This Row],[Impressions]]</f>
        <v>#DIV/0!</v>
      </c>
    </row>
    <row r="428" spans="3:12" x14ac:dyDescent="0.2">
      <c r="C428" s="1"/>
      <c r="L428" s="23" t="e">
        <f>(Posts[[#This Row],[Likes]]+Posts[[#This Row],[Shares]]+Posts[[#This Row],[Comments]])/Posts[[#This Row],[Impressions]]</f>
        <v>#DIV/0!</v>
      </c>
    </row>
    <row r="429" spans="3:12" x14ac:dyDescent="0.2">
      <c r="C429" s="1"/>
      <c r="L429" s="23" t="e">
        <f>(Posts[[#This Row],[Likes]]+Posts[[#This Row],[Shares]]+Posts[[#This Row],[Comments]])/Posts[[#This Row],[Impressions]]</f>
        <v>#DIV/0!</v>
      </c>
    </row>
    <row r="430" spans="3:12" x14ac:dyDescent="0.2">
      <c r="C430" s="1"/>
      <c r="L430" s="23" t="e">
        <f>(Posts[[#This Row],[Likes]]+Posts[[#This Row],[Shares]]+Posts[[#This Row],[Comments]])/Posts[[#This Row],[Impressions]]</f>
        <v>#DIV/0!</v>
      </c>
    </row>
    <row r="431" spans="3:12" x14ac:dyDescent="0.2">
      <c r="C431" s="1"/>
      <c r="L431" s="23" t="e">
        <f>(Posts[[#This Row],[Likes]]+Posts[[#This Row],[Shares]]+Posts[[#This Row],[Comments]])/Posts[[#This Row],[Impressions]]</f>
        <v>#DIV/0!</v>
      </c>
    </row>
    <row r="432" spans="3:12" x14ac:dyDescent="0.2">
      <c r="C432" s="1"/>
      <c r="L432" s="23" t="e">
        <f>(Posts[[#This Row],[Likes]]+Posts[[#This Row],[Shares]]+Posts[[#This Row],[Comments]])/Posts[[#This Row],[Impressions]]</f>
        <v>#DIV/0!</v>
      </c>
    </row>
    <row r="433" spans="3:12" x14ac:dyDescent="0.2">
      <c r="C433" s="1"/>
      <c r="L433" s="23" t="e">
        <f>(Posts[[#This Row],[Likes]]+Posts[[#This Row],[Shares]]+Posts[[#This Row],[Comments]])/Posts[[#This Row],[Impressions]]</f>
        <v>#DIV/0!</v>
      </c>
    </row>
    <row r="434" spans="3:12" x14ac:dyDescent="0.2">
      <c r="C434" s="1"/>
      <c r="L434" s="23" t="e">
        <f>(Posts[[#This Row],[Likes]]+Posts[[#This Row],[Shares]]+Posts[[#This Row],[Comments]])/Posts[[#This Row],[Impressions]]</f>
        <v>#DIV/0!</v>
      </c>
    </row>
    <row r="435" spans="3:12" x14ac:dyDescent="0.2">
      <c r="C435" s="1"/>
      <c r="L435" s="23" t="e">
        <f>(Posts[[#This Row],[Likes]]+Posts[[#This Row],[Shares]]+Posts[[#This Row],[Comments]])/Posts[[#This Row],[Impressions]]</f>
        <v>#DIV/0!</v>
      </c>
    </row>
    <row r="436" spans="3:12" x14ac:dyDescent="0.2">
      <c r="C436" s="1"/>
      <c r="L436" s="23" t="e">
        <f>(Posts[[#This Row],[Likes]]+Posts[[#This Row],[Shares]]+Posts[[#This Row],[Comments]])/Posts[[#This Row],[Impressions]]</f>
        <v>#DIV/0!</v>
      </c>
    </row>
    <row r="437" spans="3:12" x14ac:dyDescent="0.2">
      <c r="C437" s="1"/>
      <c r="L437" s="23" t="e">
        <f>(Posts[[#This Row],[Likes]]+Posts[[#This Row],[Shares]]+Posts[[#This Row],[Comments]])/Posts[[#This Row],[Impressions]]</f>
        <v>#DIV/0!</v>
      </c>
    </row>
    <row r="438" spans="3:12" x14ac:dyDescent="0.2">
      <c r="C438" s="1"/>
      <c r="L438" s="23" t="e">
        <f>(Posts[[#This Row],[Likes]]+Posts[[#This Row],[Shares]]+Posts[[#This Row],[Comments]])/Posts[[#This Row],[Impressions]]</f>
        <v>#DIV/0!</v>
      </c>
    </row>
    <row r="439" spans="3:12" x14ac:dyDescent="0.2">
      <c r="C439" s="1"/>
      <c r="L439" s="23" t="e">
        <f>(Posts[[#This Row],[Likes]]+Posts[[#This Row],[Shares]]+Posts[[#This Row],[Comments]])/Posts[[#This Row],[Impressions]]</f>
        <v>#DIV/0!</v>
      </c>
    </row>
    <row r="440" spans="3:12" x14ac:dyDescent="0.2">
      <c r="C440" s="1"/>
      <c r="L440" s="23" t="e">
        <f>(Posts[[#This Row],[Likes]]+Posts[[#This Row],[Shares]]+Posts[[#This Row],[Comments]])/Posts[[#This Row],[Impressions]]</f>
        <v>#DIV/0!</v>
      </c>
    </row>
    <row r="441" spans="3:12" x14ac:dyDescent="0.2">
      <c r="C441" s="1"/>
      <c r="L441" s="23" t="e">
        <f>(Posts[[#This Row],[Likes]]+Posts[[#This Row],[Shares]]+Posts[[#This Row],[Comments]])/Posts[[#This Row],[Impressions]]</f>
        <v>#DIV/0!</v>
      </c>
    </row>
    <row r="442" spans="3:12" x14ac:dyDescent="0.2">
      <c r="C442" s="1"/>
      <c r="L442" s="23" t="e">
        <f>(Posts[[#This Row],[Likes]]+Posts[[#This Row],[Shares]]+Posts[[#This Row],[Comments]])/Posts[[#This Row],[Impressions]]</f>
        <v>#DIV/0!</v>
      </c>
    </row>
    <row r="443" spans="3:12" x14ac:dyDescent="0.2">
      <c r="C443" s="1"/>
      <c r="L443" s="23" t="e">
        <f>(Posts[[#This Row],[Likes]]+Posts[[#This Row],[Shares]]+Posts[[#This Row],[Comments]])/Posts[[#This Row],[Impressions]]</f>
        <v>#DIV/0!</v>
      </c>
    </row>
    <row r="444" spans="3:12" x14ac:dyDescent="0.2">
      <c r="C444" s="1"/>
      <c r="L444" s="23" t="e">
        <f>(Posts[[#This Row],[Likes]]+Posts[[#This Row],[Shares]]+Posts[[#This Row],[Comments]])/Posts[[#This Row],[Impressions]]</f>
        <v>#DIV/0!</v>
      </c>
    </row>
    <row r="445" spans="3:12" x14ac:dyDescent="0.2">
      <c r="C445" s="1"/>
      <c r="L445" s="23" t="e">
        <f>(Posts[[#This Row],[Likes]]+Posts[[#This Row],[Shares]]+Posts[[#This Row],[Comments]])/Posts[[#This Row],[Impressions]]</f>
        <v>#DIV/0!</v>
      </c>
    </row>
    <row r="446" spans="3:12" x14ac:dyDescent="0.2">
      <c r="C446" s="1"/>
      <c r="L446" s="23" t="e">
        <f>(Posts[[#This Row],[Likes]]+Posts[[#This Row],[Shares]]+Posts[[#This Row],[Comments]])/Posts[[#This Row],[Impressions]]</f>
        <v>#DIV/0!</v>
      </c>
    </row>
    <row r="447" spans="3:12" x14ac:dyDescent="0.2">
      <c r="C447" s="1"/>
      <c r="L447" s="23" t="e">
        <f>(Posts[[#This Row],[Likes]]+Posts[[#This Row],[Shares]]+Posts[[#This Row],[Comments]])/Posts[[#This Row],[Impressions]]</f>
        <v>#DIV/0!</v>
      </c>
    </row>
    <row r="448" spans="3:12" x14ac:dyDescent="0.2">
      <c r="C448" s="1"/>
      <c r="L448" s="23" t="e">
        <f>(Posts[[#This Row],[Likes]]+Posts[[#This Row],[Shares]]+Posts[[#This Row],[Comments]])/Posts[[#This Row],[Impressions]]</f>
        <v>#DIV/0!</v>
      </c>
    </row>
    <row r="449" spans="3:12" x14ac:dyDescent="0.2">
      <c r="C449" s="1"/>
      <c r="L449" s="23" t="e">
        <f>(Posts[[#This Row],[Likes]]+Posts[[#This Row],[Shares]]+Posts[[#This Row],[Comments]])/Posts[[#This Row],[Impressions]]</f>
        <v>#DIV/0!</v>
      </c>
    </row>
    <row r="450" spans="3:12" x14ac:dyDescent="0.2">
      <c r="C450" s="1"/>
      <c r="L450" s="23" t="e">
        <f>(Posts[[#This Row],[Likes]]+Posts[[#This Row],[Shares]]+Posts[[#This Row],[Comments]])/Posts[[#This Row],[Impressions]]</f>
        <v>#DIV/0!</v>
      </c>
    </row>
    <row r="451" spans="3:12" x14ac:dyDescent="0.2">
      <c r="C451" s="1"/>
      <c r="L451" s="23" t="e">
        <f>(Posts[[#This Row],[Likes]]+Posts[[#This Row],[Shares]]+Posts[[#This Row],[Comments]])/Posts[[#This Row],[Impressions]]</f>
        <v>#DIV/0!</v>
      </c>
    </row>
    <row r="452" spans="3:12" x14ac:dyDescent="0.2">
      <c r="C452" s="1"/>
      <c r="L452" s="23" t="e">
        <f>(Posts[[#This Row],[Likes]]+Posts[[#This Row],[Shares]]+Posts[[#This Row],[Comments]])/Posts[[#This Row],[Impressions]]</f>
        <v>#DIV/0!</v>
      </c>
    </row>
    <row r="453" spans="3:12" x14ac:dyDescent="0.2">
      <c r="C453" s="1"/>
      <c r="L453" s="23" t="e">
        <f>(Posts[[#This Row],[Likes]]+Posts[[#This Row],[Shares]]+Posts[[#This Row],[Comments]])/Posts[[#This Row],[Impressions]]</f>
        <v>#DIV/0!</v>
      </c>
    </row>
    <row r="454" spans="3:12" x14ac:dyDescent="0.2">
      <c r="C454" s="1"/>
      <c r="L454" s="23" t="e">
        <f>(Posts[[#This Row],[Likes]]+Posts[[#This Row],[Shares]]+Posts[[#This Row],[Comments]])/Posts[[#This Row],[Impressions]]</f>
        <v>#DIV/0!</v>
      </c>
    </row>
    <row r="455" spans="3:12" x14ac:dyDescent="0.2">
      <c r="C455" s="1"/>
      <c r="L455" s="23" t="e">
        <f>(Posts[[#This Row],[Likes]]+Posts[[#This Row],[Shares]]+Posts[[#This Row],[Comments]])/Posts[[#This Row],[Impressions]]</f>
        <v>#DIV/0!</v>
      </c>
    </row>
    <row r="456" spans="3:12" x14ac:dyDescent="0.2">
      <c r="C456" s="1"/>
      <c r="L456" s="23" t="e">
        <f>(Posts[[#This Row],[Likes]]+Posts[[#This Row],[Shares]]+Posts[[#This Row],[Comments]])/Posts[[#This Row],[Impressions]]</f>
        <v>#DIV/0!</v>
      </c>
    </row>
    <row r="457" spans="3:12" x14ac:dyDescent="0.2">
      <c r="C457" s="1"/>
      <c r="L457" s="23" t="e">
        <f>(Posts[[#This Row],[Likes]]+Posts[[#This Row],[Shares]]+Posts[[#This Row],[Comments]])/Posts[[#This Row],[Impressions]]</f>
        <v>#DIV/0!</v>
      </c>
    </row>
    <row r="458" spans="3:12" x14ac:dyDescent="0.2">
      <c r="C458" s="1"/>
      <c r="L458" s="23" t="e">
        <f>(Posts[[#This Row],[Likes]]+Posts[[#This Row],[Shares]]+Posts[[#This Row],[Comments]])/Posts[[#This Row],[Impressions]]</f>
        <v>#DIV/0!</v>
      </c>
    </row>
    <row r="459" spans="3:12" x14ac:dyDescent="0.2">
      <c r="C459" s="1"/>
      <c r="L459" s="23" t="e">
        <f>(Posts[[#This Row],[Likes]]+Posts[[#This Row],[Shares]]+Posts[[#This Row],[Comments]])/Posts[[#This Row],[Impressions]]</f>
        <v>#DIV/0!</v>
      </c>
    </row>
    <row r="460" spans="3:12" x14ac:dyDescent="0.2">
      <c r="C460" s="1"/>
      <c r="L460" s="23" t="e">
        <f>(Posts[[#This Row],[Likes]]+Posts[[#This Row],[Shares]]+Posts[[#This Row],[Comments]])/Posts[[#This Row],[Impressions]]</f>
        <v>#DIV/0!</v>
      </c>
    </row>
    <row r="461" spans="3:12" x14ac:dyDescent="0.2">
      <c r="C461" s="1"/>
      <c r="L461" s="23" t="e">
        <f>(Posts[[#This Row],[Likes]]+Posts[[#This Row],[Shares]]+Posts[[#This Row],[Comments]])/Posts[[#This Row],[Impressions]]</f>
        <v>#DIV/0!</v>
      </c>
    </row>
    <row r="462" spans="3:12" x14ac:dyDescent="0.2">
      <c r="C462" s="1"/>
      <c r="L462" s="23" t="e">
        <f>(Posts[[#This Row],[Likes]]+Posts[[#This Row],[Shares]]+Posts[[#This Row],[Comments]])/Posts[[#This Row],[Impressions]]</f>
        <v>#DIV/0!</v>
      </c>
    </row>
    <row r="463" spans="3:12" x14ac:dyDescent="0.2">
      <c r="C463" s="1"/>
      <c r="L463" s="23" t="e">
        <f>(Posts[[#This Row],[Likes]]+Posts[[#This Row],[Shares]]+Posts[[#This Row],[Comments]])/Posts[[#This Row],[Impressions]]</f>
        <v>#DIV/0!</v>
      </c>
    </row>
    <row r="464" spans="3:12" x14ac:dyDescent="0.2">
      <c r="C464" s="1"/>
      <c r="L464" s="23" t="e">
        <f>(Posts[[#This Row],[Likes]]+Posts[[#This Row],[Shares]]+Posts[[#This Row],[Comments]])/Posts[[#This Row],[Impressions]]</f>
        <v>#DIV/0!</v>
      </c>
    </row>
    <row r="465" spans="3:12" x14ac:dyDescent="0.2">
      <c r="C465" s="1"/>
      <c r="L465" s="23" t="e">
        <f>(Posts[[#This Row],[Likes]]+Posts[[#This Row],[Shares]]+Posts[[#This Row],[Comments]])/Posts[[#This Row],[Impressions]]</f>
        <v>#DIV/0!</v>
      </c>
    </row>
    <row r="466" spans="3:12" x14ac:dyDescent="0.2">
      <c r="C466" s="1"/>
      <c r="L466" s="23" t="e">
        <f>(Posts[[#This Row],[Likes]]+Posts[[#This Row],[Shares]]+Posts[[#This Row],[Comments]])/Posts[[#This Row],[Impressions]]</f>
        <v>#DIV/0!</v>
      </c>
    </row>
    <row r="467" spans="3:12" x14ac:dyDescent="0.2">
      <c r="C467" s="1"/>
      <c r="L467" s="23" t="e">
        <f>(Posts[[#This Row],[Likes]]+Posts[[#This Row],[Shares]]+Posts[[#This Row],[Comments]])/Posts[[#This Row],[Impressions]]</f>
        <v>#DIV/0!</v>
      </c>
    </row>
    <row r="468" spans="3:12" x14ac:dyDescent="0.2">
      <c r="C468" s="1"/>
      <c r="L468" s="23" t="e">
        <f>(Posts[[#This Row],[Likes]]+Posts[[#This Row],[Shares]]+Posts[[#This Row],[Comments]])/Posts[[#This Row],[Impressions]]</f>
        <v>#DIV/0!</v>
      </c>
    </row>
    <row r="469" spans="3:12" x14ac:dyDescent="0.2">
      <c r="C469" s="1"/>
      <c r="L469" s="23" t="e">
        <f>(Posts[[#This Row],[Likes]]+Posts[[#This Row],[Shares]]+Posts[[#This Row],[Comments]])/Posts[[#This Row],[Impressions]]</f>
        <v>#DIV/0!</v>
      </c>
    </row>
    <row r="470" spans="3:12" x14ac:dyDescent="0.2">
      <c r="C470" s="1"/>
      <c r="L470" s="23" t="e">
        <f>(Posts[[#This Row],[Likes]]+Posts[[#This Row],[Shares]]+Posts[[#This Row],[Comments]])/Posts[[#This Row],[Impressions]]</f>
        <v>#DIV/0!</v>
      </c>
    </row>
    <row r="471" spans="3:12" x14ac:dyDescent="0.2">
      <c r="C471" s="1"/>
      <c r="L471" s="23" t="e">
        <f>(Posts[[#This Row],[Likes]]+Posts[[#This Row],[Shares]]+Posts[[#This Row],[Comments]])/Posts[[#This Row],[Impressions]]</f>
        <v>#DIV/0!</v>
      </c>
    </row>
    <row r="472" spans="3:12" x14ac:dyDescent="0.2">
      <c r="C472" s="1"/>
      <c r="L472" s="23" t="e">
        <f>(Posts[[#This Row],[Likes]]+Posts[[#This Row],[Shares]]+Posts[[#This Row],[Comments]])/Posts[[#This Row],[Impressions]]</f>
        <v>#DIV/0!</v>
      </c>
    </row>
    <row r="473" spans="3:12" x14ac:dyDescent="0.2">
      <c r="C473" s="1"/>
      <c r="L473" s="23" t="e">
        <f>(Posts[[#This Row],[Likes]]+Posts[[#This Row],[Shares]]+Posts[[#This Row],[Comments]])/Posts[[#This Row],[Impressions]]</f>
        <v>#DIV/0!</v>
      </c>
    </row>
    <row r="474" spans="3:12" x14ac:dyDescent="0.2">
      <c r="C474" s="1"/>
      <c r="L474" s="23" t="e">
        <f>(Posts[[#This Row],[Likes]]+Posts[[#This Row],[Shares]]+Posts[[#This Row],[Comments]])/Posts[[#This Row],[Impressions]]</f>
        <v>#DIV/0!</v>
      </c>
    </row>
    <row r="475" spans="3:12" x14ac:dyDescent="0.2">
      <c r="C475" s="1"/>
      <c r="L475" s="23" t="e">
        <f>(Posts[[#This Row],[Likes]]+Posts[[#This Row],[Shares]]+Posts[[#This Row],[Comments]])/Posts[[#This Row],[Impressions]]</f>
        <v>#DIV/0!</v>
      </c>
    </row>
    <row r="476" spans="3:12" x14ac:dyDescent="0.2">
      <c r="C476" s="1"/>
      <c r="L476" s="23" t="e">
        <f>(Posts[[#This Row],[Likes]]+Posts[[#This Row],[Shares]]+Posts[[#This Row],[Comments]])/Posts[[#This Row],[Impressions]]</f>
        <v>#DIV/0!</v>
      </c>
    </row>
    <row r="477" spans="3:12" x14ac:dyDescent="0.2">
      <c r="C477" s="1"/>
      <c r="L477" s="23" t="e">
        <f>(Posts[[#This Row],[Likes]]+Posts[[#This Row],[Shares]]+Posts[[#This Row],[Comments]])/Posts[[#This Row],[Impressions]]</f>
        <v>#DIV/0!</v>
      </c>
    </row>
    <row r="478" spans="3:12" x14ac:dyDescent="0.2">
      <c r="C478" s="1"/>
      <c r="L478" s="23" t="e">
        <f>(Posts[[#This Row],[Likes]]+Posts[[#This Row],[Shares]]+Posts[[#This Row],[Comments]])/Posts[[#This Row],[Impressions]]</f>
        <v>#DIV/0!</v>
      </c>
    </row>
    <row r="479" spans="3:12" x14ac:dyDescent="0.2">
      <c r="C479" s="1"/>
      <c r="L479" s="23" t="e">
        <f>(Posts[[#This Row],[Likes]]+Posts[[#This Row],[Shares]]+Posts[[#This Row],[Comments]])/Posts[[#This Row],[Impressions]]</f>
        <v>#DIV/0!</v>
      </c>
    </row>
    <row r="480" spans="3:12" x14ac:dyDescent="0.2">
      <c r="C480" s="1"/>
      <c r="L480" s="23" t="e">
        <f>(Posts[[#This Row],[Likes]]+Posts[[#This Row],[Shares]]+Posts[[#This Row],[Comments]])/Posts[[#This Row],[Impressions]]</f>
        <v>#DIV/0!</v>
      </c>
    </row>
    <row r="481" spans="3:12" x14ac:dyDescent="0.2">
      <c r="C481" s="1"/>
      <c r="L481" s="23" t="e">
        <f>(Posts[[#This Row],[Likes]]+Posts[[#This Row],[Shares]]+Posts[[#This Row],[Comments]])/Posts[[#This Row],[Impressions]]</f>
        <v>#DIV/0!</v>
      </c>
    </row>
    <row r="482" spans="3:12" x14ac:dyDescent="0.2">
      <c r="C482" s="1"/>
      <c r="L482" s="23" t="e">
        <f>(Posts[[#This Row],[Likes]]+Posts[[#This Row],[Shares]]+Posts[[#This Row],[Comments]])/Posts[[#This Row],[Impressions]]</f>
        <v>#DIV/0!</v>
      </c>
    </row>
    <row r="483" spans="3:12" x14ac:dyDescent="0.2">
      <c r="C483" s="1"/>
      <c r="L483" s="23" t="e">
        <f>(Posts[[#This Row],[Likes]]+Posts[[#This Row],[Shares]]+Posts[[#This Row],[Comments]])/Posts[[#This Row],[Impressions]]</f>
        <v>#DIV/0!</v>
      </c>
    </row>
    <row r="484" spans="3:12" x14ac:dyDescent="0.2">
      <c r="C484" s="1"/>
      <c r="L484" s="23" t="e">
        <f>(Posts[[#This Row],[Likes]]+Posts[[#This Row],[Shares]]+Posts[[#This Row],[Comments]])/Posts[[#This Row],[Impressions]]</f>
        <v>#DIV/0!</v>
      </c>
    </row>
    <row r="485" spans="3:12" x14ac:dyDescent="0.2">
      <c r="C485" s="1"/>
      <c r="L485" s="23" t="e">
        <f>(Posts[[#This Row],[Likes]]+Posts[[#This Row],[Shares]]+Posts[[#This Row],[Comments]])/Posts[[#This Row],[Impressions]]</f>
        <v>#DIV/0!</v>
      </c>
    </row>
    <row r="486" spans="3:12" x14ac:dyDescent="0.2">
      <c r="C486" s="1"/>
      <c r="L486" s="23" t="e">
        <f>(Posts[[#This Row],[Likes]]+Posts[[#This Row],[Shares]]+Posts[[#This Row],[Comments]])/Posts[[#This Row],[Impressions]]</f>
        <v>#DIV/0!</v>
      </c>
    </row>
    <row r="487" spans="3:12" x14ac:dyDescent="0.2">
      <c r="C487" s="1"/>
      <c r="L487" s="23" t="e">
        <f>(Posts[[#This Row],[Likes]]+Posts[[#This Row],[Shares]]+Posts[[#This Row],[Comments]])/Posts[[#This Row],[Impressions]]</f>
        <v>#DIV/0!</v>
      </c>
    </row>
    <row r="488" spans="3:12" x14ac:dyDescent="0.2">
      <c r="C488" s="1"/>
      <c r="L488" s="23" t="e">
        <f>(Posts[[#This Row],[Likes]]+Posts[[#This Row],[Shares]]+Posts[[#This Row],[Comments]])/Posts[[#This Row],[Impressions]]</f>
        <v>#DIV/0!</v>
      </c>
    </row>
    <row r="489" spans="3:12" x14ac:dyDescent="0.2">
      <c r="C489" s="1"/>
      <c r="L489" s="23" t="e">
        <f>(Posts[[#This Row],[Likes]]+Posts[[#This Row],[Shares]]+Posts[[#This Row],[Comments]])/Posts[[#This Row],[Impressions]]</f>
        <v>#DIV/0!</v>
      </c>
    </row>
    <row r="490" spans="3:12" x14ac:dyDescent="0.2">
      <c r="C490" s="1"/>
      <c r="L490" s="23" t="e">
        <f>(Posts[[#This Row],[Likes]]+Posts[[#This Row],[Shares]]+Posts[[#This Row],[Comments]])/Posts[[#This Row],[Impressions]]</f>
        <v>#DIV/0!</v>
      </c>
    </row>
    <row r="491" spans="3:12" x14ac:dyDescent="0.2">
      <c r="C491" s="1"/>
      <c r="L491" s="23" t="e">
        <f>(Posts[[#This Row],[Likes]]+Posts[[#This Row],[Shares]]+Posts[[#This Row],[Comments]])/Posts[[#This Row],[Impressions]]</f>
        <v>#DIV/0!</v>
      </c>
    </row>
    <row r="492" spans="3:12" x14ac:dyDescent="0.2">
      <c r="C492" s="1"/>
      <c r="L492" s="23" t="e">
        <f>(Posts[[#This Row],[Likes]]+Posts[[#This Row],[Shares]]+Posts[[#This Row],[Comments]])/Posts[[#This Row],[Impressions]]</f>
        <v>#DIV/0!</v>
      </c>
    </row>
    <row r="493" spans="3:12" x14ac:dyDescent="0.2">
      <c r="C493" s="1"/>
      <c r="L493" s="23" t="e">
        <f>(Posts[[#This Row],[Likes]]+Posts[[#This Row],[Shares]]+Posts[[#This Row],[Comments]])/Posts[[#This Row],[Impressions]]</f>
        <v>#DIV/0!</v>
      </c>
    </row>
    <row r="494" spans="3:12" x14ac:dyDescent="0.2">
      <c r="C494" s="1"/>
      <c r="L494" s="23" t="e">
        <f>(Posts[[#This Row],[Likes]]+Posts[[#This Row],[Shares]]+Posts[[#This Row],[Comments]])/Posts[[#This Row],[Impressions]]</f>
        <v>#DIV/0!</v>
      </c>
    </row>
    <row r="495" spans="3:12" x14ac:dyDescent="0.2">
      <c r="C495" s="1"/>
      <c r="L495" s="23" t="e">
        <f>(Posts[[#This Row],[Likes]]+Posts[[#This Row],[Shares]]+Posts[[#This Row],[Comments]])/Posts[[#This Row],[Impressions]]</f>
        <v>#DIV/0!</v>
      </c>
    </row>
    <row r="496" spans="3:12" x14ac:dyDescent="0.2">
      <c r="C496" s="1"/>
      <c r="L496" s="23" t="e">
        <f>(Posts[[#This Row],[Likes]]+Posts[[#This Row],[Shares]]+Posts[[#This Row],[Comments]])/Posts[[#This Row],[Impressions]]</f>
        <v>#DIV/0!</v>
      </c>
    </row>
    <row r="497" spans="3:12" x14ac:dyDescent="0.2">
      <c r="C497" s="1"/>
      <c r="L497" s="23" t="e">
        <f>(Posts[[#This Row],[Likes]]+Posts[[#This Row],[Shares]]+Posts[[#This Row],[Comments]])/Posts[[#This Row],[Impressions]]</f>
        <v>#DIV/0!</v>
      </c>
    </row>
    <row r="498" spans="3:12" x14ac:dyDescent="0.2">
      <c r="C498" s="1"/>
      <c r="L498" s="23" t="e">
        <f>(Posts[[#This Row],[Likes]]+Posts[[#This Row],[Shares]]+Posts[[#This Row],[Comments]])/Posts[[#This Row],[Impressions]]</f>
        <v>#DIV/0!</v>
      </c>
    </row>
    <row r="499" spans="3:12" x14ac:dyDescent="0.2">
      <c r="C499" s="1"/>
      <c r="L499" s="23" t="e">
        <f>(Posts[[#This Row],[Likes]]+Posts[[#This Row],[Shares]]+Posts[[#This Row],[Comments]])/Posts[[#This Row],[Impressions]]</f>
        <v>#DIV/0!</v>
      </c>
    </row>
    <row r="500" spans="3:12" x14ac:dyDescent="0.2">
      <c r="C500" s="1"/>
      <c r="L500" s="23" t="e">
        <f>(Posts[[#This Row],[Likes]]+Posts[[#This Row],[Shares]]+Posts[[#This Row],[Comments]])/Posts[[#This Row],[Impressions]]</f>
        <v>#DIV/0!</v>
      </c>
    </row>
    <row r="501" spans="3:12" x14ac:dyDescent="0.2">
      <c r="C501" s="1"/>
      <c r="L501" s="23" t="e">
        <f>(Posts[[#This Row],[Likes]]+Posts[[#This Row],[Shares]]+Posts[[#This Row],[Comments]])/Posts[[#This Row],[Impressions]]</f>
        <v>#DIV/0!</v>
      </c>
    </row>
    <row r="502" spans="3:12" x14ac:dyDescent="0.2">
      <c r="C502" s="1"/>
      <c r="L502" s="23" t="e">
        <f>(Posts[[#This Row],[Likes]]+Posts[[#This Row],[Shares]]+Posts[[#This Row],[Comments]])/Posts[[#This Row],[Impressions]]</f>
        <v>#DIV/0!</v>
      </c>
    </row>
    <row r="503" spans="3:12" x14ac:dyDescent="0.2">
      <c r="C503" s="1"/>
      <c r="L503" s="23" t="e">
        <f>(Posts[[#This Row],[Likes]]+Posts[[#This Row],[Shares]]+Posts[[#This Row],[Comments]])/Posts[[#This Row],[Impressions]]</f>
        <v>#DIV/0!</v>
      </c>
    </row>
    <row r="504" spans="3:12" x14ac:dyDescent="0.2">
      <c r="C504" s="1"/>
      <c r="L504" s="23" t="e">
        <f>(Posts[[#This Row],[Likes]]+Posts[[#This Row],[Shares]]+Posts[[#This Row],[Comments]])/Posts[[#This Row],[Impressions]]</f>
        <v>#DIV/0!</v>
      </c>
    </row>
    <row r="505" spans="3:12" x14ac:dyDescent="0.2">
      <c r="C505" s="1"/>
      <c r="L505" s="23" t="e">
        <f>(Posts[[#This Row],[Likes]]+Posts[[#This Row],[Shares]]+Posts[[#This Row],[Comments]])/Posts[[#This Row],[Impressions]]</f>
        <v>#DIV/0!</v>
      </c>
    </row>
    <row r="506" spans="3:12" x14ac:dyDescent="0.2">
      <c r="C506" s="1"/>
      <c r="L506" s="23" t="e">
        <f>(Posts[[#This Row],[Likes]]+Posts[[#This Row],[Shares]]+Posts[[#This Row],[Comments]])/Posts[[#This Row],[Impressions]]</f>
        <v>#DIV/0!</v>
      </c>
    </row>
    <row r="507" spans="3:12" x14ac:dyDescent="0.2">
      <c r="C507" s="1"/>
      <c r="L507" s="23" t="e">
        <f>(Posts[[#This Row],[Likes]]+Posts[[#This Row],[Shares]]+Posts[[#This Row],[Comments]])/Posts[[#This Row],[Impressions]]</f>
        <v>#DIV/0!</v>
      </c>
    </row>
    <row r="508" spans="3:12" x14ac:dyDescent="0.2">
      <c r="C508" s="1"/>
      <c r="L508" s="23" t="e">
        <f>(Posts[[#This Row],[Likes]]+Posts[[#This Row],[Shares]]+Posts[[#This Row],[Comments]])/Posts[[#This Row],[Impressions]]</f>
        <v>#DIV/0!</v>
      </c>
    </row>
    <row r="509" spans="3:12" x14ac:dyDescent="0.2">
      <c r="C509" s="1"/>
      <c r="L509" s="23" t="e">
        <f>(Posts[[#This Row],[Likes]]+Posts[[#This Row],[Shares]]+Posts[[#This Row],[Comments]])/Posts[[#This Row],[Impressions]]</f>
        <v>#DIV/0!</v>
      </c>
    </row>
    <row r="510" spans="3:12" x14ac:dyDescent="0.2">
      <c r="C510" s="1"/>
      <c r="L510" s="23" t="e">
        <f>(Posts[[#This Row],[Likes]]+Posts[[#This Row],[Shares]]+Posts[[#This Row],[Comments]])/Posts[[#This Row],[Impressions]]</f>
        <v>#DIV/0!</v>
      </c>
    </row>
    <row r="511" spans="3:12" x14ac:dyDescent="0.2">
      <c r="C511" s="1"/>
      <c r="L511" s="23" t="e">
        <f>(Posts[[#This Row],[Likes]]+Posts[[#This Row],[Shares]]+Posts[[#This Row],[Comments]])/Posts[[#This Row],[Impressions]]</f>
        <v>#DIV/0!</v>
      </c>
    </row>
    <row r="512" spans="3:12" x14ac:dyDescent="0.2">
      <c r="C512" s="1"/>
      <c r="L512" s="23" t="e">
        <f>(Posts[[#This Row],[Likes]]+Posts[[#This Row],[Shares]]+Posts[[#This Row],[Comments]])/Posts[[#This Row],[Impressions]]</f>
        <v>#DIV/0!</v>
      </c>
    </row>
    <row r="513" spans="3:12" x14ac:dyDescent="0.2">
      <c r="C513" s="1"/>
      <c r="L513" s="23" t="e">
        <f>(Posts[[#This Row],[Likes]]+Posts[[#This Row],[Shares]]+Posts[[#This Row],[Comments]])/Posts[[#This Row],[Impressions]]</f>
        <v>#DIV/0!</v>
      </c>
    </row>
    <row r="514" spans="3:12" x14ac:dyDescent="0.2">
      <c r="C514" s="1"/>
      <c r="L514" s="23" t="e">
        <f>(Posts[[#This Row],[Likes]]+Posts[[#This Row],[Shares]]+Posts[[#This Row],[Comments]])/Posts[[#This Row],[Impressions]]</f>
        <v>#DIV/0!</v>
      </c>
    </row>
    <row r="515" spans="3:12" x14ac:dyDescent="0.2">
      <c r="C515" s="1"/>
      <c r="L515" s="23" t="e">
        <f>(Posts[[#This Row],[Likes]]+Posts[[#This Row],[Shares]]+Posts[[#This Row],[Comments]])/Posts[[#This Row],[Impressions]]</f>
        <v>#DIV/0!</v>
      </c>
    </row>
    <row r="516" spans="3:12" x14ac:dyDescent="0.2">
      <c r="C516" s="1"/>
      <c r="L516" s="23" t="e">
        <f>(Posts[[#This Row],[Likes]]+Posts[[#This Row],[Shares]]+Posts[[#This Row],[Comments]])/Posts[[#This Row],[Impressions]]</f>
        <v>#DIV/0!</v>
      </c>
    </row>
    <row r="517" spans="3:12" x14ac:dyDescent="0.2">
      <c r="C517" s="1"/>
      <c r="L517" s="23" t="e">
        <f>(Posts[[#This Row],[Likes]]+Posts[[#This Row],[Shares]]+Posts[[#This Row],[Comments]])/Posts[[#This Row],[Impressions]]</f>
        <v>#DIV/0!</v>
      </c>
    </row>
    <row r="518" spans="3:12" x14ac:dyDescent="0.2">
      <c r="C518" s="1"/>
      <c r="L518" s="23" t="e">
        <f>(Posts[[#This Row],[Likes]]+Posts[[#This Row],[Shares]]+Posts[[#This Row],[Comments]])/Posts[[#This Row],[Impressions]]</f>
        <v>#DIV/0!</v>
      </c>
    </row>
    <row r="519" spans="3:12" x14ac:dyDescent="0.2">
      <c r="C519" s="1"/>
      <c r="L519" s="23" t="e">
        <f>(Posts[[#This Row],[Likes]]+Posts[[#This Row],[Shares]]+Posts[[#This Row],[Comments]])/Posts[[#This Row],[Impressions]]</f>
        <v>#DIV/0!</v>
      </c>
    </row>
    <row r="520" spans="3:12" x14ac:dyDescent="0.2">
      <c r="C520" s="1"/>
      <c r="L520" s="23" t="e">
        <f>(Posts[[#This Row],[Likes]]+Posts[[#This Row],[Shares]]+Posts[[#This Row],[Comments]])/Posts[[#This Row],[Impressions]]</f>
        <v>#DIV/0!</v>
      </c>
    </row>
    <row r="521" spans="3:12" x14ac:dyDescent="0.2">
      <c r="C521" s="1"/>
      <c r="L521" s="23" t="e">
        <f>(Posts[[#This Row],[Likes]]+Posts[[#This Row],[Shares]]+Posts[[#This Row],[Comments]])/Posts[[#This Row],[Impressions]]</f>
        <v>#DIV/0!</v>
      </c>
    </row>
    <row r="522" spans="3:12" x14ac:dyDescent="0.2">
      <c r="C522" s="1"/>
      <c r="L522" s="23" t="e">
        <f>(Posts[[#This Row],[Likes]]+Posts[[#This Row],[Shares]]+Posts[[#This Row],[Comments]])/Posts[[#This Row],[Impressions]]</f>
        <v>#DIV/0!</v>
      </c>
    </row>
    <row r="523" spans="3:12" x14ac:dyDescent="0.2">
      <c r="C523" s="1"/>
      <c r="L523" s="23" t="e">
        <f>(Posts[[#This Row],[Likes]]+Posts[[#This Row],[Shares]]+Posts[[#This Row],[Comments]])/Posts[[#This Row],[Impressions]]</f>
        <v>#DIV/0!</v>
      </c>
    </row>
    <row r="524" spans="3:12" x14ac:dyDescent="0.2">
      <c r="C524" s="1"/>
      <c r="L524" s="23" t="e">
        <f>(Posts[[#This Row],[Likes]]+Posts[[#This Row],[Shares]]+Posts[[#This Row],[Comments]])/Posts[[#This Row],[Impressions]]</f>
        <v>#DIV/0!</v>
      </c>
    </row>
    <row r="525" spans="3:12" x14ac:dyDescent="0.2">
      <c r="C525" s="1"/>
      <c r="L525" s="23" t="e">
        <f>(Posts[[#This Row],[Likes]]+Posts[[#This Row],[Shares]]+Posts[[#This Row],[Comments]])/Posts[[#This Row],[Impressions]]</f>
        <v>#DIV/0!</v>
      </c>
    </row>
    <row r="526" spans="3:12" x14ac:dyDescent="0.2">
      <c r="C526" s="1"/>
      <c r="L526" s="23" t="e">
        <f>(Posts[[#This Row],[Likes]]+Posts[[#This Row],[Shares]]+Posts[[#This Row],[Comments]])/Posts[[#This Row],[Impressions]]</f>
        <v>#DIV/0!</v>
      </c>
    </row>
    <row r="527" spans="3:12" x14ac:dyDescent="0.2">
      <c r="C527" s="1"/>
      <c r="L527" s="23" t="e">
        <f>(Posts[[#This Row],[Likes]]+Posts[[#This Row],[Shares]]+Posts[[#This Row],[Comments]])/Posts[[#This Row],[Impressions]]</f>
        <v>#DIV/0!</v>
      </c>
    </row>
    <row r="528" spans="3:12" x14ac:dyDescent="0.2">
      <c r="C528" s="1"/>
      <c r="L528" s="23" t="e">
        <f>(Posts[[#This Row],[Likes]]+Posts[[#This Row],[Shares]]+Posts[[#This Row],[Comments]])/Posts[[#This Row],[Impressions]]</f>
        <v>#DIV/0!</v>
      </c>
    </row>
    <row r="529" spans="3:12" x14ac:dyDescent="0.2">
      <c r="C529" s="1"/>
      <c r="L529" s="23" t="e">
        <f>(Posts[[#This Row],[Likes]]+Posts[[#This Row],[Shares]]+Posts[[#This Row],[Comments]])/Posts[[#This Row],[Impressions]]</f>
        <v>#DIV/0!</v>
      </c>
    </row>
    <row r="530" spans="3:12" x14ac:dyDescent="0.2">
      <c r="C530" s="1"/>
      <c r="L530" s="23" t="e">
        <f>(Posts[[#This Row],[Likes]]+Posts[[#This Row],[Shares]]+Posts[[#This Row],[Comments]])/Posts[[#This Row],[Impressions]]</f>
        <v>#DIV/0!</v>
      </c>
    </row>
    <row r="531" spans="3:12" x14ac:dyDescent="0.2">
      <c r="C531" s="1"/>
      <c r="L531" s="23" t="e">
        <f>(Posts[[#This Row],[Likes]]+Posts[[#This Row],[Shares]]+Posts[[#This Row],[Comments]])/Posts[[#This Row],[Impressions]]</f>
        <v>#DIV/0!</v>
      </c>
    </row>
    <row r="532" spans="3:12" x14ac:dyDescent="0.2">
      <c r="C532" s="1"/>
      <c r="L532" s="23" t="e">
        <f>(Posts[[#This Row],[Likes]]+Posts[[#This Row],[Shares]]+Posts[[#This Row],[Comments]])/Posts[[#This Row],[Impressions]]</f>
        <v>#DIV/0!</v>
      </c>
    </row>
    <row r="533" spans="3:12" x14ac:dyDescent="0.2">
      <c r="C533" s="1"/>
      <c r="L533" s="23" t="e">
        <f>(Posts[[#This Row],[Likes]]+Posts[[#This Row],[Shares]]+Posts[[#This Row],[Comments]])/Posts[[#This Row],[Impressions]]</f>
        <v>#DIV/0!</v>
      </c>
    </row>
    <row r="534" spans="3:12" x14ac:dyDescent="0.2">
      <c r="C534" s="1"/>
      <c r="L534" s="23" t="e">
        <f>(Posts[[#This Row],[Likes]]+Posts[[#This Row],[Shares]]+Posts[[#This Row],[Comments]])/Posts[[#This Row],[Impressions]]</f>
        <v>#DIV/0!</v>
      </c>
    </row>
    <row r="535" spans="3:12" x14ac:dyDescent="0.2">
      <c r="C535" s="1"/>
      <c r="L535" s="23" t="e">
        <f>(Posts[[#This Row],[Likes]]+Posts[[#This Row],[Shares]]+Posts[[#This Row],[Comments]])/Posts[[#This Row],[Impressions]]</f>
        <v>#DIV/0!</v>
      </c>
    </row>
    <row r="536" spans="3:12" x14ac:dyDescent="0.2">
      <c r="C536" s="1"/>
      <c r="L536" s="23" t="e">
        <f>(Posts[[#This Row],[Likes]]+Posts[[#This Row],[Shares]]+Posts[[#This Row],[Comments]])/Posts[[#This Row],[Impressions]]</f>
        <v>#DIV/0!</v>
      </c>
    </row>
    <row r="537" spans="3:12" x14ac:dyDescent="0.2">
      <c r="C537" s="1"/>
      <c r="L537" s="23" t="e">
        <f>(Posts[[#This Row],[Likes]]+Posts[[#This Row],[Shares]]+Posts[[#This Row],[Comments]])/Posts[[#This Row],[Impressions]]</f>
        <v>#DIV/0!</v>
      </c>
    </row>
    <row r="538" spans="3:12" x14ac:dyDescent="0.2">
      <c r="C538" s="1"/>
      <c r="L538" s="23" t="e">
        <f>(Posts[[#This Row],[Likes]]+Posts[[#This Row],[Shares]]+Posts[[#This Row],[Comments]])/Posts[[#This Row],[Impressions]]</f>
        <v>#DIV/0!</v>
      </c>
    </row>
    <row r="539" spans="3:12" x14ac:dyDescent="0.2">
      <c r="C539" s="1"/>
      <c r="L539" s="23" t="e">
        <f>(Posts[[#This Row],[Likes]]+Posts[[#This Row],[Shares]]+Posts[[#This Row],[Comments]])/Posts[[#This Row],[Impressions]]</f>
        <v>#DIV/0!</v>
      </c>
    </row>
    <row r="540" spans="3:12" x14ac:dyDescent="0.2">
      <c r="C540" s="1"/>
      <c r="L540" s="23" t="e">
        <f>(Posts[[#This Row],[Likes]]+Posts[[#This Row],[Shares]]+Posts[[#This Row],[Comments]])/Posts[[#This Row],[Impressions]]</f>
        <v>#DIV/0!</v>
      </c>
    </row>
    <row r="541" spans="3:12" x14ac:dyDescent="0.2">
      <c r="C541" s="1"/>
      <c r="L541" s="23" t="e">
        <f>(Posts[[#This Row],[Likes]]+Posts[[#This Row],[Shares]]+Posts[[#This Row],[Comments]])/Posts[[#This Row],[Impressions]]</f>
        <v>#DIV/0!</v>
      </c>
    </row>
    <row r="542" spans="3:12" x14ac:dyDescent="0.2">
      <c r="C542" s="1"/>
      <c r="L542" s="23" t="e">
        <f>(Posts[[#This Row],[Likes]]+Posts[[#This Row],[Shares]]+Posts[[#This Row],[Comments]])/Posts[[#This Row],[Impressions]]</f>
        <v>#DIV/0!</v>
      </c>
    </row>
    <row r="543" spans="3:12" x14ac:dyDescent="0.2">
      <c r="C543" s="1"/>
      <c r="L543" s="23" t="e">
        <f>(Posts[[#This Row],[Likes]]+Posts[[#This Row],[Shares]]+Posts[[#This Row],[Comments]])/Posts[[#This Row],[Impressions]]</f>
        <v>#DIV/0!</v>
      </c>
    </row>
    <row r="544" spans="3:12" x14ac:dyDescent="0.2">
      <c r="C544" s="1"/>
      <c r="L544" s="23" t="e">
        <f>(Posts[[#This Row],[Likes]]+Posts[[#This Row],[Shares]]+Posts[[#This Row],[Comments]])/Posts[[#This Row],[Impressions]]</f>
        <v>#DIV/0!</v>
      </c>
    </row>
    <row r="545" spans="3:12" x14ac:dyDescent="0.2">
      <c r="C545" s="1"/>
      <c r="L545" s="23" t="e">
        <f>(Posts[[#This Row],[Likes]]+Posts[[#This Row],[Shares]]+Posts[[#This Row],[Comments]])/Posts[[#This Row],[Impressions]]</f>
        <v>#DIV/0!</v>
      </c>
    </row>
    <row r="546" spans="3:12" x14ac:dyDescent="0.2">
      <c r="C546" s="1"/>
      <c r="L546" s="23" t="e">
        <f>(Posts[[#This Row],[Likes]]+Posts[[#This Row],[Shares]]+Posts[[#This Row],[Comments]])/Posts[[#This Row],[Impressions]]</f>
        <v>#DIV/0!</v>
      </c>
    </row>
    <row r="547" spans="3:12" x14ac:dyDescent="0.2">
      <c r="C547" s="1"/>
      <c r="L547" s="23" t="e">
        <f>(Posts[[#This Row],[Likes]]+Posts[[#This Row],[Shares]]+Posts[[#This Row],[Comments]])/Posts[[#This Row],[Impressions]]</f>
        <v>#DIV/0!</v>
      </c>
    </row>
    <row r="548" spans="3:12" x14ac:dyDescent="0.2">
      <c r="C548" s="1"/>
      <c r="L548" s="23" t="e">
        <f>(Posts[[#This Row],[Likes]]+Posts[[#This Row],[Shares]]+Posts[[#This Row],[Comments]])/Posts[[#This Row],[Impressions]]</f>
        <v>#DIV/0!</v>
      </c>
    </row>
    <row r="549" spans="3:12" x14ac:dyDescent="0.2">
      <c r="C549" s="1"/>
      <c r="L549" s="23" t="e">
        <f>(Posts[[#This Row],[Likes]]+Posts[[#This Row],[Shares]]+Posts[[#This Row],[Comments]])/Posts[[#This Row],[Impressions]]</f>
        <v>#DIV/0!</v>
      </c>
    </row>
    <row r="550" spans="3:12" x14ac:dyDescent="0.2">
      <c r="C550" s="1"/>
      <c r="L550" s="23" t="e">
        <f>(Posts[[#This Row],[Likes]]+Posts[[#This Row],[Shares]]+Posts[[#This Row],[Comments]])/Posts[[#This Row],[Impressions]]</f>
        <v>#DIV/0!</v>
      </c>
    </row>
    <row r="551" spans="3:12" x14ac:dyDescent="0.2">
      <c r="C551" s="1"/>
      <c r="L551" s="23" t="e">
        <f>(Posts[[#This Row],[Likes]]+Posts[[#This Row],[Shares]]+Posts[[#This Row],[Comments]])/Posts[[#This Row],[Impressions]]</f>
        <v>#DIV/0!</v>
      </c>
    </row>
    <row r="552" spans="3:12" x14ac:dyDescent="0.2">
      <c r="C552" s="1"/>
      <c r="L552" s="23" t="e">
        <f>(Posts[[#This Row],[Likes]]+Posts[[#This Row],[Shares]]+Posts[[#This Row],[Comments]])/Posts[[#This Row],[Impressions]]</f>
        <v>#DIV/0!</v>
      </c>
    </row>
    <row r="553" spans="3:12" x14ac:dyDescent="0.2">
      <c r="C553" s="1"/>
      <c r="L553" s="23" t="e">
        <f>(Posts[[#This Row],[Likes]]+Posts[[#This Row],[Shares]]+Posts[[#This Row],[Comments]])/Posts[[#This Row],[Impressions]]</f>
        <v>#DIV/0!</v>
      </c>
    </row>
    <row r="554" spans="3:12" x14ac:dyDescent="0.2">
      <c r="C554" s="1"/>
      <c r="L554" s="23" t="e">
        <f>(Posts[[#This Row],[Likes]]+Posts[[#This Row],[Shares]]+Posts[[#This Row],[Comments]])/Posts[[#This Row],[Impressions]]</f>
        <v>#DIV/0!</v>
      </c>
    </row>
    <row r="555" spans="3:12" x14ac:dyDescent="0.2">
      <c r="C555" s="1"/>
      <c r="L555" s="23" t="e">
        <f>(Posts[[#This Row],[Likes]]+Posts[[#This Row],[Shares]]+Posts[[#This Row],[Comments]])/Posts[[#This Row],[Impressions]]</f>
        <v>#DIV/0!</v>
      </c>
    </row>
    <row r="556" spans="3:12" x14ac:dyDescent="0.2">
      <c r="C556" s="1"/>
      <c r="L556" s="23" t="e">
        <f>(Posts[[#This Row],[Likes]]+Posts[[#This Row],[Shares]]+Posts[[#This Row],[Comments]])/Posts[[#This Row],[Impressions]]</f>
        <v>#DIV/0!</v>
      </c>
    </row>
    <row r="557" spans="3:12" x14ac:dyDescent="0.2">
      <c r="C557" s="1"/>
      <c r="L557" s="23" t="e">
        <f>(Posts[[#This Row],[Likes]]+Posts[[#This Row],[Shares]]+Posts[[#This Row],[Comments]])/Posts[[#This Row],[Impressions]]</f>
        <v>#DIV/0!</v>
      </c>
    </row>
    <row r="558" spans="3:12" x14ac:dyDescent="0.2">
      <c r="C558" s="1"/>
      <c r="L558" s="23" t="e">
        <f>(Posts[[#This Row],[Likes]]+Posts[[#This Row],[Shares]]+Posts[[#This Row],[Comments]])/Posts[[#This Row],[Impressions]]</f>
        <v>#DIV/0!</v>
      </c>
    </row>
    <row r="559" spans="3:12" x14ac:dyDescent="0.2">
      <c r="C559" s="1"/>
      <c r="L559" s="23" t="e">
        <f>(Posts[[#This Row],[Likes]]+Posts[[#This Row],[Shares]]+Posts[[#This Row],[Comments]])/Posts[[#This Row],[Impressions]]</f>
        <v>#DIV/0!</v>
      </c>
    </row>
    <row r="560" spans="3:12" x14ac:dyDescent="0.2">
      <c r="C560" s="1"/>
      <c r="L560" s="23" t="e">
        <f>(Posts[[#This Row],[Likes]]+Posts[[#This Row],[Shares]]+Posts[[#This Row],[Comments]])/Posts[[#This Row],[Impressions]]</f>
        <v>#DIV/0!</v>
      </c>
    </row>
    <row r="561" spans="3:12" x14ac:dyDescent="0.2">
      <c r="C561" s="1"/>
      <c r="L561" s="23" t="e">
        <f>(Posts[[#This Row],[Likes]]+Posts[[#This Row],[Shares]]+Posts[[#This Row],[Comments]])/Posts[[#This Row],[Impressions]]</f>
        <v>#DIV/0!</v>
      </c>
    </row>
    <row r="562" spans="3:12" x14ac:dyDescent="0.2">
      <c r="C562" s="1"/>
      <c r="L562" s="23" t="e">
        <f>(Posts[[#This Row],[Likes]]+Posts[[#This Row],[Shares]]+Posts[[#This Row],[Comments]])/Posts[[#This Row],[Impressions]]</f>
        <v>#DIV/0!</v>
      </c>
    </row>
    <row r="563" spans="3:12" x14ac:dyDescent="0.2">
      <c r="C563" s="1"/>
      <c r="L563" s="23" t="e">
        <f>(Posts[[#This Row],[Likes]]+Posts[[#This Row],[Shares]]+Posts[[#This Row],[Comments]])/Posts[[#This Row],[Impressions]]</f>
        <v>#DIV/0!</v>
      </c>
    </row>
    <row r="564" spans="3:12" x14ac:dyDescent="0.2">
      <c r="C564" s="1"/>
      <c r="L564" s="23" t="e">
        <f>(Posts[[#This Row],[Likes]]+Posts[[#This Row],[Shares]]+Posts[[#This Row],[Comments]])/Posts[[#This Row],[Impressions]]</f>
        <v>#DIV/0!</v>
      </c>
    </row>
    <row r="565" spans="3:12" x14ac:dyDescent="0.2">
      <c r="C565" s="1"/>
      <c r="L565" s="23" t="e">
        <f>(Posts[[#This Row],[Likes]]+Posts[[#This Row],[Shares]]+Posts[[#This Row],[Comments]])/Posts[[#This Row],[Impressions]]</f>
        <v>#DIV/0!</v>
      </c>
    </row>
    <row r="566" spans="3:12" x14ac:dyDescent="0.2">
      <c r="C566" s="1"/>
      <c r="L566" s="23" t="e">
        <f>(Posts[[#This Row],[Likes]]+Posts[[#This Row],[Shares]]+Posts[[#This Row],[Comments]])/Posts[[#This Row],[Impressions]]</f>
        <v>#DIV/0!</v>
      </c>
    </row>
    <row r="567" spans="3:12" x14ac:dyDescent="0.2">
      <c r="C567" s="1"/>
      <c r="L567" s="23" t="e">
        <f>(Posts[[#This Row],[Likes]]+Posts[[#This Row],[Shares]]+Posts[[#This Row],[Comments]])/Posts[[#This Row],[Impressions]]</f>
        <v>#DIV/0!</v>
      </c>
    </row>
    <row r="568" spans="3:12" x14ac:dyDescent="0.2">
      <c r="C568" s="1"/>
      <c r="L568" s="23" t="e">
        <f>(Posts[[#This Row],[Likes]]+Posts[[#This Row],[Shares]]+Posts[[#This Row],[Comments]])/Posts[[#This Row],[Impressions]]</f>
        <v>#DIV/0!</v>
      </c>
    </row>
    <row r="569" spans="3:12" x14ac:dyDescent="0.2">
      <c r="C569" s="1"/>
      <c r="L569" s="23" t="e">
        <f>(Posts[[#This Row],[Likes]]+Posts[[#This Row],[Shares]]+Posts[[#This Row],[Comments]])/Posts[[#This Row],[Impressions]]</f>
        <v>#DIV/0!</v>
      </c>
    </row>
    <row r="570" spans="3:12" x14ac:dyDescent="0.2">
      <c r="C570" s="1"/>
      <c r="L570" s="23" t="e">
        <f>(Posts[[#This Row],[Likes]]+Posts[[#This Row],[Shares]]+Posts[[#This Row],[Comments]])/Posts[[#This Row],[Impressions]]</f>
        <v>#DIV/0!</v>
      </c>
    </row>
    <row r="571" spans="3:12" x14ac:dyDescent="0.2">
      <c r="C571" s="1"/>
      <c r="L571" s="23" t="e">
        <f>(Posts[[#This Row],[Likes]]+Posts[[#This Row],[Shares]]+Posts[[#This Row],[Comments]])/Posts[[#This Row],[Impressions]]</f>
        <v>#DIV/0!</v>
      </c>
    </row>
    <row r="572" spans="3:12" x14ac:dyDescent="0.2">
      <c r="C572" s="1"/>
      <c r="L572" s="23" t="e">
        <f>(Posts[[#This Row],[Likes]]+Posts[[#This Row],[Shares]]+Posts[[#This Row],[Comments]])/Posts[[#This Row],[Impressions]]</f>
        <v>#DIV/0!</v>
      </c>
    </row>
    <row r="573" spans="3:12" x14ac:dyDescent="0.2">
      <c r="C573" s="1"/>
      <c r="L573" s="23" t="e">
        <f>(Posts[[#This Row],[Likes]]+Posts[[#This Row],[Shares]]+Posts[[#This Row],[Comments]])/Posts[[#This Row],[Impressions]]</f>
        <v>#DIV/0!</v>
      </c>
    </row>
    <row r="574" spans="3:12" x14ac:dyDescent="0.2">
      <c r="C574" s="1"/>
      <c r="L574" s="23" t="e">
        <f>(Posts[[#This Row],[Likes]]+Posts[[#This Row],[Shares]]+Posts[[#This Row],[Comments]])/Posts[[#This Row],[Impressions]]</f>
        <v>#DIV/0!</v>
      </c>
    </row>
    <row r="575" spans="3:12" x14ac:dyDescent="0.2">
      <c r="C575" s="1"/>
      <c r="L575" s="23" t="e">
        <f>(Posts[[#This Row],[Likes]]+Posts[[#This Row],[Shares]]+Posts[[#This Row],[Comments]])/Posts[[#This Row],[Impressions]]</f>
        <v>#DIV/0!</v>
      </c>
    </row>
    <row r="576" spans="3:12" x14ac:dyDescent="0.2">
      <c r="C576" s="1"/>
      <c r="L576" s="23" t="e">
        <f>(Posts[[#This Row],[Likes]]+Posts[[#This Row],[Shares]]+Posts[[#This Row],[Comments]])/Posts[[#This Row],[Impressions]]</f>
        <v>#DIV/0!</v>
      </c>
    </row>
    <row r="577" spans="3:12" x14ac:dyDescent="0.2">
      <c r="C577" s="1"/>
      <c r="L577" s="23" t="e">
        <f>(Posts[[#This Row],[Likes]]+Posts[[#This Row],[Shares]]+Posts[[#This Row],[Comments]])/Posts[[#This Row],[Impressions]]</f>
        <v>#DIV/0!</v>
      </c>
    </row>
    <row r="578" spans="3:12" x14ac:dyDescent="0.2">
      <c r="C578" s="1"/>
      <c r="L578" s="23" t="e">
        <f>(Posts[[#This Row],[Likes]]+Posts[[#This Row],[Shares]]+Posts[[#This Row],[Comments]])/Posts[[#This Row],[Impressions]]</f>
        <v>#DIV/0!</v>
      </c>
    </row>
    <row r="579" spans="3:12" x14ac:dyDescent="0.2">
      <c r="C579" s="1"/>
      <c r="L579" s="23" t="e">
        <f>(Posts[[#This Row],[Likes]]+Posts[[#This Row],[Shares]]+Posts[[#This Row],[Comments]])/Posts[[#This Row],[Impressions]]</f>
        <v>#DIV/0!</v>
      </c>
    </row>
    <row r="580" spans="3:12" x14ac:dyDescent="0.2">
      <c r="C580" s="1"/>
      <c r="L580" s="23" t="e">
        <f>(Posts[[#This Row],[Likes]]+Posts[[#This Row],[Shares]]+Posts[[#This Row],[Comments]])/Posts[[#This Row],[Impressions]]</f>
        <v>#DIV/0!</v>
      </c>
    </row>
    <row r="581" spans="3:12" x14ac:dyDescent="0.2">
      <c r="C581" s="1"/>
      <c r="L581" s="23" t="e">
        <f>(Posts[[#This Row],[Likes]]+Posts[[#This Row],[Shares]]+Posts[[#This Row],[Comments]])/Posts[[#This Row],[Impressions]]</f>
        <v>#DIV/0!</v>
      </c>
    </row>
    <row r="582" spans="3:12" x14ac:dyDescent="0.2">
      <c r="C582" s="1"/>
      <c r="L582" s="23" t="e">
        <f>(Posts[[#This Row],[Likes]]+Posts[[#This Row],[Shares]]+Posts[[#This Row],[Comments]])/Posts[[#This Row],[Impressions]]</f>
        <v>#DIV/0!</v>
      </c>
    </row>
    <row r="583" spans="3:12" x14ac:dyDescent="0.2">
      <c r="C583" s="1"/>
      <c r="L583" s="23" t="e">
        <f>(Posts[[#This Row],[Likes]]+Posts[[#This Row],[Shares]]+Posts[[#This Row],[Comments]])/Posts[[#This Row],[Impressions]]</f>
        <v>#DIV/0!</v>
      </c>
    </row>
    <row r="584" spans="3:12" x14ac:dyDescent="0.2">
      <c r="C584" s="1"/>
      <c r="L584" s="23" t="e">
        <f>(Posts[[#This Row],[Likes]]+Posts[[#This Row],[Shares]]+Posts[[#This Row],[Comments]])/Posts[[#This Row],[Impressions]]</f>
        <v>#DIV/0!</v>
      </c>
    </row>
    <row r="585" spans="3:12" x14ac:dyDescent="0.2">
      <c r="C585" s="1"/>
      <c r="L585" s="23" t="e">
        <f>(Posts[[#This Row],[Likes]]+Posts[[#This Row],[Shares]]+Posts[[#This Row],[Comments]])/Posts[[#This Row],[Impressions]]</f>
        <v>#DIV/0!</v>
      </c>
    </row>
    <row r="586" spans="3:12" x14ac:dyDescent="0.2">
      <c r="C586" s="1"/>
      <c r="L586" s="23" t="e">
        <f>(Posts[[#This Row],[Likes]]+Posts[[#This Row],[Shares]]+Posts[[#This Row],[Comments]])/Posts[[#This Row],[Impressions]]</f>
        <v>#DIV/0!</v>
      </c>
    </row>
    <row r="587" spans="3:12" x14ac:dyDescent="0.2">
      <c r="C587" s="1"/>
      <c r="L587" s="23" t="e">
        <f>(Posts[[#This Row],[Likes]]+Posts[[#This Row],[Shares]]+Posts[[#This Row],[Comments]])/Posts[[#This Row],[Impressions]]</f>
        <v>#DIV/0!</v>
      </c>
    </row>
    <row r="588" spans="3:12" x14ac:dyDescent="0.2">
      <c r="C588" s="1"/>
      <c r="L588" s="23" t="e">
        <f>(Posts[[#This Row],[Likes]]+Posts[[#This Row],[Shares]]+Posts[[#This Row],[Comments]])/Posts[[#This Row],[Impressions]]</f>
        <v>#DIV/0!</v>
      </c>
    </row>
    <row r="589" spans="3:12" x14ac:dyDescent="0.2">
      <c r="C589" s="1"/>
      <c r="L589" s="23" t="e">
        <f>(Posts[[#This Row],[Likes]]+Posts[[#This Row],[Shares]]+Posts[[#This Row],[Comments]])/Posts[[#This Row],[Impressions]]</f>
        <v>#DIV/0!</v>
      </c>
    </row>
    <row r="590" spans="3:12" x14ac:dyDescent="0.2">
      <c r="C590" s="1"/>
      <c r="L590" s="23" t="e">
        <f>(Posts[[#This Row],[Likes]]+Posts[[#This Row],[Shares]]+Posts[[#This Row],[Comments]])/Posts[[#This Row],[Impressions]]</f>
        <v>#DIV/0!</v>
      </c>
    </row>
    <row r="591" spans="3:12" x14ac:dyDescent="0.2">
      <c r="C591" s="1"/>
      <c r="L591" s="23" t="e">
        <f>(Posts[[#This Row],[Likes]]+Posts[[#This Row],[Shares]]+Posts[[#This Row],[Comments]])/Posts[[#This Row],[Impressions]]</f>
        <v>#DIV/0!</v>
      </c>
    </row>
    <row r="592" spans="3:12" x14ac:dyDescent="0.2">
      <c r="C592" s="1"/>
      <c r="L592" s="23" t="e">
        <f>(Posts[[#This Row],[Likes]]+Posts[[#This Row],[Shares]]+Posts[[#This Row],[Comments]])/Posts[[#This Row],[Impressions]]</f>
        <v>#DIV/0!</v>
      </c>
    </row>
    <row r="593" spans="3:12" x14ac:dyDescent="0.2">
      <c r="C593" s="1"/>
      <c r="L593" s="23" t="e">
        <f>(Posts[[#This Row],[Likes]]+Posts[[#This Row],[Shares]]+Posts[[#This Row],[Comments]])/Posts[[#This Row],[Impressions]]</f>
        <v>#DIV/0!</v>
      </c>
    </row>
    <row r="594" spans="3:12" x14ac:dyDescent="0.2">
      <c r="C594" s="1"/>
      <c r="L594" s="23" t="e">
        <f>(Posts[[#This Row],[Likes]]+Posts[[#This Row],[Shares]]+Posts[[#This Row],[Comments]])/Posts[[#This Row],[Impressions]]</f>
        <v>#DIV/0!</v>
      </c>
    </row>
    <row r="595" spans="3:12" x14ac:dyDescent="0.2">
      <c r="C595" s="1"/>
      <c r="L595" s="23" t="e">
        <f>(Posts[[#This Row],[Likes]]+Posts[[#This Row],[Shares]]+Posts[[#This Row],[Comments]])/Posts[[#This Row],[Impressions]]</f>
        <v>#DIV/0!</v>
      </c>
    </row>
    <row r="596" spans="3:12" x14ac:dyDescent="0.2">
      <c r="C596" s="1"/>
      <c r="L596" s="23" t="e">
        <f>(Posts[[#This Row],[Likes]]+Posts[[#This Row],[Shares]]+Posts[[#This Row],[Comments]])/Posts[[#This Row],[Impressions]]</f>
        <v>#DIV/0!</v>
      </c>
    </row>
    <row r="597" spans="3:12" x14ac:dyDescent="0.2">
      <c r="C597" s="1"/>
      <c r="L597" s="23" t="e">
        <f>(Posts[[#This Row],[Likes]]+Posts[[#This Row],[Shares]]+Posts[[#This Row],[Comments]])/Posts[[#This Row],[Impressions]]</f>
        <v>#DIV/0!</v>
      </c>
    </row>
    <row r="598" spans="3:12" x14ac:dyDescent="0.2">
      <c r="C598" s="1"/>
      <c r="L598" s="23" t="e">
        <f>(Posts[[#This Row],[Likes]]+Posts[[#This Row],[Shares]]+Posts[[#This Row],[Comments]])/Posts[[#This Row],[Impressions]]</f>
        <v>#DIV/0!</v>
      </c>
    </row>
    <row r="599" spans="3:12" x14ac:dyDescent="0.2">
      <c r="C599" s="1"/>
      <c r="L599" s="23" t="e">
        <f>(Posts[[#This Row],[Likes]]+Posts[[#This Row],[Shares]]+Posts[[#This Row],[Comments]])/Posts[[#This Row],[Impressions]]</f>
        <v>#DIV/0!</v>
      </c>
    </row>
    <row r="600" spans="3:12" x14ac:dyDescent="0.2">
      <c r="C600" s="1"/>
      <c r="L600" s="23" t="e">
        <f>(Posts[[#This Row],[Likes]]+Posts[[#This Row],[Shares]]+Posts[[#This Row],[Comments]])/Posts[[#This Row],[Impressions]]</f>
        <v>#DIV/0!</v>
      </c>
    </row>
    <row r="601" spans="3:12" x14ac:dyDescent="0.2">
      <c r="C601" s="1"/>
      <c r="L601" s="23" t="e">
        <f>(Posts[[#This Row],[Likes]]+Posts[[#This Row],[Shares]]+Posts[[#This Row],[Comments]])/Posts[[#This Row],[Impressions]]</f>
        <v>#DIV/0!</v>
      </c>
    </row>
    <row r="602" spans="3:12" x14ac:dyDescent="0.2">
      <c r="C602" s="1"/>
      <c r="L602" s="23" t="e">
        <f>(Posts[[#This Row],[Likes]]+Posts[[#This Row],[Shares]]+Posts[[#This Row],[Comments]])/Posts[[#This Row],[Impressions]]</f>
        <v>#DIV/0!</v>
      </c>
    </row>
    <row r="603" spans="3:12" x14ac:dyDescent="0.2">
      <c r="C603" s="1"/>
      <c r="L603" s="23" t="e">
        <f>(Posts[[#This Row],[Likes]]+Posts[[#This Row],[Shares]]+Posts[[#This Row],[Comments]])/Posts[[#This Row],[Impressions]]</f>
        <v>#DIV/0!</v>
      </c>
    </row>
    <row r="604" spans="3:12" x14ac:dyDescent="0.2">
      <c r="C604" s="1"/>
      <c r="L604" s="23" t="e">
        <f>(Posts[[#This Row],[Likes]]+Posts[[#This Row],[Shares]]+Posts[[#This Row],[Comments]])/Posts[[#This Row],[Impressions]]</f>
        <v>#DIV/0!</v>
      </c>
    </row>
    <row r="605" spans="3:12" x14ac:dyDescent="0.2">
      <c r="C605" s="1"/>
      <c r="L605" s="23" t="e">
        <f>(Posts[[#This Row],[Likes]]+Posts[[#This Row],[Shares]]+Posts[[#This Row],[Comments]])/Posts[[#This Row],[Impressions]]</f>
        <v>#DIV/0!</v>
      </c>
    </row>
    <row r="606" spans="3:12" x14ac:dyDescent="0.2">
      <c r="C606" s="1"/>
      <c r="L606" s="23" t="e">
        <f>(Posts[[#This Row],[Likes]]+Posts[[#This Row],[Shares]]+Posts[[#This Row],[Comments]])/Posts[[#This Row],[Impressions]]</f>
        <v>#DIV/0!</v>
      </c>
    </row>
    <row r="607" spans="3:12" x14ac:dyDescent="0.2">
      <c r="C607" s="1"/>
      <c r="L607" s="23" t="e">
        <f>(Posts[[#This Row],[Likes]]+Posts[[#This Row],[Shares]]+Posts[[#This Row],[Comments]])/Posts[[#This Row],[Impressions]]</f>
        <v>#DIV/0!</v>
      </c>
    </row>
    <row r="608" spans="3:12" x14ac:dyDescent="0.2">
      <c r="C608" s="1"/>
      <c r="L608" s="23" t="e">
        <f>(Posts[[#This Row],[Likes]]+Posts[[#This Row],[Shares]]+Posts[[#This Row],[Comments]])/Posts[[#This Row],[Impressions]]</f>
        <v>#DIV/0!</v>
      </c>
    </row>
    <row r="609" spans="3:12" x14ac:dyDescent="0.2">
      <c r="C609" s="1"/>
      <c r="L609" s="23" t="e">
        <f>(Posts[[#This Row],[Likes]]+Posts[[#This Row],[Shares]]+Posts[[#This Row],[Comments]])/Posts[[#This Row],[Impressions]]</f>
        <v>#DIV/0!</v>
      </c>
    </row>
    <row r="610" spans="3:12" x14ac:dyDescent="0.2">
      <c r="C610" s="1"/>
      <c r="L610" s="23" t="e">
        <f>(Posts[[#This Row],[Likes]]+Posts[[#This Row],[Shares]]+Posts[[#This Row],[Comments]])/Posts[[#This Row],[Impressions]]</f>
        <v>#DIV/0!</v>
      </c>
    </row>
    <row r="611" spans="3:12" x14ac:dyDescent="0.2">
      <c r="C611" s="1"/>
      <c r="L611" s="23" t="e">
        <f>(Posts[[#This Row],[Likes]]+Posts[[#This Row],[Shares]]+Posts[[#This Row],[Comments]])/Posts[[#This Row],[Impressions]]</f>
        <v>#DIV/0!</v>
      </c>
    </row>
    <row r="612" spans="3:12" x14ac:dyDescent="0.2">
      <c r="C612" s="1"/>
      <c r="L612" s="23" t="e">
        <f>(Posts[[#This Row],[Likes]]+Posts[[#This Row],[Shares]]+Posts[[#This Row],[Comments]])/Posts[[#This Row],[Impressions]]</f>
        <v>#DIV/0!</v>
      </c>
    </row>
    <row r="613" spans="3:12" x14ac:dyDescent="0.2">
      <c r="C613" s="1"/>
      <c r="L613" s="23" t="e">
        <f>(Posts[[#This Row],[Likes]]+Posts[[#This Row],[Shares]]+Posts[[#This Row],[Comments]])/Posts[[#This Row],[Impressions]]</f>
        <v>#DIV/0!</v>
      </c>
    </row>
    <row r="614" spans="3:12" x14ac:dyDescent="0.2">
      <c r="C614" s="1"/>
      <c r="L614" s="23" t="e">
        <f>(Posts[[#This Row],[Likes]]+Posts[[#This Row],[Shares]]+Posts[[#This Row],[Comments]])/Posts[[#This Row],[Impressions]]</f>
        <v>#DIV/0!</v>
      </c>
    </row>
    <row r="615" spans="3:12" x14ac:dyDescent="0.2">
      <c r="C615" s="1"/>
      <c r="L615" s="23" t="e">
        <f>(Posts[[#This Row],[Likes]]+Posts[[#This Row],[Shares]]+Posts[[#This Row],[Comments]])/Posts[[#This Row],[Impressions]]</f>
        <v>#DIV/0!</v>
      </c>
    </row>
    <row r="616" spans="3:12" x14ac:dyDescent="0.2">
      <c r="C616" s="1"/>
      <c r="L616" s="23" t="e">
        <f>(Posts[[#This Row],[Likes]]+Posts[[#This Row],[Shares]]+Posts[[#This Row],[Comments]])/Posts[[#This Row],[Impressions]]</f>
        <v>#DIV/0!</v>
      </c>
    </row>
    <row r="617" spans="3:12" x14ac:dyDescent="0.2">
      <c r="C617" s="1"/>
      <c r="L617" s="23" t="e">
        <f>(Posts[[#This Row],[Likes]]+Posts[[#This Row],[Shares]]+Posts[[#This Row],[Comments]])/Posts[[#This Row],[Impressions]]</f>
        <v>#DIV/0!</v>
      </c>
    </row>
    <row r="618" spans="3:12" x14ac:dyDescent="0.2">
      <c r="C618" s="1"/>
      <c r="L618" s="23" t="e">
        <f>(Posts[[#This Row],[Likes]]+Posts[[#This Row],[Shares]]+Posts[[#This Row],[Comments]])/Posts[[#This Row],[Impressions]]</f>
        <v>#DIV/0!</v>
      </c>
    </row>
    <row r="619" spans="3:12" x14ac:dyDescent="0.2">
      <c r="C619" s="1"/>
      <c r="L619" s="23" t="e">
        <f>(Posts[[#This Row],[Likes]]+Posts[[#This Row],[Shares]]+Posts[[#This Row],[Comments]])/Posts[[#This Row],[Impressions]]</f>
        <v>#DIV/0!</v>
      </c>
    </row>
    <row r="620" spans="3:12" x14ac:dyDescent="0.2">
      <c r="C620" s="1"/>
      <c r="L620" s="23" t="e">
        <f>(Posts[[#This Row],[Likes]]+Posts[[#This Row],[Shares]]+Posts[[#This Row],[Comments]])/Posts[[#This Row],[Impressions]]</f>
        <v>#DIV/0!</v>
      </c>
    </row>
    <row r="621" spans="3:12" x14ac:dyDescent="0.2">
      <c r="C621" s="1"/>
      <c r="L621" s="23" t="e">
        <f>(Posts[[#This Row],[Likes]]+Posts[[#This Row],[Shares]]+Posts[[#This Row],[Comments]])/Posts[[#This Row],[Impressions]]</f>
        <v>#DIV/0!</v>
      </c>
    </row>
    <row r="622" spans="3:12" x14ac:dyDescent="0.2">
      <c r="C622" s="1"/>
      <c r="L622" s="23" t="e">
        <f>(Posts[[#This Row],[Likes]]+Posts[[#This Row],[Shares]]+Posts[[#This Row],[Comments]])/Posts[[#This Row],[Impressions]]</f>
        <v>#DIV/0!</v>
      </c>
    </row>
    <row r="623" spans="3:12" x14ac:dyDescent="0.2">
      <c r="C623" s="1"/>
      <c r="L623" s="23" t="e">
        <f>(Posts[[#This Row],[Likes]]+Posts[[#This Row],[Shares]]+Posts[[#This Row],[Comments]])/Posts[[#This Row],[Impressions]]</f>
        <v>#DIV/0!</v>
      </c>
    </row>
    <row r="624" spans="3:12" x14ac:dyDescent="0.2">
      <c r="C624" s="1"/>
      <c r="L624" s="23" t="e">
        <f>(Posts[[#This Row],[Likes]]+Posts[[#This Row],[Shares]]+Posts[[#This Row],[Comments]])/Posts[[#This Row],[Impressions]]</f>
        <v>#DIV/0!</v>
      </c>
    </row>
    <row r="625" spans="3:12" x14ac:dyDescent="0.2">
      <c r="C625" s="1"/>
      <c r="L625" s="23" t="e">
        <f>(Posts[[#This Row],[Likes]]+Posts[[#This Row],[Shares]]+Posts[[#This Row],[Comments]])/Posts[[#This Row],[Impressions]]</f>
        <v>#DIV/0!</v>
      </c>
    </row>
    <row r="626" spans="3:12" x14ac:dyDescent="0.2">
      <c r="C626" s="1"/>
      <c r="L626" s="23" t="e">
        <f>(Posts[[#This Row],[Likes]]+Posts[[#This Row],[Shares]]+Posts[[#This Row],[Comments]])/Posts[[#This Row],[Impressions]]</f>
        <v>#DIV/0!</v>
      </c>
    </row>
    <row r="627" spans="3:12" x14ac:dyDescent="0.2">
      <c r="C627" s="1"/>
      <c r="L627" s="23" t="e">
        <f>(Posts[[#This Row],[Likes]]+Posts[[#This Row],[Shares]]+Posts[[#This Row],[Comments]])/Posts[[#This Row],[Impressions]]</f>
        <v>#DIV/0!</v>
      </c>
    </row>
    <row r="628" spans="3:12" x14ac:dyDescent="0.2">
      <c r="C628" s="1"/>
      <c r="L628" s="23" t="e">
        <f>(Posts[[#This Row],[Likes]]+Posts[[#This Row],[Shares]]+Posts[[#This Row],[Comments]])/Posts[[#This Row],[Impressions]]</f>
        <v>#DIV/0!</v>
      </c>
    </row>
    <row r="629" spans="3:12" x14ac:dyDescent="0.2">
      <c r="C629" s="1"/>
      <c r="L629" s="23" t="e">
        <f>(Posts[[#This Row],[Likes]]+Posts[[#This Row],[Shares]]+Posts[[#This Row],[Comments]])/Posts[[#This Row],[Impressions]]</f>
        <v>#DIV/0!</v>
      </c>
    </row>
    <row r="630" spans="3:12" x14ac:dyDescent="0.2">
      <c r="C630" s="1"/>
      <c r="L630" s="23" t="e">
        <f>(Posts[[#This Row],[Likes]]+Posts[[#This Row],[Shares]]+Posts[[#This Row],[Comments]])/Posts[[#This Row],[Impressions]]</f>
        <v>#DIV/0!</v>
      </c>
    </row>
    <row r="631" spans="3:12" x14ac:dyDescent="0.2">
      <c r="C631" s="1"/>
      <c r="L631" s="23" t="e">
        <f>(Posts[[#This Row],[Likes]]+Posts[[#This Row],[Shares]]+Posts[[#This Row],[Comments]])/Posts[[#This Row],[Impressions]]</f>
        <v>#DIV/0!</v>
      </c>
    </row>
    <row r="632" spans="3:12" x14ac:dyDescent="0.2">
      <c r="C632" s="1"/>
      <c r="L632" s="23" t="e">
        <f>(Posts[[#This Row],[Likes]]+Posts[[#This Row],[Shares]]+Posts[[#This Row],[Comments]])/Posts[[#This Row],[Impressions]]</f>
        <v>#DIV/0!</v>
      </c>
    </row>
    <row r="633" spans="3:12" x14ac:dyDescent="0.2">
      <c r="C633" s="1"/>
      <c r="L633" s="23" t="e">
        <f>(Posts[[#This Row],[Likes]]+Posts[[#This Row],[Shares]]+Posts[[#This Row],[Comments]])/Posts[[#This Row],[Impressions]]</f>
        <v>#DIV/0!</v>
      </c>
    </row>
    <row r="634" spans="3:12" x14ac:dyDescent="0.2">
      <c r="C634" s="1"/>
      <c r="L634" s="23" t="e">
        <f>(Posts[[#This Row],[Likes]]+Posts[[#This Row],[Shares]]+Posts[[#This Row],[Comments]])/Posts[[#This Row],[Impressions]]</f>
        <v>#DIV/0!</v>
      </c>
    </row>
    <row r="635" spans="3:12" x14ac:dyDescent="0.2">
      <c r="C635" s="1"/>
      <c r="L635" s="23" t="e">
        <f>(Posts[[#This Row],[Likes]]+Posts[[#This Row],[Shares]]+Posts[[#This Row],[Comments]])/Posts[[#This Row],[Impressions]]</f>
        <v>#DIV/0!</v>
      </c>
    </row>
    <row r="636" spans="3:12" x14ac:dyDescent="0.2">
      <c r="C636" s="1"/>
      <c r="L636" s="23" t="e">
        <f>(Posts[[#This Row],[Likes]]+Posts[[#This Row],[Shares]]+Posts[[#This Row],[Comments]])/Posts[[#This Row],[Impressions]]</f>
        <v>#DIV/0!</v>
      </c>
    </row>
    <row r="637" spans="3:12" x14ac:dyDescent="0.2">
      <c r="C637" s="1"/>
      <c r="L637" s="23" t="e">
        <f>(Posts[[#This Row],[Likes]]+Posts[[#This Row],[Shares]]+Posts[[#This Row],[Comments]])/Posts[[#This Row],[Impressions]]</f>
        <v>#DIV/0!</v>
      </c>
    </row>
    <row r="638" spans="3:12" x14ac:dyDescent="0.2">
      <c r="C638" s="1"/>
      <c r="L638" s="23" t="e">
        <f>(Posts[[#This Row],[Likes]]+Posts[[#This Row],[Shares]]+Posts[[#This Row],[Comments]])/Posts[[#This Row],[Impressions]]</f>
        <v>#DIV/0!</v>
      </c>
    </row>
    <row r="639" spans="3:12" x14ac:dyDescent="0.2">
      <c r="C639" s="1"/>
      <c r="L639" s="23" t="e">
        <f>(Posts[[#This Row],[Likes]]+Posts[[#This Row],[Shares]]+Posts[[#This Row],[Comments]])/Posts[[#This Row],[Impressions]]</f>
        <v>#DIV/0!</v>
      </c>
    </row>
    <row r="640" spans="3:12" x14ac:dyDescent="0.2">
      <c r="C640" s="1"/>
      <c r="L640" s="23" t="e">
        <f>(Posts[[#This Row],[Likes]]+Posts[[#This Row],[Shares]]+Posts[[#This Row],[Comments]])/Posts[[#This Row],[Impressions]]</f>
        <v>#DIV/0!</v>
      </c>
    </row>
    <row r="641" spans="3:12" x14ac:dyDescent="0.2">
      <c r="C641" s="1"/>
      <c r="L641" s="23" t="e">
        <f>(Posts[[#This Row],[Likes]]+Posts[[#This Row],[Shares]]+Posts[[#This Row],[Comments]])/Posts[[#This Row],[Impressions]]</f>
        <v>#DIV/0!</v>
      </c>
    </row>
    <row r="642" spans="3:12" x14ac:dyDescent="0.2">
      <c r="C642" s="1"/>
      <c r="L642" s="23" t="e">
        <f>(Posts[[#This Row],[Likes]]+Posts[[#This Row],[Shares]]+Posts[[#This Row],[Comments]])/Posts[[#This Row],[Impressions]]</f>
        <v>#DIV/0!</v>
      </c>
    </row>
    <row r="643" spans="3:12" x14ac:dyDescent="0.2">
      <c r="C643" s="1"/>
      <c r="L643" s="23" t="e">
        <f>(Posts[[#This Row],[Likes]]+Posts[[#This Row],[Shares]]+Posts[[#This Row],[Comments]])/Posts[[#This Row],[Impressions]]</f>
        <v>#DIV/0!</v>
      </c>
    </row>
    <row r="644" spans="3:12" x14ac:dyDescent="0.2">
      <c r="C644" s="1"/>
      <c r="L644" s="23" t="e">
        <f>(Posts[[#This Row],[Likes]]+Posts[[#This Row],[Shares]]+Posts[[#This Row],[Comments]])/Posts[[#This Row],[Impressions]]</f>
        <v>#DIV/0!</v>
      </c>
    </row>
    <row r="645" spans="3:12" x14ac:dyDescent="0.2">
      <c r="C645" s="1"/>
      <c r="L645" s="23" t="e">
        <f>(Posts[[#This Row],[Likes]]+Posts[[#This Row],[Shares]]+Posts[[#This Row],[Comments]])/Posts[[#This Row],[Impressions]]</f>
        <v>#DIV/0!</v>
      </c>
    </row>
    <row r="646" spans="3:12" x14ac:dyDescent="0.2">
      <c r="C646" s="1"/>
      <c r="L646" s="23" t="e">
        <f>(Posts[[#This Row],[Likes]]+Posts[[#This Row],[Shares]]+Posts[[#This Row],[Comments]])/Posts[[#This Row],[Impressions]]</f>
        <v>#DIV/0!</v>
      </c>
    </row>
    <row r="647" spans="3:12" x14ac:dyDescent="0.2">
      <c r="C647" s="1"/>
      <c r="L647" s="23" t="e">
        <f>(Posts[[#This Row],[Likes]]+Posts[[#This Row],[Shares]]+Posts[[#This Row],[Comments]])/Posts[[#This Row],[Impressions]]</f>
        <v>#DIV/0!</v>
      </c>
    </row>
    <row r="648" spans="3:12" x14ac:dyDescent="0.2">
      <c r="C648" s="1"/>
      <c r="L648" s="23" t="e">
        <f>(Posts[[#This Row],[Likes]]+Posts[[#This Row],[Shares]]+Posts[[#This Row],[Comments]])/Posts[[#This Row],[Impressions]]</f>
        <v>#DIV/0!</v>
      </c>
    </row>
    <row r="649" spans="3:12" x14ac:dyDescent="0.2">
      <c r="C649" s="1"/>
      <c r="L649" s="23" t="e">
        <f>(Posts[[#This Row],[Likes]]+Posts[[#This Row],[Shares]]+Posts[[#This Row],[Comments]])/Posts[[#This Row],[Impressions]]</f>
        <v>#DIV/0!</v>
      </c>
    </row>
    <row r="650" spans="3:12" x14ac:dyDescent="0.2">
      <c r="C650" s="1"/>
      <c r="L650" s="23" t="e">
        <f>(Posts[[#This Row],[Likes]]+Posts[[#This Row],[Shares]]+Posts[[#This Row],[Comments]])/Posts[[#This Row],[Impressions]]</f>
        <v>#DIV/0!</v>
      </c>
    </row>
    <row r="651" spans="3:12" x14ac:dyDescent="0.2">
      <c r="C651" s="1"/>
      <c r="L651" s="23" t="e">
        <f>(Posts[[#This Row],[Likes]]+Posts[[#This Row],[Shares]]+Posts[[#This Row],[Comments]])/Posts[[#This Row],[Impressions]]</f>
        <v>#DIV/0!</v>
      </c>
    </row>
    <row r="652" spans="3:12" x14ac:dyDescent="0.2">
      <c r="C652" s="1"/>
      <c r="L652" s="23" t="e">
        <f>(Posts[[#This Row],[Likes]]+Posts[[#This Row],[Shares]]+Posts[[#This Row],[Comments]])/Posts[[#This Row],[Impressions]]</f>
        <v>#DIV/0!</v>
      </c>
    </row>
    <row r="653" spans="3:12" x14ac:dyDescent="0.2">
      <c r="C653" s="1"/>
      <c r="L653" s="23" t="e">
        <f>(Posts[[#This Row],[Likes]]+Posts[[#This Row],[Shares]]+Posts[[#This Row],[Comments]])/Posts[[#This Row],[Impressions]]</f>
        <v>#DIV/0!</v>
      </c>
    </row>
    <row r="654" spans="3:12" x14ac:dyDescent="0.2">
      <c r="C654" s="1"/>
      <c r="L654" s="23" t="e">
        <f>(Posts[[#This Row],[Likes]]+Posts[[#This Row],[Shares]]+Posts[[#This Row],[Comments]])/Posts[[#This Row],[Impressions]]</f>
        <v>#DIV/0!</v>
      </c>
    </row>
    <row r="655" spans="3:12" x14ac:dyDescent="0.2">
      <c r="C655" s="1"/>
      <c r="L655" s="23" t="e">
        <f>(Posts[[#This Row],[Likes]]+Posts[[#This Row],[Shares]]+Posts[[#This Row],[Comments]])/Posts[[#This Row],[Impressions]]</f>
        <v>#DIV/0!</v>
      </c>
    </row>
    <row r="656" spans="3:12" x14ac:dyDescent="0.2">
      <c r="C656" s="1"/>
      <c r="L656" s="23" t="e">
        <f>(Posts[[#This Row],[Likes]]+Posts[[#This Row],[Shares]]+Posts[[#This Row],[Comments]])/Posts[[#This Row],[Impressions]]</f>
        <v>#DIV/0!</v>
      </c>
    </row>
    <row r="657" spans="3:12" x14ac:dyDescent="0.2">
      <c r="C657" s="1"/>
      <c r="L657" s="23" t="e">
        <f>(Posts[[#This Row],[Likes]]+Posts[[#This Row],[Shares]]+Posts[[#This Row],[Comments]])/Posts[[#This Row],[Impressions]]</f>
        <v>#DIV/0!</v>
      </c>
    </row>
    <row r="658" spans="3:12" x14ac:dyDescent="0.2">
      <c r="C658" s="1"/>
      <c r="L658" s="23" t="e">
        <f>(Posts[[#This Row],[Likes]]+Posts[[#This Row],[Shares]]+Posts[[#This Row],[Comments]])/Posts[[#This Row],[Impressions]]</f>
        <v>#DIV/0!</v>
      </c>
    </row>
    <row r="659" spans="3:12" x14ac:dyDescent="0.2">
      <c r="C659" s="1"/>
      <c r="L659" s="23" t="e">
        <f>(Posts[[#This Row],[Likes]]+Posts[[#This Row],[Shares]]+Posts[[#This Row],[Comments]])/Posts[[#This Row],[Impressions]]</f>
        <v>#DIV/0!</v>
      </c>
    </row>
    <row r="660" spans="3:12" x14ac:dyDescent="0.2">
      <c r="C660" s="1"/>
      <c r="L660" s="23" t="e">
        <f>(Posts[[#This Row],[Likes]]+Posts[[#This Row],[Shares]]+Posts[[#This Row],[Comments]])/Posts[[#This Row],[Impressions]]</f>
        <v>#DIV/0!</v>
      </c>
    </row>
    <row r="661" spans="3:12" x14ac:dyDescent="0.2">
      <c r="C661" s="1"/>
      <c r="L661" s="23" t="e">
        <f>(Posts[[#This Row],[Likes]]+Posts[[#This Row],[Shares]]+Posts[[#This Row],[Comments]])/Posts[[#This Row],[Impressions]]</f>
        <v>#DIV/0!</v>
      </c>
    </row>
    <row r="662" spans="3:12" x14ac:dyDescent="0.2">
      <c r="C662" s="1"/>
      <c r="L662" s="23" t="e">
        <f>(Posts[[#This Row],[Likes]]+Posts[[#This Row],[Shares]]+Posts[[#This Row],[Comments]])/Posts[[#This Row],[Impressions]]</f>
        <v>#DIV/0!</v>
      </c>
    </row>
    <row r="663" spans="3:12" x14ac:dyDescent="0.2">
      <c r="C663" s="1"/>
      <c r="L663" s="23" t="e">
        <f>(Posts[[#This Row],[Likes]]+Posts[[#This Row],[Shares]]+Posts[[#This Row],[Comments]])/Posts[[#This Row],[Impressions]]</f>
        <v>#DIV/0!</v>
      </c>
    </row>
    <row r="664" spans="3:12" x14ac:dyDescent="0.2">
      <c r="C664" s="1"/>
      <c r="L664" s="23" t="e">
        <f>(Posts[[#This Row],[Likes]]+Posts[[#This Row],[Shares]]+Posts[[#This Row],[Comments]])/Posts[[#This Row],[Impressions]]</f>
        <v>#DIV/0!</v>
      </c>
    </row>
    <row r="665" spans="3:12" x14ac:dyDescent="0.2">
      <c r="C665" s="1"/>
      <c r="L665" s="23" t="e">
        <f>(Posts[[#This Row],[Likes]]+Posts[[#This Row],[Shares]]+Posts[[#This Row],[Comments]])/Posts[[#This Row],[Impressions]]</f>
        <v>#DIV/0!</v>
      </c>
    </row>
    <row r="666" spans="3:12" x14ac:dyDescent="0.2">
      <c r="C666" s="1"/>
      <c r="L666" s="23" t="e">
        <f>(Posts[[#This Row],[Likes]]+Posts[[#This Row],[Shares]]+Posts[[#This Row],[Comments]])/Posts[[#This Row],[Impressions]]</f>
        <v>#DIV/0!</v>
      </c>
    </row>
    <row r="667" spans="3:12" x14ac:dyDescent="0.2">
      <c r="C667" s="1"/>
      <c r="L667" s="23" t="e">
        <f>(Posts[[#This Row],[Likes]]+Posts[[#This Row],[Shares]]+Posts[[#This Row],[Comments]])/Posts[[#This Row],[Impressions]]</f>
        <v>#DIV/0!</v>
      </c>
    </row>
    <row r="668" spans="3:12" x14ac:dyDescent="0.2">
      <c r="C668" s="1"/>
      <c r="L668" s="23" t="e">
        <f>(Posts[[#This Row],[Likes]]+Posts[[#This Row],[Shares]]+Posts[[#This Row],[Comments]])/Posts[[#This Row],[Impressions]]</f>
        <v>#DIV/0!</v>
      </c>
    </row>
    <row r="669" spans="3:12" x14ac:dyDescent="0.2">
      <c r="C669" s="1"/>
      <c r="L669" s="23" t="e">
        <f>(Posts[[#This Row],[Likes]]+Posts[[#This Row],[Shares]]+Posts[[#This Row],[Comments]])/Posts[[#This Row],[Impressions]]</f>
        <v>#DIV/0!</v>
      </c>
    </row>
    <row r="670" spans="3:12" x14ac:dyDescent="0.2">
      <c r="C670" s="1"/>
      <c r="L670" s="23" t="e">
        <f>(Posts[[#This Row],[Likes]]+Posts[[#This Row],[Shares]]+Posts[[#This Row],[Comments]])/Posts[[#This Row],[Impressions]]</f>
        <v>#DIV/0!</v>
      </c>
    </row>
    <row r="671" spans="3:12" x14ac:dyDescent="0.2">
      <c r="C671" s="1"/>
      <c r="L671" s="23" t="e">
        <f>(Posts[[#This Row],[Likes]]+Posts[[#This Row],[Shares]]+Posts[[#This Row],[Comments]])/Posts[[#This Row],[Impressions]]</f>
        <v>#DIV/0!</v>
      </c>
    </row>
    <row r="672" spans="3:12" x14ac:dyDescent="0.2">
      <c r="C672" s="1"/>
      <c r="L672" s="23" t="e">
        <f>(Posts[[#This Row],[Likes]]+Posts[[#This Row],[Shares]]+Posts[[#This Row],[Comments]])/Posts[[#This Row],[Impressions]]</f>
        <v>#DIV/0!</v>
      </c>
    </row>
    <row r="673" spans="3:12" x14ac:dyDescent="0.2">
      <c r="C673" s="1"/>
      <c r="L673" s="23" t="e">
        <f>(Posts[[#This Row],[Likes]]+Posts[[#This Row],[Shares]]+Posts[[#This Row],[Comments]])/Posts[[#This Row],[Impressions]]</f>
        <v>#DIV/0!</v>
      </c>
    </row>
    <row r="674" spans="3:12" x14ac:dyDescent="0.2">
      <c r="C674" s="1"/>
      <c r="L674" s="23" t="e">
        <f>(Posts[[#This Row],[Likes]]+Posts[[#This Row],[Shares]]+Posts[[#This Row],[Comments]])/Posts[[#This Row],[Impressions]]</f>
        <v>#DIV/0!</v>
      </c>
    </row>
    <row r="675" spans="3:12" x14ac:dyDescent="0.2">
      <c r="C675" s="1"/>
      <c r="L675" s="23" t="e">
        <f>(Posts[[#This Row],[Likes]]+Posts[[#This Row],[Shares]]+Posts[[#This Row],[Comments]])/Posts[[#This Row],[Impressions]]</f>
        <v>#DIV/0!</v>
      </c>
    </row>
    <row r="676" spans="3:12" x14ac:dyDescent="0.2">
      <c r="C676" s="1"/>
      <c r="L676" s="23" t="e">
        <f>(Posts[[#This Row],[Likes]]+Posts[[#This Row],[Shares]]+Posts[[#This Row],[Comments]])/Posts[[#This Row],[Impressions]]</f>
        <v>#DIV/0!</v>
      </c>
    </row>
    <row r="677" spans="3:12" x14ac:dyDescent="0.2">
      <c r="C677" s="1"/>
      <c r="L677" s="23" t="e">
        <f>(Posts[[#This Row],[Likes]]+Posts[[#This Row],[Shares]]+Posts[[#This Row],[Comments]])/Posts[[#This Row],[Impressions]]</f>
        <v>#DIV/0!</v>
      </c>
    </row>
    <row r="678" spans="3:12" x14ac:dyDescent="0.2">
      <c r="C678" s="1"/>
      <c r="L678" s="23" t="e">
        <f>(Posts[[#This Row],[Likes]]+Posts[[#This Row],[Shares]]+Posts[[#This Row],[Comments]])/Posts[[#This Row],[Impressions]]</f>
        <v>#DIV/0!</v>
      </c>
    </row>
    <row r="679" spans="3:12" x14ac:dyDescent="0.2">
      <c r="C679" s="1"/>
      <c r="L679" s="23" t="e">
        <f>(Posts[[#This Row],[Likes]]+Posts[[#This Row],[Shares]]+Posts[[#This Row],[Comments]])/Posts[[#This Row],[Impressions]]</f>
        <v>#DIV/0!</v>
      </c>
    </row>
    <row r="680" spans="3:12" x14ac:dyDescent="0.2">
      <c r="C680" s="1"/>
      <c r="L680" s="23" t="e">
        <f>(Posts[[#This Row],[Likes]]+Posts[[#This Row],[Shares]]+Posts[[#This Row],[Comments]])/Posts[[#This Row],[Impressions]]</f>
        <v>#DIV/0!</v>
      </c>
    </row>
    <row r="681" spans="3:12" x14ac:dyDescent="0.2">
      <c r="C681" s="1"/>
      <c r="L681" s="23" t="e">
        <f>(Posts[[#This Row],[Likes]]+Posts[[#This Row],[Shares]]+Posts[[#This Row],[Comments]])/Posts[[#This Row],[Impressions]]</f>
        <v>#DIV/0!</v>
      </c>
    </row>
    <row r="682" spans="3:12" x14ac:dyDescent="0.2">
      <c r="C682" s="1"/>
      <c r="L682" s="23" t="e">
        <f>(Posts[[#This Row],[Likes]]+Posts[[#This Row],[Shares]]+Posts[[#This Row],[Comments]])/Posts[[#This Row],[Impressions]]</f>
        <v>#DIV/0!</v>
      </c>
    </row>
    <row r="683" spans="3:12" x14ac:dyDescent="0.2">
      <c r="C683" s="1"/>
      <c r="L683" s="23" t="e">
        <f>(Posts[[#This Row],[Likes]]+Posts[[#This Row],[Shares]]+Posts[[#This Row],[Comments]])/Posts[[#This Row],[Impressions]]</f>
        <v>#DIV/0!</v>
      </c>
    </row>
    <row r="684" spans="3:12" x14ac:dyDescent="0.2">
      <c r="C684" s="1"/>
      <c r="L684" s="23" t="e">
        <f>(Posts[[#This Row],[Likes]]+Posts[[#This Row],[Shares]]+Posts[[#This Row],[Comments]])/Posts[[#This Row],[Impressions]]</f>
        <v>#DIV/0!</v>
      </c>
    </row>
    <row r="685" spans="3:12" x14ac:dyDescent="0.2">
      <c r="C685" s="1"/>
      <c r="L685" s="23" t="e">
        <f>(Posts[[#This Row],[Likes]]+Posts[[#This Row],[Shares]]+Posts[[#This Row],[Comments]])/Posts[[#This Row],[Impressions]]</f>
        <v>#DIV/0!</v>
      </c>
    </row>
    <row r="686" spans="3:12" x14ac:dyDescent="0.2">
      <c r="C686" s="1"/>
      <c r="L686" s="23" t="e">
        <f>(Posts[[#This Row],[Likes]]+Posts[[#This Row],[Shares]]+Posts[[#This Row],[Comments]])/Posts[[#This Row],[Impressions]]</f>
        <v>#DIV/0!</v>
      </c>
    </row>
    <row r="687" spans="3:12" x14ac:dyDescent="0.2">
      <c r="C687" s="1"/>
      <c r="L687" s="23" t="e">
        <f>(Posts[[#This Row],[Likes]]+Posts[[#This Row],[Shares]]+Posts[[#This Row],[Comments]])/Posts[[#This Row],[Impressions]]</f>
        <v>#DIV/0!</v>
      </c>
    </row>
    <row r="688" spans="3:12" x14ac:dyDescent="0.2">
      <c r="C688" s="1"/>
      <c r="L688" s="23" t="e">
        <f>(Posts[[#This Row],[Likes]]+Posts[[#This Row],[Shares]]+Posts[[#This Row],[Comments]])/Posts[[#This Row],[Impressions]]</f>
        <v>#DIV/0!</v>
      </c>
    </row>
    <row r="689" spans="3:12" x14ac:dyDescent="0.2">
      <c r="C689" s="1"/>
      <c r="L689" s="23" t="e">
        <f>(Posts[[#This Row],[Likes]]+Posts[[#This Row],[Shares]]+Posts[[#This Row],[Comments]])/Posts[[#This Row],[Impressions]]</f>
        <v>#DIV/0!</v>
      </c>
    </row>
    <row r="690" spans="3:12" x14ac:dyDescent="0.2">
      <c r="C690" s="1"/>
      <c r="L690" s="23" t="e">
        <f>(Posts[[#This Row],[Likes]]+Posts[[#This Row],[Shares]]+Posts[[#This Row],[Comments]])/Posts[[#This Row],[Impressions]]</f>
        <v>#DIV/0!</v>
      </c>
    </row>
    <row r="691" spans="3:12" x14ac:dyDescent="0.2">
      <c r="C691" s="1"/>
      <c r="L691" s="23" t="e">
        <f>(Posts[[#This Row],[Likes]]+Posts[[#This Row],[Shares]]+Posts[[#This Row],[Comments]])/Posts[[#This Row],[Impressions]]</f>
        <v>#DIV/0!</v>
      </c>
    </row>
    <row r="692" spans="3:12" x14ac:dyDescent="0.2">
      <c r="C692" s="1"/>
      <c r="L692" s="23" t="e">
        <f>(Posts[[#This Row],[Likes]]+Posts[[#This Row],[Shares]]+Posts[[#This Row],[Comments]])/Posts[[#This Row],[Impressions]]</f>
        <v>#DIV/0!</v>
      </c>
    </row>
    <row r="693" spans="3:12" x14ac:dyDescent="0.2">
      <c r="C693" s="1"/>
      <c r="L693" s="23" t="e">
        <f>(Posts[[#This Row],[Likes]]+Posts[[#This Row],[Shares]]+Posts[[#This Row],[Comments]])/Posts[[#This Row],[Impressions]]</f>
        <v>#DIV/0!</v>
      </c>
    </row>
    <row r="694" spans="3:12" x14ac:dyDescent="0.2">
      <c r="C694" s="1"/>
      <c r="L694" s="23" t="e">
        <f>(Posts[[#This Row],[Likes]]+Posts[[#This Row],[Shares]]+Posts[[#This Row],[Comments]])/Posts[[#This Row],[Impressions]]</f>
        <v>#DIV/0!</v>
      </c>
    </row>
    <row r="695" spans="3:12" x14ac:dyDescent="0.2">
      <c r="C695" s="1"/>
      <c r="L695" s="23" t="e">
        <f>(Posts[[#This Row],[Likes]]+Posts[[#This Row],[Shares]]+Posts[[#This Row],[Comments]])/Posts[[#This Row],[Impressions]]</f>
        <v>#DIV/0!</v>
      </c>
    </row>
    <row r="696" spans="3:12" x14ac:dyDescent="0.2">
      <c r="C696" s="1"/>
      <c r="L696" s="23" t="e">
        <f>(Posts[[#This Row],[Likes]]+Posts[[#This Row],[Shares]]+Posts[[#This Row],[Comments]])/Posts[[#This Row],[Impressions]]</f>
        <v>#DIV/0!</v>
      </c>
    </row>
    <row r="697" spans="3:12" x14ac:dyDescent="0.2">
      <c r="C697" s="1"/>
      <c r="L697" s="23" t="e">
        <f>(Posts[[#This Row],[Likes]]+Posts[[#This Row],[Shares]]+Posts[[#This Row],[Comments]])/Posts[[#This Row],[Impressions]]</f>
        <v>#DIV/0!</v>
      </c>
    </row>
    <row r="698" spans="3:12" x14ac:dyDescent="0.2">
      <c r="C698" s="1"/>
      <c r="L698" s="23" t="e">
        <f>(Posts[[#This Row],[Likes]]+Posts[[#This Row],[Shares]]+Posts[[#This Row],[Comments]])/Posts[[#This Row],[Impressions]]</f>
        <v>#DIV/0!</v>
      </c>
    </row>
    <row r="699" spans="3:12" x14ac:dyDescent="0.2">
      <c r="C699" s="1"/>
      <c r="L699" s="23" t="e">
        <f>(Posts[[#This Row],[Likes]]+Posts[[#This Row],[Shares]]+Posts[[#This Row],[Comments]])/Posts[[#This Row],[Impressions]]</f>
        <v>#DIV/0!</v>
      </c>
    </row>
    <row r="700" spans="3:12" x14ac:dyDescent="0.2">
      <c r="C700" s="1"/>
      <c r="L700" s="23" t="e">
        <f>(Posts[[#This Row],[Likes]]+Posts[[#This Row],[Shares]]+Posts[[#This Row],[Comments]])/Posts[[#This Row],[Impressions]]</f>
        <v>#DIV/0!</v>
      </c>
    </row>
    <row r="701" spans="3:12" x14ac:dyDescent="0.2">
      <c r="C701" s="1"/>
      <c r="L701" s="23" t="e">
        <f>(Posts[[#This Row],[Likes]]+Posts[[#This Row],[Shares]]+Posts[[#This Row],[Comments]])/Posts[[#This Row],[Impressions]]</f>
        <v>#DIV/0!</v>
      </c>
    </row>
    <row r="702" spans="3:12" x14ac:dyDescent="0.2">
      <c r="C702" s="1"/>
      <c r="L702" s="23" t="e">
        <f>(Posts[[#This Row],[Likes]]+Posts[[#This Row],[Shares]]+Posts[[#This Row],[Comments]])/Posts[[#This Row],[Impressions]]</f>
        <v>#DIV/0!</v>
      </c>
    </row>
    <row r="703" spans="3:12" x14ac:dyDescent="0.2">
      <c r="C703" s="1"/>
      <c r="L703" s="23" t="e">
        <f>(Posts[[#This Row],[Likes]]+Posts[[#This Row],[Shares]]+Posts[[#This Row],[Comments]])/Posts[[#This Row],[Impressions]]</f>
        <v>#DIV/0!</v>
      </c>
    </row>
    <row r="704" spans="3:12" x14ac:dyDescent="0.2">
      <c r="C704" s="1"/>
      <c r="L704" s="23" t="e">
        <f>(Posts[[#This Row],[Likes]]+Posts[[#This Row],[Shares]]+Posts[[#This Row],[Comments]])/Posts[[#This Row],[Impressions]]</f>
        <v>#DIV/0!</v>
      </c>
    </row>
    <row r="705" spans="3:12" x14ac:dyDescent="0.2">
      <c r="C705" s="1"/>
      <c r="L705" s="23" t="e">
        <f>(Posts[[#This Row],[Likes]]+Posts[[#This Row],[Shares]]+Posts[[#This Row],[Comments]])/Posts[[#This Row],[Impressions]]</f>
        <v>#DIV/0!</v>
      </c>
    </row>
    <row r="706" spans="3:12" x14ac:dyDescent="0.2">
      <c r="C706" s="1"/>
      <c r="L706" s="23" t="e">
        <f>(Posts[[#This Row],[Likes]]+Posts[[#This Row],[Shares]]+Posts[[#This Row],[Comments]])/Posts[[#This Row],[Impressions]]</f>
        <v>#DIV/0!</v>
      </c>
    </row>
    <row r="707" spans="3:12" x14ac:dyDescent="0.2">
      <c r="C707" s="1"/>
      <c r="L707" s="23" t="e">
        <f>(Posts[[#This Row],[Likes]]+Posts[[#This Row],[Shares]]+Posts[[#This Row],[Comments]])/Posts[[#This Row],[Impressions]]</f>
        <v>#DIV/0!</v>
      </c>
    </row>
    <row r="708" spans="3:12" x14ac:dyDescent="0.2">
      <c r="C708" s="1"/>
      <c r="L708" s="23" t="e">
        <f>(Posts[[#This Row],[Likes]]+Posts[[#This Row],[Shares]]+Posts[[#This Row],[Comments]])/Posts[[#This Row],[Impressions]]</f>
        <v>#DIV/0!</v>
      </c>
    </row>
    <row r="709" spans="3:12" x14ac:dyDescent="0.2">
      <c r="C709" s="1"/>
      <c r="L709" s="23" t="e">
        <f>(Posts[[#This Row],[Likes]]+Posts[[#This Row],[Shares]]+Posts[[#This Row],[Comments]])/Posts[[#This Row],[Impressions]]</f>
        <v>#DIV/0!</v>
      </c>
    </row>
    <row r="710" spans="3:12" x14ac:dyDescent="0.2">
      <c r="C710" s="1"/>
      <c r="L710" s="23" t="e">
        <f>(Posts[[#This Row],[Likes]]+Posts[[#This Row],[Shares]]+Posts[[#This Row],[Comments]])/Posts[[#This Row],[Impressions]]</f>
        <v>#DIV/0!</v>
      </c>
    </row>
    <row r="711" spans="3:12" x14ac:dyDescent="0.2">
      <c r="C711" s="1"/>
      <c r="L711" s="23" t="e">
        <f>(Posts[[#This Row],[Likes]]+Posts[[#This Row],[Shares]]+Posts[[#This Row],[Comments]])/Posts[[#This Row],[Impressions]]</f>
        <v>#DIV/0!</v>
      </c>
    </row>
    <row r="712" spans="3:12" x14ac:dyDescent="0.2">
      <c r="C712" s="1"/>
      <c r="L712" s="23" t="e">
        <f>(Posts[[#This Row],[Likes]]+Posts[[#This Row],[Shares]]+Posts[[#This Row],[Comments]])/Posts[[#This Row],[Impressions]]</f>
        <v>#DIV/0!</v>
      </c>
    </row>
    <row r="713" spans="3:12" x14ac:dyDescent="0.2">
      <c r="C713" s="1"/>
      <c r="L713" s="23" t="e">
        <f>(Posts[[#This Row],[Likes]]+Posts[[#This Row],[Shares]]+Posts[[#This Row],[Comments]])/Posts[[#This Row],[Impressions]]</f>
        <v>#DIV/0!</v>
      </c>
    </row>
    <row r="714" spans="3:12" x14ac:dyDescent="0.2">
      <c r="C714" s="1"/>
      <c r="L714" s="23" t="e">
        <f>(Posts[[#This Row],[Likes]]+Posts[[#This Row],[Shares]]+Posts[[#This Row],[Comments]])/Posts[[#This Row],[Impressions]]</f>
        <v>#DIV/0!</v>
      </c>
    </row>
    <row r="715" spans="3:12" x14ac:dyDescent="0.2">
      <c r="C715" s="1"/>
      <c r="L715" s="23" t="e">
        <f>(Posts[[#This Row],[Likes]]+Posts[[#This Row],[Shares]]+Posts[[#This Row],[Comments]])/Posts[[#This Row],[Impressions]]</f>
        <v>#DIV/0!</v>
      </c>
    </row>
    <row r="716" spans="3:12" x14ac:dyDescent="0.2">
      <c r="C716" s="1"/>
      <c r="L716" s="23" t="e">
        <f>(Posts[[#This Row],[Likes]]+Posts[[#This Row],[Shares]]+Posts[[#This Row],[Comments]])/Posts[[#This Row],[Impressions]]</f>
        <v>#DIV/0!</v>
      </c>
    </row>
    <row r="717" spans="3:12" x14ac:dyDescent="0.2">
      <c r="C717" s="1"/>
      <c r="L717" s="23" t="e">
        <f>(Posts[[#This Row],[Likes]]+Posts[[#This Row],[Shares]]+Posts[[#This Row],[Comments]])/Posts[[#This Row],[Impressions]]</f>
        <v>#DIV/0!</v>
      </c>
    </row>
    <row r="718" spans="3:12" x14ac:dyDescent="0.2">
      <c r="C718" s="1"/>
      <c r="L718" s="23" t="e">
        <f>(Posts[[#This Row],[Likes]]+Posts[[#This Row],[Shares]]+Posts[[#This Row],[Comments]])/Posts[[#This Row],[Impressions]]</f>
        <v>#DIV/0!</v>
      </c>
    </row>
    <row r="719" spans="3:12" x14ac:dyDescent="0.2">
      <c r="C719" s="1"/>
      <c r="L719" s="23" t="e">
        <f>(Posts[[#This Row],[Likes]]+Posts[[#This Row],[Shares]]+Posts[[#This Row],[Comments]])/Posts[[#This Row],[Impressions]]</f>
        <v>#DIV/0!</v>
      </c>
    </row>
    <row r="720" spans="3:12" x14ac:dyDescent="0.2">
      <c r="C720" s="1"/>
      <c r="L720" s="23" t="e">
        <f>(Posts[[#This Row],[Likes]]+Posts[[#This Row],[Shares]]+Posts[[#This Row],[Comments]])/Posts[[#This Row],[Impressions]]</f>
        <v>#DIV/0!</v>
      </c>
    </row>
    <row r="721" spans="3:12" x14ac:dyDescent="0.2">
      <c r="C721" s="1"/>
      <c r="L721" s="23" t="e">
        <f>(Posts[[#This Row],[Likes]]+Posts[[#This Row],[Shares]]+Posts[[#This Row],[Comments]])/Posts[[#This Row],[Impressions]]</f>
        <v>#DIV/0!</v>
      </c>
    </row>
    <row r="722" spans="3:12" x14ac:dyDescent="0.2">
      <c r="C722" s="1"/>
      <c r="L722" s="23" t="e">
        <f>(Posts[[#This Row],[Likes]]+Posts[[#This Row],[Shares]]+Posts[[#This Row],[Comments]])/Posts[[#This Row],[Impressions]]</f>
        <v>#DIV/0!</v>
      </c>
    </row>
    <row r="723" spans="3:12" x14ac:dyDescent="0.2">
      <c r="C723" s="1"/>
      <c r="L723" s="23" t="e">
        <f>(Posts[[#This Row],[Likes]]+Posts[[#This Row],[Shares]]+Posts[[#This Row],[Comments]])/Posts[[#This Row],[Impressions]]</f>
        <v>#DIV/0!</v>
      </c>
    </row>
    <row r="724" spans="3:12" x14ac:dyDescent="0.2">
      <c r="C724" s="1"/>
      <c r="L724" s="23" t="e">
        <f>(Posts[[#This Row],[Likes]]+Posts[[#This Row],[Shares]]+Posts[[#This Row],[Comments]])/Posts[[#This Row],[Impressions]]</f>
        <v>#DIV/0!</v>
      </c>
    </row>
    <row r="725" spans="3:12" x14ac:dyDescent="0.2">
      <c r="C725" s="1"/>
      <c r="L725" s="23" t="e">
        <f>(Posts[[#This Row],[Likes]]+Posts[[#This Row],[Shares]]+Posts[[#This Row],[Comments]])/Posts[[#This Row],[Impressions]]</f>
        <v>#DIV/0!</v>
      </c>
    </row>
    <row r="726" spans="3:12" x14ac:dyDescent="0.2">
      <c r="C726" s="1"/>
      <c r="L726" s="23" t="e">
        <f>(Posts[[#This Row],[Likes]]+Posts[[#This Row],[Shares]]+Posts[[#This Row],[Comments]])/Posts[[#This Row],[Impressions]]</f>
        <v>#DIV/0!</v>
      </c>
    </row>
    <row r="727" spans="3:12" x14ac:dyDescent="0.2">
      <c r="C727" s="1"/>
      <c r="L727" s="23" t="e">
        <f>(Posts[[#This Row],[Likes]]+Posts[[#This Row],[Shares]]+Posts[[#This Row],[Comments]])/Posts[[#This Row],[Impressions]]</f>
        <v>#DIV/0!</v>
      </c>
    </row>
    <row r="728" spans="3:12" x14ac:dyDescent="0.2">
      <c r="C728" s="1"/>
      <c r="L728" s="23" t="e">
        <f>(Posts[[#This Row],[Likes]]+Posts[[#This Row],[Shares]]+Posts[[#This Row],[Comments]])/Posts[[#This Row],[Impressions]]</f>
        <v>#DIV/0!</v>
      </c>
    </row>
    <row r="729" spans="3:12" x14ac:dyDescent="0.2">
      <c r="C729" s="1"/>
      <c r="L729" s="23" t="e">
        <f>(Posts[[#This Row],[Likes]]+Posts[[#This Row],[Shares]]+Posts[[#This Row],[Comments]])/Posts[[#This Row],[Impressions]]</f>
        <v>#DIV/0!</v>
      </c>
    </row>
    <row r="730" spans="3:12" x14ac:dyDescent="0.2">
      <c r="C730" s="1"/>
      <c r="L730" s="23" t="e">
        <f>(Posts[[#This Row],[Likes]]+Posts[[#This Row],[Shares]]+Posts[[#This Row],[Comments]])/Posts[[#This Row],[Impressions]]</f>
        <v>#DIV/0!</v>
      </c>
    </row>
    <row r="731" spans="3:12" x14ac:dyDescent="0.2">
      <c r="C731" s="1"/>
      <c r="L731" s="23" t="e">
        <f>(Posts[[#This Row],[Likes]]+Posts[[#This Row],[Shares]]+Posts[[#This Row],[Comments]])/Posts[[#This Row],[Impressions]]</f>
        <v>#DIV/0!</v>
      </c>
    </row>
    <row r="732" spans="3:12" x14ac:dyDescent="0.2">
      <c r="C732" s="1"/>
      <c r="L732" s="23" t="e">
        <f>(Posts[[#This Row],[Likes]]+Posts[[#This Row],[Shares]]+Posts[[#This Row],[Comments]])/Posts[[#This Row],[Impressions]]</f>
        <v>#DIV/0!</v>
      </c>
    </row>
    <row r="733" spans="3:12" x14ac:dyDescent="0.2">
      <c r="C733" s="1"/>
      <c r="L733" s="23" t="e">
        <f>(Posts[[#This Row],[Likes]]+Posts[[#This Row],[Shares]]+Posts[[#This Row],[Comments]])/Posts[[#This Row],[Impressions]]</f>
        <v>#DIV/0!</v>
      </c>
    </row>
    <row r="734" spans="3:12" x14ac:dyDescent="0.2">
      <c r="C734" s="1"/>
      <c r="L734" s="23" t="e">
        <f>(Posts[[#This Row],[Likes]]+Posts[[#This Row],[Shares]]+Posts[[#This Row],[Comments]])/Posts[[#This Row],[Impressions]]</f>
        <v>#DIV/0!</v>
      </c>
    </row>
    <row r="735" spans="3:12" x14ac:dyDescent="0.2">
      <c r="C735" s="1"/>
      <c r="L735" s="23" t="e">
        <f>(Posts[[#This Row],[Likes]]+Posts[[#This Row],[Shares]]+Posts[[#This Row],[Comments]])/Posts[[#This Row],[Impressions]]</f>
        <v>#DIV/0!</v>
      </c>
    </row>
    <row r="736" spans="3:12" x14ac:dyDescent="0.2">
      <c r="C736" s="1"/>
      <c r="L736" s="23" t="e">
        <f>(Posts[[#This Row],[Likes]]+Posts[[#This Row],[Shares]]+Posts[[#This Row],[Comments]])/Posts[[#This Row],[Impressions]]</f>
        <v>#DIV/0!</v>
      </c>
    </row>
    <row r="737" spans="3:12" x14ac:dyDescent="0.2">
      <c r="C737" s="1"/>
      <c r="L737" s="23" t="e">
        <f>(Posts[[#This Row],[Likes]]+Posts[[#This Row],[Shares]]+Posts[[#This Row],[Comments]])/Posts[[#This Row],[Impressions]]</f>
        <v>#DIV/0!</v>
      </c>
    </row>
    <row r="738" spans="3:12" x14ac:dyDescent="0.2">
      <c r="C738" s="1"/>
      <c r="L738" s="23" t="e">
        <f>(Posts[[#This Row],[Likes]]+Posts[[#This Row],[Shares]]+Posts[[#This Row],[Comments]])/Posts[[#This Row],[Impressions]]</f>
        <v>#DIV/0!</v>
      </c>
    </row>
    <row r="739" spans="3:12" x14ac:dyDescent="0.2">
      <c r="C739" s="1"/>
      <c r="L739" s="23" t="e">
        <f>(Posts[[#This Row],[Likes]]+Posts[[#This Row],[Shares]]+Posts[[#This Row],[Comments]])/Posts[[#This Row],[Impressions]]</f>
        <v>#DIV/0!</v>
      </c>
    </row>
    <row r="740" spans="3:12" x14ac:dyDescent="0.2">
      <c r="C740" s="1"/>
      <c r="L740" s="23" t="e">
        <f>(Posts[[#This Row],[Likes]]+Posts[[#This Row],[Shares]]+Posts[[#This Row],[Comments]])/Posts[[#This Row],[Impressions]]</f>
        <v>#DIV/0!</v>
      </c>
    </row>
    <row r="741" spans="3:12" x14ac:dyDescent="0.2">
      <c r="C741" s="1"/>
      <c r="L741" s="23" t="e">
        <f>(Posts[[#This Row],[Likes]]+Posts[[#This Row],[Shares]]+Posts[[#This Row],[Comments]])/Posts[[#This Row],[Impressions]]</f>
        <v>#DIV/0!</v>
      </c>
    </row>
    <row r="742" spans="3:12" x14ac:dyDescent="0.2">
      <c r="C742" s="1"/>
      <c r="L742" s="23" t="e">
        <f>(Posts[[#This Row],[Likes]]+Posts[[#This Row],[Shares]]+Posts[[#This Row],[Comments]])/Posts[[#This Row],[Impressions]]</f>
        <v>#DIV/0!</v>
      </c>
    </row>
    <row r="743" spans="3:12" x14ac:dyDescent="0.2">
      <c r="C743" s="1"/>
      <c r="L743" s="23" t="e">
        <f>(Posts[[#This Row],[Likes]]+Posts[[#This Row],[Shares]]+Posts[[#This Row],[Comments]])/Posts[[#This Row],[Impressions]]</f>
        <v>#DIV/0!</v>
      </c>
    </row>
    <row r="744" spans="3:12" x14ac:dyDescent="0.2">
      <c r="C744" s="1"/>
      <c r="L744" s="23" t="e">
        <f>(Posts[[#This Row],[Likes]]+Posts[[#This Row],[Shares]]+Posts[[#This Row],[Comments]])/Posts[[#This Row],[Impressions]]</f>
        <v>#DIV/0!</v>
      </c>
    </row>
    <row r="745" spans="3:12" x14ac:dyDescent="0.2">
      <c r="C745" s="1"/>
      <c r="L745" s="23" t="e">
        <f>(Posts[[#This Row],[Likes]]+Posts[[#This Row],[Shares]]+Posts[[#This Row],[Comments]])/Posts[[#This Row],[Impressions]]</f>
        <v>#DIV/0!</v>
      </c>
    </row>
    <row r="746" spans="3:12" x14ac:dyDescent="0.2">
      <c r="C746" s="1"/>
      <c r="L746" s="23" t="e">
        <f>(Posts[[#This Row],[Likes]]+Posts[[#This Row],[Shares]]+Posts[[#This Row],[Comments]])/Posts[[#This Row],[Impressions]]</f>
        <v>#DIV/0!</v>
      </c>
    </row>
    <row r="747" spans="3:12" x14ac:dyDescent="0.2">
      <c r="C747" s="1"/>
      <c r="L747" s="23" t="e">
        <f>(Posts[[#This Row],[Likes]]+Posts[[#This Row],[Shares]]+Posts[[#This Row],[Comments]])/Posts[[#This Row],[Impressions]]</f>
        <v>#DIV/0!</v>
      </c>
    </row>
    <row r="748" spans="3:12" x14ac:dyDescent="0.2">
      <c r="C748" s="1"/>
      <c r="L748" s="23" t="e">
        <f>(Posts[[#This Row],[Likes]]+Posts[[#This Row],[Shares]]+Posts[[#This Row],[Comments]])/Posts[[#This Row],[Impressions]]</f>
        <v>#DIV/0!</v>
      </c>
    </row>
    <row r="749" spans="3:12" x14ac:dyDescent="0.2">
      <c r="C749" s="1"/>
      <c r="L749" s="23" t="e">
        <f>(Posts[[#This Row],[Likes]]+Posts[[#This Row],[Shares]]+Posts[[#This Row],[Comments]])/Posts[[#This Row],[Impressions]]</f>
        <v>#DIV/0!</v>
      </c>
    </row>
    <row r="750" spans="3:12" x14ac:dyDescent="0.2">
      <c r="C750" s="1"/>
      <c r="L750" s="23" t="e">
        <f>(Posts[[#This Row],[Likes]]+Posts[[#This Row],[Shares]]+Posts[[#This Row],[Comments]])/Posts[[#This Row],[Impressions]]</f>
        <v>#DIV/0!</v>
      </c>
    </row>
    <row r="751" spans="3:12" x14ac:dyDescent="0.2">
      <c r="C751" s="1"/>
      <c r="L751" s="23" t="e">
        <f>(Posts[[#This Row],[Likes]]+Posts[[#This Row],[Shares]]+Posts[[#This Row],[Comments]])/Posts[[#This Row],[Impressions]]</f>
        <v>#DIV/0!</v>
      </c>
    </row>
    <row r="752" spans="3:12" x14ac:dyDescent="0.2">
      <c r="C752" s="1"/>
      <c r="L752" s="23" t="e">
        <f>(Posts[[#This Row],[Likes]]+Posts[[#This Row],[Shares]]+Posts[[#This Row],[Comments]])/Posts[[#This Row],[Impressions]]</f>
        <v>#DIV/0!</v>
      </c>
    </row>
    <row r="753" spans="3:12" x14ac:dyDescent="0.2">
      <c r="C753" s="1"/>
      <c r="L753" s="23" t="e">
        <f>(Posts[[#This Row],[Likes]]+Posts[[#This Row],[Shares]]+Posts[[#This Row],[Comments]])/Posts[[#This Row],[Impressions]]</f>
        <v>#DIV/0!</v>
      </c>
    </row>
    <row r="754" spans="3:12" x14ac:dyDescent="0.2">
      <c r="C754" s="1"/>
      <c r="L754" s="23" t="e">
        <f>(Posts[[#This Row],[Likes]]+Posts[[#This Row],[Shares]]+Posts[[#This Row],[Comments]])/Posts[[#This Row],[Impressions]]</f>
        <v>#DIV/0!</v>
      </c>
    </row>
    <row r="755" spans="3:12" x14ac:dyDescent="0.2">
      <c r="C755" s="1"/>
      <c r="L755" s="23" t="e">
        <f>(Posts[[#This Row],[Likes]]+Posts[[#This Row],[Shares]]+Posts[[#This Row],[Comments]])/Posts[[#This Row],[Impressions]]</f>
        <v>#DIV/0!</v>
      </c>
    </row>
    <row r="756" spans="3:12" x14ac:dyDescent="0.2">
      <c r="C756" s="1"/>
      <c r="L756" s="23" t="e">
        <f>(Posts[[#This Row],[Likes]]+Posts[[#This Row],[Shares]]+Posts[[#This Row],[Comments]])/Posts[[#This Row],[Impressions]]</f>
        <v>#DIV/0!</v>
      </c>
    </row>
    <row r="757" spans="3:12" x14ac:dyDescent="0.2">
      <c r="C757" s="1"/>
      <c r="L757" s="23" t="e">
        <f>(Posts[[#This Row],[Likes]]+Posts[[#This Row],[Shares]]+Posts[[#This Row],[Comments]])/Posts[[#This Row],[Impressions]]</f>
        <v>#DIV/0!</v>
      </c>
    </row>
    <row r="758" spans="3:12" x14ac:dyDescent="0.2">
      <c r="C758" s="1"/>
      <c r="L758" s="23" t="e">
        <f>(Posts[[#This Row],[Likes]]+Posts[[#This Row],[Shares]]+Posts[[#This Row],[Comments]])/Posts[[#This Row],[Impressions]]</f>
        <v>#DIV/0!</v>
      </c>
    </row>
    <row r="759" spans="3:12" x14ac:dyDescent="0.2">
      <c r="C759" s="1"/>
      <c r="L759" s="23" t="e">
        <f>(Posts[[#This Row],[Likes]]+Posts[[#This Row],[Shares]]+Posts[[#This Row],[Comments]])/Posts[[#This Row],[Impressions]]</f>
        <v>#DIV/0!</v>
      </c>
    </row>
    <row r="760" spans="3:12" x14ac:dyDescent="0.2">
      <c r="C760" s="1"/>
      <c r="L760" s="23" t="e">
        <f>(Posts[[#This Row],[Likes]]+Posts[[#This Row],[Shares]]+Posts[[#This Row],[Comments]])/Posts[[#This Row],[Impressions]]</f>
        <v>#DIV/0!</v>
      </c>
    </row>
    <row r="761" spans="3:12" x14ac:dyDescent="0.2">
      <c r="C761" s="1"/>
      <c r="L761" s="23" t="e">
        <f>(Posts[[#This Row],[Likes]]+Posts[[#This Row],[Shares]]+Posts[[#This Row],[Comments]])/Posts[[#This Row],[Impressions]]</f>
        <v>#DIV/0!</v>
      </c>
    </row>
    <row r="762" spans="3:12" x14ac:dyDescent="0.2">
      <c r="C762" s="1"/>
      <c r="L762" s="23" t="e">
        <f>(Posts[[#This Row],[Likes]]+Posts[[#This Row],[Shares]]+Posts[[#This Row],[Comments]])/Posts[[#This Row],[Impressions]]</f>
        <v>#DIV/0!</v>
      </c>
    </row>
    <row r="763" spans="3:12" x14ac:dyDescent="0.2">
      <c r="C763" s="1"/>
      <c r="L763" s="23" t="e">
        <f>(Posts[[#This Row],[Likes]]+Posts[[#This Row],[Shares]]+Posts[[#This Row],[Comments]])/Posts[[#This Row],[Impressions]]</f>
        <v>#DIV/0!</v>
      </c>
    </row>
    <row r="764" spans="3:12" x14ac:dyDescent="0.2">
      <c r="C764" s="1"/>
      <c r="L764" s="23" t="e">
        <f>(Posts[[#This Row],[Likes]]+Posts[[#This Row],[Shares]]+Posts[[#This Row],[Comments]])/Posts[[#This Row],[Impressions]]</f>
        <v>#DIV/0!</v>
      </c>
    </row>
    <row r="765" spans="3:12" x14ac:dyDescent="0.2">
      <c r="C765" s="1"/>
      <c r="L765" s="23" t="e">
        <f>(Posts[[#This Row],[Likes]]+Posts[[#This Row],[Shares]]+Posts[[#This Row],[Comments]])/Posts[[#This Row],[Impressions]]</f>
        <v>#DIV/0!</v>
      </c>
    </row>
    <row r="766" spans="3:12" x14ac:dyDescent="0.2">
      <c r="C766" s="1"/>
      <c r="L766" s="23" t="e">
        <f>(Posts[[#This Row],[Likes]]+Posts[[#This Row],[Shares]]+Posts[[#This Row],[Comments]])/Posts[[#This Row],[Impressions]]</f>
        <v>#DIV/0!</v>
      </c>
    </row>
    <row r="767" spans="3:12" x14ac:dyDescent="0.2">
      <c r="C767" s="1"/>
      <c r="L767" s="23" t="e">
        <f>(Posts[[#This Row],[Likes]]+Posts[[#This Row],[Shares]]+Posts[[#This Row],[Comments]])/Posts[[#This Row],[Impressions]]</f>
        <v>#DIV/0!</v>
      </c>
    </row>
    <row r="768" spans="3:12" x14ac:dyDescent="0.2">
      <c r="C768" s="1"/>
      <c r="L768" s="23" t="e">
        <f>(Posts[[#This Row],[Likes]]+Posts[[#This Row],[Shares]]+Posts[[#This Row],[Comments]])/Posts[[#This Row],[Impressions]]</f>
        <v>#DIV/0!</v>
      </c>
    </row>
    <row r="769" spans="3:12" x14ac:dyDescent="0.2">
      <c r="C769" s="1"/>
      <c r="L769" s="23" t="e">
        <f>(Posts[[#This Row],[Likes]]+Posts[[#This Row],[Shares]]+Posts[[#This Row],[Comments]])/Posts[[#This Row],[Impressions]]</f>
        <v>#DIV/0!</v>
      </c>
    </row>
    <row r="770" spans="3:12" x14ac:dyDescent="0.2">
      <c r="C770" s="1"/>
      <c r="L770" s="23" t="e">
        <f>(Posts[[#This Row],[Likes]]+Posts[[#This Row],[Shares]]+Posts[[#This Row],[Comments]])/Posts[[#This Row],[Impressions]]</f>
        <v>#DIV/0!</v>
      </c>
    </row>
    <row r="771" spans="3:12" x14ac:dyDescent="0.2">
      <c r="C771" s="1"/>
      <c r="L771" s="23" t="e">
        <f>(Posts[[#This Row],[Likes]]+Posts[[#This Row],[Shares]]+Posts[[#This Row],[Comments]])/Posts[[#This Row],[Impressions]]</f>
        <v>#DIV/0!</v>
      </c>
    </row>
    <row r="772" spans="3:12" x14ac:dyDescent="0.2">
      <c r="C772" s="1"/>
      <c r="L772" s="23" t="e">
        <f>(Posts[[#This Row],[Likes]]+Posts[[#This Row],[Shares]]+Posts[[#This Row],[Comments]])/Posts[[#This Row],[Impressions]]</f>
        <v>#DIV/0!</v>
      </c>
    </row>
    <row r="773" spans="3:12" x14ac:dyDescent="0.2">
      <c r="C773" s="1"/>
      <c r="L773" s="23" t="e">
        <f>(Posts[[#This Row],[Likes]]+Posts[[#This Row],[Shares]]+Posts[[#This Row],[Comments]])/Posts[[#This Row],[Impressions]]</f>
        <v>#DIV/0!</v>
      </c>
    </row>
    <row r="774" spans="3:12" x14ac:dyDescent="0.2">
      <c r="C774" s="1"/>
      <c r="L774" s="23" t="e">
        <f>(Posts[[#This Row],[Likes]]+Posts[[#This Row],[Shares]]+Posts[[#This Row],[Comments]])/Posts[[#This Row],[Impressions]]</f>
        <v>#DIV/0!</v>
      </c>
    </row>
    <row r="775" spans="3:12" x14ac:dyDescent="0.2">
      <c r="C775" s="1"/>
      <c r="L775" s="23" t="e">
        <f>(Posts[[#This Row],[Likes]]+Posts[[#This Row],[Shares]]+Posts[[#This Row],[Comments]])/Posts[[#This Row],[Impressions]]</f>
        <v>#DIV/0!</v>
      </c>
    </row>
    <row r="776" spans="3:12" x14ac:dyDescent="0.2">
      <c r="C776" s="1"/>
      <c r="L776" s="23" t="e">
        <f>(Posts[[#This Row],[Likes]]+Posts[[#This Row],[Shares]]+Posts[[#This Row],[Comments]])/Posts[[#This Row],[Impressions]]</f>
        <v>#DIV/0!</v>
      </c>
    </row>
    <row r="777" spans="3:12" x14ac:dyDescent="0.2">
      <c r="C777" s="1"/>
      <c r="L777" s="23" t="e">
        <f>(Posts[[#This Row],[Likes]]+Posts[[#This Row],[Shares]]+Posts[[#This Row],[Comments]])/Posts[[#This Row],[Impressions]]</f>
        <v>#DIV/0!</v>
      </c>
    </row>
    <row r="778" spans="3:12" x14ac:dyDescent="0.2">
      <c r="C778" s="1"/>
      <c r="L778" s="23" t="e">
        <f>(Posts[[#This Row],[Likes]]+Posts[[#This Row],[Shares]]+Posts[[#This Row],[Comments]])/Posts[[#This Row],[Impressions]]</f>
        <v>#DIV/0!</v>
      </c>
    </row>
    <row r="779" spans="3:12" x14ac:dyDescent="0.2">
      <c r="C779" s="1"/>
      <c r="L779" s="23" t="e">
        <f>(Posts[[#This Row],[Likes]]+Posts[[#This Row],[Shares]]+Posts[[#This Row],[Comments]])/Posts[[#This Row],[Impressions]]</f>
        <v>#DIV/0!</v>
      </c>
    </row>
    <row r="780" spans="3:12" x14ac:dyDescent="0.2">
      <c r="C780" s="1"/>
      <c r="L780" s="23" t="e">
        <f>(Posts[[#This Row],[Likes]]+Posts[[#This Row],[Shares]]+Posts[[#This Row],[Comments]])/Posts[[#This Row],[Impressions]]</f>
        <v>#DIV/0!</v>
      </c>
    </row>
    <row r="781" spans="3:12" x14ac:dyDescent="0.2">
      <c r="C781" s="1"/>
      <c r="L781" s="23" t="e">
        <f>(Posts[[#This Row],[Likes]]+Posts[[#This Row],[Shares]]+Posts[[#This Row],[Comments]])/Posts[[#This Row],[Impressions]]</f>
        <v>#DIV/0!</v>
      </c>
    </row>
    <row r="782" spans="3:12" x14ac:dyDescent="0.2">
      <c r="C782" s="1"/>
      <c r="L782" s="23" t="e">
        <f>(Posts[[#This Row],[Likes]]+Posts[[#This Row],[Shares]]+Posts[[#This Row],[Comments]])/Posts[[#This Row],[Impressions]]</f>
        <v>#DIV/0!</v>
      </c>
    </row>
    <row r="783" spans="3:12" x14ac:dyDescent="0.2">
      <c r="C783" s="1"/>
      <c r="L783" s="23" t="e">
        <f>(Posts[[#This Row],[Likes]]+Posts[[#This Row],[Shares]]+Posts[[#This Row],[Comments]])/Posts[[#This Row],[Impressions]]</f>
        <v>#DIV/0!</v>
      </c>
    </row>
    <row r="784" spans="3:12" x14ac:dyDescent="0.2">
      <c r="C784" s="1"/>
      <c r="L784" s="23" t="e">
        <f>(Posts[[#This Row],[Likes]]+Posts[[#This Row],[Shares]]+Posts[[#This Row],[Comments]])/Posts[[#This Row],[Impressions]]</f>
        <v>#DIV/0!</v>
      </c>
    </row>
    <row r="785" spans="3:12" x14ac:dyDescent="0.2">
      <c r="C785" s="1"/>
      <c r="L785" s="23" t="e">
        <f>(Posts[[#This Row],[Likes]]+Posts[[#This Row],[Shares]]+Posts[[#This Row],[Comments]])/Posts[[#This Row],[Impressions]]</f>
        <v>#DIV/0!</v>
      </c>
    </row>
    <row r="786" spans="3:12" x14ac:dyDescent="0.2">
      <c r="C786" s="1"/>
      <c r="L786" s="23" t="e">
        <f>(Posts[[#This Row],[Likes]]+Posts[[#This Row],[Shares]]+Posts[[#This Row],[Comments]])/Posts[[#This Row],[Impressions]]</f>
        <v>#DIV/0!</v>
      </c>
    </row>
    <row r="787" spans="3:12" x14ac:dyDescent="0.2">
      <c r="C787" s="1"/>
      <c r="L787" s="23" t="e">
        <f>(Posts[[#This Row],[Likes]]+Posts[[#This Row],[Shares]]+Posts[[#This Row],[Comments]])/Posts[[#This Row],[Impressions]]</f>
        <v>#DIV/0!</v>
      </c>
    </row>
    <row r="788" spans="3:12" x14ac:dyDescent="0.2">
      <c r="C788" s="1"/>
      <c r="L788" s="23" t="e">
        <f>(Posts[[#This Row],[Likes]]+Posts[[#This Row],[Shares]]+Posts[[#This Row],[Comments]])/Posts[[#This Row],[Impressions]]</f>
        <v>#DIV/0!</v>
      </c>
    </row>
    <row r="789" spans="3:12" x14ac:dyDescent="0.2">
      <c r="C789" s="1"/>
      <c r="L789" s="23" t="e">
        <f>(Posts[[#This Row],[Likes]]+Posts[[#This Row],[Shares]]+Posts[[#This Row],[Comments]])/Posts[[#This Row],[Impressions]]</f>
        <v>#DIV/0!</v>
      </c>
    </row>
    <row r="790" spans="3:12" x14ac:dyDescent="0.2">
      <c r="C790" s="1"/>
      <c r="L790" s="23" t="e">
        <f>(Posts[[#This Row],[Likes]]+Posts[[#This Row],[Shares]]+Posts[[#This Row],[Comments]])/Posts[[#This Row],[Impressions]]</f>
        <v>#DIV/0!</v>
      </c>
    </row>
    <row r="791" spans="3:12" x14ac:dyDescent="0.2">
      <c r="C791" s="1"/>
      <c r="L791" s="23" t="e">
        <f>(Posts[[#This Row],[Likes]]+Posts[[#This Row],[Shares]]+Posts[[#This Row],[Comments]])/Posts[[#This Row],[Impressions]]</f>
        <v>#DIV/0!</v>
      </c>
    </row>
    <row r="792" spans="3:12" x14ac:dyDescent="0.2">
      <c r="C792" s="1"/>
      <c r="L792" s="23" t="e">
        <f>(Posts[[#This Row],[Likes]]+Posts[[#This Row],[Shares]]+Posts[[#This Row],[Comments]])/Posts[[#This Row],[Impressions]]</f>
        <v>#DIV/0!</v>
      </c>
    </row>
    <row r="793" spans="3:12" x14ac:dyDescent="0.2">
      <c r="C793" s="1"/>
      <c r="L793" s="23" t="e">
        <f>(Posts[[#This Row],[Likes]]+Posts[[#This Row],[Shares]]+Posts[[#This Row],[Comments]])/Posts[[#This Row],[Impressions]]</f>
        <v>#DIV/0!</v>
      </c>
    </row>
    <row r="794" spans="3:12" x14ac:dyDescent="0.2">
      <c r="C794" s="1"/>
      <c r="L794" s="23" t="e">
        <f>(Posts[[#This Row],[Likes]]+Posts[[#This Row],[Shares]]+Posts[[#This Row],[Comments]])/Posts[[#This Row],[Impressions]]</f>
        <v>#DIV/0!</v>
      </c>
    </row>
    <row r="795" spans="3:12" x14ac:dyDescent="0.2">
      <c r="C795" s="1"/>
      <c r="L795" s="23" t="e">
        <f>(Posts[[#This Row],[Likes]]+Posts[[#This Row],[Shares]]+Posts[[#This Row],[Comments]])/Posts[[#This Row],[Impressions]]</f>
        <v>#DIV/0!</v>
      </c>
    </row>
    <row r="796" spans="3:12" x14ac:dyDescent="0.2">
      <c r="C796" s="1"/>
      <c r="L796" s="23" t="e">
        <f>(Posts[[#This Row],[Likes]]+Posts[[#This Row],[Shares]]+Posts[[#This Row],[Comments]])/Posts[[#This Row],[Impressions]]</f>
        <v>#DIV/0!</v>
      </c>
    </row>
    <row r="797" spans="3:12" x14ac:dyDescent="0.2">
      <c r="C797" s="1"/>
      <c r="L797" s="23" t="e">
        <f>(Posts[[#This Row],[Likes]]+Posts[[#This Row],[Shares]]+Posts[[#This Row],[Comments]])/Posts[[#This Row],[Impressions]]</f>
        <v>#DIV/0!</v>
      </c>
    </row>
    <row r="798" spans="3:12" x14ac:dyDescent="0.2">
      <c r="C798" s="1"/>
      <c r="L798" s="23" t="e">
        <f>(Posts[[#This Row],[Likes]]+Posts[[#This Row],[Shares]]+Posts[[#This Row],[Comments]])/Posts[[#This Row],[Impressions]]</f>
        <v>#DIV/0!</v>
      </c>
    </row>
    <row r="799" spans="3:12" x14ac:dyDescent="0.2">
      <c r="C799" s="1"/>
      <c r="L799" s="23" t="e">
        <f>(Posts[[#This Row],[Likes]]+Posts[[#This Row],[Shares]]+Posts[[#This Row],[Comments]])/Posts[[#This Row],[Impressions]]</f>
        <v>#DIV/0!</v>
      </c>
    </row>
    <row r="800" spans="3:12" x14ac:dyDescent="0.2">
      <c r="C800" s="1"/>
      <c r="L800" s="23" t="e">
        <f>(Posts[[#This Row],[Likes]]+Posts[[#This Row],[Shares]]+Posts[[#This Row],[Comments]])/Posts[[#This Row],[Impressions]]</f>
        <v>#DIV/0!</v>
      </c>
    </row>
    <row r="801" spans="3:12" x14ac:dyDescent="0.2">
      <c r="C801" s="1"/>
      <c r="L801" s="23" t="e">
        <f>(Posts[[#This Row],[Likes]]+Posts[[#This Row],[Shares]]+Posts[[#This Row],[Comments]])/Posts[[#This Row],[Impressions]]</f>
        <v>#DIV/0!</v>
      </c>
    </row>
    <row r="802" spans="3:12" x14ac:dyDescent="0.2">
      <c r="C802" s="1"/>
      <c r="L802" s="23" t="e">
        <f>(Posts[[#This Row],[Likes]]+Posts[[#This Row],[Shares]]+Posts[[#This Row],[Comments]])/Posts[[#This Row],[Impressions]]</f>
        <v>#DIV/0!</v>
      </c>
    </row>
    <row r="803" spans="3:12" x14ac:dyDescent="0.2">
      <c r="C803" s="1"/>
      <c r="L803" s="23" t="e">
        <f>(Posts[[#This Row],[Likes]]+Posts[[#This Row],[Shares]]+Posts[[#This Row],[Comments]])/Posts[[#This Row],[Impressions]]</f>
        <v>#DIV/0!</v>
      </c>
    </row>
    <row r="804" spans="3:12" x14ac:dyDescent="0.2">
      <c r="C804" s="1"/>
      <c r="L804" s="23" t="e">
        <f>(Posts[[#This Row],[Likes]]+Posts[[#This Row],[Shares]]+Posts[[#This Row],[Comments]])/Posts[[#This Row],[Impressions]]</f>
        <v>#DIV/0!</v>
      </c>
    </row>
    <row r="805" spans="3:12" x14ac:dyDescent="0.2">
      <c r="C805" s="1"/>
      <c r="L805" s="23" t="e">
        <f>(Posts[[#This Row],[Likes]]+Posts[[#This Row],[Shares]]+Posts[[#This Row],[Comments]])/Posts[[#This Row],[Impressions]]</f>
        <v>#DIV/0!</v>
      </c>
    </row>
    <row r="806" spans="3:12" x14ac:dyDescent="0.2">
      <c r="C806" s="1"/>
      <c r="L806" s="23" t="e">
        <f>(Posts[[#This Row],[Likes]]+Posts[[#This Row],[Shares]]+Posts[[#This Row],[Comments]])/Posts[[#This Row],[Impressions]]</f>
        <v>#DIV/0!</v>
      </c>
    </row>
    <row r="807" spans="3:12" x14ac:dyDescent="0.2">
      <c r="C807" s="1"/>
      <c r="L807" s="23" t="e">
        <f>(Posts[[#This Row],[Likes]]+Posts[[#This Row],[Shares]]+Posts[[#This Row],[Comments]])/Posts[[#This Row],[Impressions]]</f>
        <v>#DIV/0!</v>
      </c>
    </row>
    <row r="808" spans="3:12" x14ac:dyDescent="0.2">
      <c r="C808" s="1"/>
      <c r="L808" s="23" t="e">
        <f>(Posts[[#This Row],[Likes]]+Posts[[#This Row],[Shares]]+Posts[[#This Row],[Comments]])/Posts[[#This Row],[Impressions]]</f>
        <v>#DIV/0!</v>
      </c>
    </row>
    <row r="809" spans="3:12" x14ac:dyDescent="0.2">
      <c r="C809" s="1"/>
      <c r="L809" s="23" t="e">
        <f>(Posts[[#This Row],[Likes]]+Posts[[#This Row],[Shares]]+Posts[[#This Row],[Comments]])/Posts[[#This Row],[Impressions]]</f>
        <v>#DIV/0!</v>
      </c>
    </row>
    <row r="810" spans="3:12" x14ac:dyDescent="0.2">
      <c r="C810" s="1"/>
      <c r="L810" s="23" t="e">
        <f>(Posts[[#This Row],[Likes]]+Posts[[#This Row],[Shares]]+Posts[[#This Row],[Comments]])/Posts[[#This Row],[Impressions]]</f>
        <v>#DIV/0!</v>
      </c>
    </row>
    <row r="811" spans="3:12" x14ac:dyDescent="0.2">
      <c r="C811" s="1"/>
      <c r="L811" s="23" t="e">
        <f>(Posts[[#This Row],[Likes]]+Posts[[#This Row],[Shares]]+Posts[[#This Row],[Comments]])/Posts[[#This Row],[Impressions]]</f>
        <v>#DIV/0!</v>
      </c>
    </row>
    <row r="812" spans="3:12" x14ac:dyDescent="0.2">
      <c r="C812" s="1"/>
      <c r="L812" s="23" t="e">
        <f>(Posts[[#This Row],[Likes]]+Posts[[#This Row],[Shares]]+Posts[[#This Row],[Comments]])/Posts[[#This Row],[Impressions]]</f>
        <v>#DIV/0!</v>
      </c>
    </row>
    <row r="813" spans="3:12" x14ac:dyDescent="0.2">
      <c r="C813" s="1"/>
      <c r="L813" s="23" t="e">
        <f>(Posts[[#This Row],[Likes]]+Posts[[#This Row],[Shares]]+Posts[[#This Row],[Comments]])/Posts[[#This Row],[Impressions]]</f>
        <v>#DIV/0!</v>
      </c>
    </row>
    <row r="814" spans="3:12" x14ac:dyDescent="0.2">
      <c r="C814" s="1"/>
      <c r="L814" s="23" t="e">
        <f>(Posts[[#This Row],[Likes]]+Posts[[#This Row],[Shares]]+Posts[[#This Row],[Comments]])/Posts[[#This Row],[Impressions]]</f>
        <v>#DIV/0!</v>
      </c>
    </row>
    <row r="815" spans="3:12" x14ac:dyDescent="0.2">
      <c r="C815" s="1"/>
      <c r="L815" s="23" t="e">
        <f>(Posts[[#This Row],[Likes]]+Posts[[#This Row],[Shares]]+Posts[[#This Row],[Comments]])/Posts[[#This Row],[Impressions]]</f>
        <v>#DIV/0!</v>
      </c>
    </row>
    <row r="816" spans="3:12" x14ac:dyDescent="0.2">
      <c r="C816" s="1"/>
      <c r="L816" s="23" t="e">
        <f>(Posts[[#This Row],[Likes]]+Posts[[#This Row],[Shares]]+Posts[[#This Row],[Comments]])/Posts[[#This Row],[Impressions]]</f>
        <v>#DIV/0!</v>
      </c>
    </row>
    <row r="817" spans="3:12" x14ac:dyDescent="0.2">
      <c r="C817" s="1"/>
      <c r="L817" s="23" t="e">
        <f>(Posts[[#This Row],[Likes]]+Posts[[#This Row],[Shares]]+Posts[[#This Row],[Comments]])/Posts[[#This Row],[Impressions]]</f>
        <v>#DIV/0!</v>
      </c>
    </row>
    <row r="818" spans="3:12" x14ac:dyDescent="0.2">
      <c r="C818" s="1"/>
      <c r="L818" s="23" t="e">
        <f>(Posts[[#This Row],[Likes]]+Posts[[#This Row],[Shares]]+Posts[[#This Row],[Comments]])/Posts[[#This Row],[Impressions]]</f>
        <v>#DIV/0!</v>
      </c>
    </row>
    <row r="819" spans="3:12" x14ac:dyDescent="0.2">
      <c r="C819" s="1"/>
      <c r="L819" s="23" t="e">
        <f>(Posts[[#This Row],[Likes]]+Posts[[#This Row],[Shares]]+Posts[[#This Row],[Comments]])/Posts[[#This Row],[Impressions]]</f>
        <v>#DIV/0!</v>
      </c>
    </row>
    <row r="820" spans="3:12" x14ac:dyDescent="0.2">
      <c r="C820" s="1"/>
      <c r="L820" s="23" t="e">
        <f>(Posts[[#This Row],[Likes]]+Posts[[#This Row],[Shares]]+Posts[[#This Row],[Comments]])/Posts[[#This Row],[Impressions]]</f>
        <v>#DIV/0!</v>
      </c>
    </row>
    <row r="821" spans="3:12" x14ac:dyDescent="0.2">
      <c r="C821" s="1"/>
      <c r="L821" s="23" t="e">
        <f>(Posts[[#This Row],[Likes]]+Posts[[#This Row],[Shares]]+Posts[[#This Row],[Comments]])/Posts[[#This Row],[Impressions]]</f>
        <v>#DIV/0!</v>
      </c>
    </row>
    <row r="822" spans="3:12" x14ac:dyDescent="0.2">
      <c r="C822" s="1"/>
      <c r="L822" s="23" t="e">
        <f>(Posts[[#This Row],[Likes]]+Posts[[#This Row],[Shares]]+Posts[[#This Row],[Comments]])/Posts[[#This Row],[Impressions]]</f>
        <v>#DIV/0!</v>
      </c>
    </row>
    <row r="823" spans="3:12" x14ac:dyDescent="0.2">
      <c r="C823" s="1"/>
      <c r="L823" s="23" t="e">
        <f>(Posts[[#This Row],[Likes]]+Posts[[#This Row],[Shares]]+Posts[[#This Row],[Comments]])/Posts[[#This Row],[Impressions]]</f>
        <v>#DIV/0!</v>
      </c>
    </row>
    <row r="824" spans="3:12" x14ac:dyDescent="0.2">
      <c r="C824" s="1"/>
      <c r="L824" s="23" t="e">
        <f>(Posts[[#This Row],[Likes]]+Posts[[#This Row],[Shares]]+Posts[[#This Row],[Comments]])/Posts[[#This Row],[Impressions]]</f>
        <v>#DIV/0!</v>
      </c>
    </row>
    <row r="825" spans="3:12" x14ac:dyDescent="0.2">
      <c r="C825" s="1"/>
      <c r="L825" s="23" t="e">
        <f>(Posts[[#This Row],[Likes]]+Posts[[#This Row],[Shares]]+Posts[[#This Row],[Comments]])/Posts[[#This Row],[Impressions]]</f>
        <v>#DIV/0!</v>
      </c>
    </row>
    <row r="826" spans="3:12" x14ac:dyDescent="0.2">
      <c r="C826" s="1"/>
      <c r="L826" s="23" t="e">
        <f>(Posts[[#This Row],[Likes]]+Posts[[#This Row],[Shares]]+Posts[[#This Row],[Comments]])/Posts[[#This Row],[Impressions]]</f>
        <v>#DIV/0!</v>
      </c>
    </row>
    <row r="827" spans="3:12" x14ac:dyDescent="0.2">
      <c r="C827" s="1"/>
      <c r="L827" s="23" t="e">
        <f>(Posts[[#This Row],[Likes]]+Posts[[#This Row],[Shares]]+Posts[[#This Row],[Comments]])/Posts[[#This Row],[Impressions]]</f>
        <v>#DIV/0!</v>
      </c>
    </row>
    <row r="828" spans="3:12" x14ac:dyDescent="0.2">
      <c r="C828" s="1"/>
      <c r="L828" s="23" t="e">
        <f>(Posts[[#This Row],[Likes]]+Posts[[#This Row],[Shares]]+Posts[[#This Row],[Comments]])/Posts[[#This Row],[Impressions]]</f>
        <v>#DIV/0!</v>
      </c>
    </row>
    <row r="829" spans="3:12" x14ac:dyDescent="0.2">
      <c r="C829" s="1"/>
      <c r="L829" s="23" t="e">
        <f>(Posts[[#This Row],[Likes]]+Posts[[#This Row],[Shares]]+Posts[[#This Row],[Comments]])/Posts[[#This Row],[Impressions]]</f>
        <v>#DIV/0!</v>
      </c>
    </row>
    <row r="830" spans="3:12" x14ac:dyDescent="0.2">
      <c r="C830" s="1"/>
      <c r="L830" s="23" t="e">
        <f>(Posts[[#This Row],[Likes]]+Posts[[#This Row],[Shares]]+Posts[[#This Row],[Comments]])/Posts[[#This Row],[Impressions]]</f>
        <v>#DIV/0!</v>
      </c>
    </row>
    <row r="831" spans="3:12" x14ac:dyDescent="0.2">
      <c r="C831" s="1"/>
      <c r="L831" s="23" t="e">
        <f>(Posts[[#This Row],[Likes]]+Posts[[#This Row],[Shares]]+Posts[[#This Row],[Comments]])/Posts[[#This Row],[Impressions]]</f>
        <v>#DIV/0!</v>
      </c>
    </row>
    <row r="832" spans="3:12" x14ac:dyDescent="0.2">
      <c r="C832" s="1"/>
      <c r="L832" s="23" t="e">
        <f>(Posts[[#This Row],[Likes]]+Posts[[#This Row],[Shares]]+Posts[[#This Row],[Comments]])/Posts[[#This Row],[Impressions]]</f>
        <v>#DIV/0!</v>
      </c>
    </row>
    <row r="833" spans="3:12" x14ac:dyDescent="0.2">
      <c r="C833" s="1"/>
      <c r="L833" s="23" t="e">
        <f>(Posts[[#This Row],[Likes]]+Posts[[#This Row],[Shares]]+Posts[[#This Row],[Comments]])/Posts[[#This Row],[Impressions]]</f>
        <v>#DIV/0!</v>
      </c>
    </row>
    <row r="834" spans="3:12" x14ac:dyDescent="0.2">
      <c r="C834" s="1"/>
      <c r="L834" s="23" t="e">
        <f>(Posts[[#This Row],[Likes]]+Posts[[#This Row],[Shares]]+Posts[[#This Row],[Comments]])/Posts[[#This Row],[Impressions]]</f>
        <v>#DIV/0!</v>
      </c>
    </row>
    <row r="835" spans="3:12" x14ac:dyDescent="0.2">
      <c r="C835" s="1"/>
      <c r="L835" s="23" t="e">
        <f>(Posts[[#This Row],[Likes]]+Posts[[#This Row],[Shares]]+Posts[[#This Row],[Comments]])/Posts[[#This Row],[Impressions]]</f>
        <v>#DIV/0!</v>
      </c>
    </row>
    <row r="836" spans="3:12" x14ac:dyDescent="0.2">
      <c r="C836" s="1"/>
      <c r="L836" s="23" t="e">
        <f>(Posts[[#This Row],[Likes]]+Posts[[#This Row],[Shares]]+Posts[[#This Row],[Comments]])/Posts[[#This Row],[Impressions]]</f>
        <v>#DIV/0!</v>
      </c>
    </row>
    <row r="837" spans="3:12" x14ac:dyDescent="0.2">
      <c r="C837" s="1"/>
      <c r="L837" s="23" t="e">
        <f>(Posts[[#This Row],[Likes]]+Posts[[#This Row],[Shares]]+Posts[[#This Row],[Comments]])/Posts[[#This Row],[Impressions]]</f>
        <v>#DIV/0!</v>
      </c>
    </row>
    <row r="838" spans="3:12" x14ac:dyDescent="0.2">
      <c r="C838" s="1"/>
      <c r="L838" s="23" t="e">
        <f>(Posts[[#This Row],[Likes]]+Posts[[#This Row],[Shares]]+Posts[[#This Row],[Comments]])/Posts[[#This Row],[Impressions]]</f>
        <v>#DIV/0!</v>
      </c>
    </row>
    <row r="839" spans="3:12" x14ac:dyDescent="0.2">
      <c r="C839" s="1"/>
      <c r="L839" s="23" t="e">
        <f>(Posts[[#This Row],[Likes]]+Posts[[#This Row],[Shares]]+Posts[[#This Row],[Comments]])/Posts[[#This Row],[Impressions]]</f>
        <v>#DIV/0!</v>
      </c>
    </row>
    <row r="840" spans="3:12" x14ac:dyDescent="0.2">
      <c r="C840" s="1"/>
      <c r="L840" s="23" t="e">
        <f>(Posts[[#This Row],[Likes]]+Posts[[#This Row],[Shares]]+Posts[[#This Row],[Comments]])/Posts[[#This Row],[Impressions]]</f>
        <v>#DIV/0!</v>
      </c>
    </row>
    <row r="841" spans="3:12" x14ac:dyDescent="0.2">
      <c r="C841" s="1"/>
      <c r="L841" s="23" t="e">
        <f>(Posts[[#This Row],[Likes]]+Posts[[#This Row],[Shares]]+Posts[[#This Row],[Comments]])/Posts[[#This Row],[Impressions]]</f>
        <v>#DIV/0!</v>
      </c>
    </row>
    <row r="842" spans="3:12" x14ac:dyDescent="0.2">
      <c r="C842" s="1"/>
      <c r="L842" s="23" t="e">
        <f>(Posts[[#This Row],[Likes]]+Posts[[#This Row],[Shares]]+Posts[[#This Row],[Comments]])/Posts[[#This Row],[Impressions]]</f>
        <v>#DIV/0!</v>
      </c>
    </row>
    <row r="843" spans="3:12" x14ac:dyDescent="0.2">
      <c r="C843" s="1"/>
      <c r="L843" s="23" t="e">
        <f>(Posts[[#This Row],[Likes]]+Posts[[#This Row],[Shares]]+Posts[[#This Row],[Comments]])/Posts[[#This Row],[Impressions]]</f>
        <v>#DIV/0!</v>
      </c>
    </row>
    <row r="844" spans="3:12" x14ac:dyDescent="0.2">
      <c r="C844" s="1"/>
      <c r="L844" s="23" t="e">
        <f>(Posts[[#This Row],[Likes]]+Posts[[#This Row],[Shares]]+Posts[[#This Row],[Comments]])/Posts[[#This Row],[Impressions]]</f>
        <v>#DIV/0!</v>
      </c>
    </row>
    <row r="845" spans="3:12" x14ac:dyDescent="0.2">
      <c r="C845" s="1"/>
      <c r="L845" s="23" t="e">
        <f>(Posts[[#This Row],[Likes]]+Posts[[#This Row],[Shares]]+Posts[[#This Row],[Comments]])/Posts[[#This Row],[Impressions]]</f>
        <v>#DIV/0!</v>
      </c>
    </row>
    <row r="846" spans="3:12" x14ac:dyDescent="0.2">
      <c r="C846" s="1"/>
      <c r="L846" s="23" t="e">
        <f>(Posts[[#This Row],[Likes]]+Posts[[#This Row],[Shares]]+Posts[[#This Row],[Comments]])/Posts[[#This Row],[Impressions]]</f>
        <v>#DIV/0!</v>
      </c>
    </row>
    <row r="847" spans="3:12" x14ac:dyDescent="0.2">
      <c r="C847" s="1"/>
      <c r="L847" s="23" t="e">
        <f>(Posts[[#This Row],[Likes]]+Posts[[#This Row],[Shares]]+Posts[[#This Row],[Comments]])/Posts[[#This Row],[Impressions]]</f>
        <v>#DIV/0!</v>
      </c>
    </row>
    <row r="848" spans="3:12" x14ac:dyDescent="0.2">
      <c r="C848" s="1"/>
      <c r="L848" s="23" t="e">
        <f>(Posts[[#This Row],[Likes]]+Posts[[#This Row],[Shares]]+Posts[[#This Row],[Comments]])/Posts[[#This Row],[Impressions]]</f>
        <v>#DIV/0!</v>
      </c>
    </row>
    <row r="849" spans="3:12" x14ac:dyDescent="0.2">
      <c r="C849" s="1"/>
      <c r="L849" s="23" t="e">
        <f>(Posts[[#This Row],[Likes]]+Posts[[#This Row],[Shares]]+Posts[[#This Row],[Comments]])/Posts[[#This Row],[Impressions]]</f>
        <v>#DIV/0!</v>
      </c>
    </row>
    <row r="850" spans="3:12" x14ac:dyDescent="0.2">
      <c r="C850" s="1"/>
      <c r="L850" s="23" t="e">
        <f>(Posts[[#This Row],[Likes]]+Posts[[#This Row],[Shares]]+Posts[[#This Row],[Comments]])/Posts[[#This Row],[Impressions]]</f>
        <v>#DIV/0!</v>
      </c>
    </row>
    <row r="851" spans="3:12" x14ac:dyDescent="0.2">
      <c r="C851" s="1"/>
      <c r="L851" s="23" t="e">
        <f>(Posts[[#This Row],[Likes]]+Posts[[#This Row],[Shares]]+Posts[[#This Row],[Comments]])/Posts[[#This Row],[Impressions]]</f>
        <v>#DIV/0!</v>
      </c>
    </row>
    <row r="852" spans="3:12" x14ac:dyDescent="0.2">
      <c r="C852" s="1"/>
      <c r="L852" s="23" t="e">
        <f>(Posts[[#This Row],[Likes]]+Posts[[#This Row],[Shares]]+Posts[[#This Row],[Comments]])/Posts[[#This Row],[Impressions]]</f>
        <v>#DIV/0!</v>
      </c>
    </row>
    <row r="853" spans="3:12" x14ac:dyDescent="0.2">
      <c r="C853" s="1"/>
      <c r="L853" s="23" t="e">
        <f>(Posts[[#This Row],[Likes]]+Posts[[#This Row],[Shares]]+Posts[[#This Row],[Comments]])/Posts[[#This Row],[Impressions]]</f>
        <v>#DIV/0!</v>
      </c>
    </row>
    <row r="854" spans="3:12" x14ac:dyDescent="0.2">
      <c r="C854" s="1"/>
      <c r="L854" s="23" t="e">
        <f>(Posts[[#This Row],[Likes]]+Posts[[#This Row],[Shares]]+Posts[[#This Row],[Comments]])/Posts[[#This Row],[Impressions]]</f>
        <v>#DIV/0!</v>
      </c>
    </row>
    <row r="855" spans="3:12" x14ac:dyDescent="0.2">
      <c r="C855" s="1"/>
      <c r="L855" s="23" t="e">
        <f>(Posts[[#This Row],[Likes]]+Posts[[#This Row],[Shares]]+Posts[[#This Row],[Comments]])/Posts[[#This Row],[Impressions]]</f>
        <v>#DIV/0!</v>
      </c>
    </row>
    <row r="856" spans="3:12" x14ac:dyDescent="0.2">
      <c r="C856" s="1"/>
      <c r="L856" s="23" t="e">
        <f>(Posts[[#This Row],[Likes]]+Posts[[#This Row],[Shares]]+Posts[[#This Row],[Comments]])/Posts[[#This Row],[Impressions]]</f>
        <v>#DIV/0!</v>
      </c>
    </row>
    <row r="857" spans="3:12" x14ac:dyDescent="0.2">
      <c r="C857" s="1"/>
      <c r="L857" s="23" t="e">
        <f>(Posts[[#This Row],[Likes]]+Posts[[#This Row],[Shares]]+Posts[[#This Row],[Comments]])/Posts[[#This Row],[Impressions]]</f>
        <v>#DIV/0!</v>
      </c>
    </row>
    <row r="858" spans="3:12" x14ac:dyDescent="0.2">
      <c r="C858" s="1"/>
      <c r="L858" s="23" t="e">
        <f>(Posts[[#This Row],[Likes]]+Posts[[#This Row],[Shares]]+Posts[[#This Row],[Comments]])/Posts[[#This Row],[Impressions]]</f>
        <v>#DIV/0!</v>
      </c>
    </row>
    <row r="859" spans="3:12" x14ac:dyDescent="0.2">
      <c r="C859" s="1"/>
      <c r="L859" s="23" t="e">
        <f>(Posts[[#This Row],[Likes]]+Posts[[#This Row],[Shares]]+Posts[[#This Row],[Comments]])/Posts[[#This Row],[Impressions]]</f>
        <v>#DIV/0!</v>
      </c>
    </row>
    <row r="860" spans="3:12" x14ac:dyDescent="0.2">
      <c r="C860" s="1"/>
      <c r="L860" s="23" t="e">
        <f>(Posts[[#This Row],[Likes]]+Posts[[#This Row],[Shares]]+Posts[[#This Row],[Comments]])/Posts[[#This Row],[Impressions]]</f>
        <v>#DIV/0!</v>
      </c>
    </row>
    <row r="861" spans="3:12" x14ac:dyDescent="0.2">
      <c r="C861" s="1"/>
      <c r="L861" s="23" t="e">
        <f>(Posts[[#This Row],[Likes]]+Posts[[#This Row],[Shares]]+Posts[[#This Row],[Comments]])/Posts[[#This Row],[Impressions]]</f>
        <v>#DIV/0!</v>
      </c>
    </row>
    <row r="862" spans="3:12" x14ac:dyDescent="0.2">
      <c r="C862" s="1"/>
      <c r="L862" s="23" t="e">
        <f>(Posts[[#This Row],[Likes]]+Posts[[#This Row],[Shares]]+Posts[[#This Row],[Comments]])/Posts[[#This Row],[Impressions]]</f>
        <v>#DIV/0!</v>
      </c>
    </row>
    <row r="863" spans="3:12" x14ac:dyDescent="0.2">
      <c r="C863" s="1"/>
      <c r="L863" s="23" t="e">
        <f>(Posts[[#This Row],[Likes]]+Posts[[#This Row],[Shares]]+Posts[[#This Row],[Comments]])/Posts[[#This Row],[Impressions]]</f>
        <v>#DIV/0!</v>
      </c>
    </row>
    <row r="864" spans="3:12" x14ac:dyDescent="0.2">
      <c r="C864" s="1"/>
      <c r="L864" s="23" t="e">
        <f>(Posts[[#This Row],[Likes]]+Posts[[#This Row],[Shares]]+Posts[[#This Row],[Comments]])/Posts[[#This Row],[Impressions]]</f>
        <v>#DIV/0!</v>
      </c>
    </row>
    <row r="865" spans="3:12" x14ac:dyDescent="0.2">
      <c r="C865" s="1"/>
      <c r="L865" s="23" t="e">
        <f>(Posts[[#This Row],[Likes]]+Posts[[#This Row],[Shares]]+Posts[[#This Row],[Comments]])/Posts[[#This Row],[Impressions]]</f>
        <v>#DIV/0!</v>
      </c>
    </row>
    <row r="866" spans="3:12" x14ac:dyDescent="0.2">
      <c r="C866" s="1"/>
      <c r="L866" s="23" t="e">
        <f>(Posts[[#This Row],[Likes]]+Posts[[#This Row],[Shares]]+Posts[[#This Row],[Comments]])/Posts[[#This Row],[Impressions]]</f>
        <v>#DIV/0!</v>
      </c>
    </row>
    <row r="867" spans="3:12" x14ac:dyDescent="0.2">
      <c r="C867" s="1"/>
      <c r="L867" s="23" t="e">
        <f>(Posts[[#This Row],[Likes]]+Posts[[#This Row],[Shares]]+Posts[[#This Row],[Comments]])/Posts[[#This Row],[Impressions]]</f>
        <v>#DIV/0!</v>
      </c>
    </row>
    <row r="868" spans="3:12" x14ac:dyDescent="0.2">
      <c r="C868" s="1"/>
      <c r="L868" s="23" t="e">
        <f>(Posts[[#This Row],[Likes]]+Posts[[#This Row],[Shares]]+Posts[[#This Row],[Comments]])/Posts[[#This Row],[Impressions]]</f>
        <v>#DIV/0!</v>
      </c>
    </row>
    <row r="869" spans="3:12" x14ac:dyDescent="0.2">
      <c r="C869" s="1"/>
      <c r="L869" s="23" t="e">
        <f>(Posts[[#This Row],[Likes]]+Posts[[#This Row],[Shares]]+Posts[[#This Row],[Comments]])/Posts[[#This Row],[Impressions]]</f>
        <v>#DIV/0!</v>
      </c>
    </row>
    <row r="870" spans="3:12" x14ac:dyDescent="0.2">
      <c r="C870" s="1"/>
      <c r="L870" s="23" t="e">
        <f>(Posts[[#This Row],[Likes]]+Posts[[#This Row],[Shares]]+Posts[[#This Row],[Comments]])/Posts[[#This Row],[Impressions]]</f>
        <v>#DIV/0!</v>
      </c>
    </row>
    <row r="871" spans="3:12" x14ac:dyDescent="0.2">
      <c r="C871" s="1"/>
      <c r="L871" s="23" t="e">
        <f>(Posts[[#This Row],[Likes]]+Posts[[#This Row],[Shares]]+Posts[[#This Row],[Comments]])/Posts[[#This Row],[Impressions]]</f>
        <v>#DIV/0!</v>
      </c>
    </row>
    <row r="872" spans="3:12" x14ac:dyDescent="0.2">
      <c r="C872" s="1"/>
      <c r="L872" s="23" t="e">
        <f>(Posts[[#This Row],[Likes]]+Posts[[#This Row],[Shares]]+Posts[[#This Row],[Comments]])/Posts[[#This Row],[Impressions]]</f>
        <v>#DIV/0!</v>
      </c>
    </row>
    <row r="873" spans="3:12" x14ac:dyDescent="0.2">
      <c r="C873" s="1"/>
      <c r="L873" s="23" t="e">
        <f>(Posts[[#This Row],[Likes]]+Posts[[#This Row],[Shares]]+Posts[[#This Row],[Comments]])/Posts[[#This Row],[Impressions]]</f>
        <v>#DIV/0!</v>
      </c>
    </row>
    <row r="874" spans="3:12" x14ac:dyDescent="0.2">
      <c r="C874" s="1"/>
      <c r="L874" s="23" t="e">
        <f>(Posts[[#This Row],[Likes]]+Posts[[#This Row],[Shares]]+Posts[[#This Row],[Comments]])/Posts[[#This Row],[Impressions]]</f>
        <v>#DIV/0!</v>
      </c>
    </row>
    <row r="875" spans="3:12" x14ac:dyDescent="0.2">
      <c r="C875" s="1"/>
      <c r="L875" s="23" t="e">
        <f>(Posts[[#This Row],[Likes]]+Posts[[#This Row],[Shares]]+Posts[[#This Row],[Comments]])/Posts[[#This Row],[Impressions]]</f>
        <v>#DIV/0!</v>
      </c>
    </row>
    <row r="876" spans="3:12" x14ac:dyDescent="0.2">
      <c r="C876" s="1"/>
      <c r="L876" s="23" t="e">
        <f>(Posts[[#This Row],[Likes]]+Posts[[#This Row],[Shares]]+Posts[[#This Row],[Comments]])/Posts[[#This Row],[Impressions]]</f>
        <v>#DIV/0!</v>
      </c>
    </row>
    <row r="877" spans="3:12" x14ac:dyDescent="0.2">
      <c r="C877" s="1"/>
      <c r="L877" s="23" t="e">
        <f>(Posts[[#This Row],[Likes]]+Posts[[#This Row],[Shares]]+Posts[[#This Row],[Comments]])/Posts[[#This Row],[Impressions]]</f>
        <v>#DIV/0!</v>
      </c>
    </row>
    <row r="878" spans="3:12" x14ac:dyDescent="0.2">
      <c r="C878" s="1"/>
      <c r="L878" s="23" t="e">
        <f>(Posts[[#This Row],[Likes]]+Posts[[#This Row],[Shares]]+Posts[[#This Row],[Comments]])/Posts[[#This Row],[Impressions]]</f>
        <v>#DIV/0!</v>
      </c>
    </row>
    <row r="879" spans="3:12" x14ac:dyDescent="0.2">
      <c r="C879" s="1"/>
      <c r="L879" s="23" t="e">
        <f>(Posts[[#This Row],[Likes]]+Posts[[#This Row],[Shares]]+Posts[[#This Row],[Comments]])/Posts[[#This Row],[Impressions]]</f>
        <v>#DIV/0!</v>
      </c>
    </row>
    <row r="880" spans="3:12" x14ac:dyDescent="0.2">
      <c r="C880" s="1"/>
      <c r="L880" s="23" t="e">
        <f>(Posts[[#This Row],[Likes]]+Posts[[#This Row],[Shares]]+Posts[[#This Row],[Comments]])/Posts[[#This Row],[Impressions]]</f>
        <v>#DIV/0!</v>
      </c>
    </row>
    <row r="881" spans="3:12" x14ac:dyDescent="0.2">
      <c r="C881" s="1"/>
      <c r="L881" s="23" t="e">
        <f>(Posts[[#This Row],[Likes]]+Posts[[#This Row],[Shares]]+Posts[[#This Row],[Comments]])/Posts[[#This Row],[Impressions]]</f>
        <v>#DIV/0!</v>
      </c>
    </row>
    <row r="882" spans="3:12" x14ac:dyDescent="0.2">
      <c r="C882" s="1"/>
      <c r="L882" s="23" t="e">
        <f>(Posts[[#This Row],[Likes]]+Posts[[#This Row],[Shares]]+Posts[[#This Row],[Comments]])/Posts[[#This Row],[Impressions]]</f>
        <v>#DIV/0!</v>
      </c>
    </row>
    <row r="883" spans="3:12" x14ac:dyDescent="0.2">
      <c r="C883" s="1"/>
      <c r="L883" s="23" t="e">
        <f>(Posts[[#This Row],[Likes]]+Posts[[#This Row],[Shares]]+Posts[[#This Row],[Comments]])/Posts[[#This Row],[Impressions]]</f>
        <v>#DIV/0!</v>
      </c>
    </row>
    <row r="884" spans="3:12" x14ac:dyDescent="0.2">
      <c r="C884" s="1"/>
      <c r="L884" s="23" t="e">
        <f>(Posts[[#This Row],[Likes]]+Posts[[#This Row],[Shares]]+Posts[[#This Row],[Comments]])/Posts[[#This Row],[Impressions]]</f>
        <v>#DIV/0!</v>
      </c>
    </row>
    <row r="885" spans="3:12" x14ac:dyDescent="0.2">
      <c r="C885" s="1"/>
      <c r="L885" s="23" t="e">
        <f>(Posts[[#This Row],[Likes]]+Posts[[#This Row],[Shares]]+Posts[[#This Row],[Comments]])/Posts[[#This Row],[Impressions]]</f>
        <v>#DIV/0!</v>
      </c>
    </row>
    <row r="886" spans="3:12" x14ac:dyDescent="0.2">
      <c r="C886" s="1"/>
      <c r="L886" s="23" t="e">
        <f>(Posts[[#This Row],[Likes]]+Posts[[#This Row],[Shares]]+Posts[[#This Row],[Comments]])/Posts[[#This Row],[Impressions]]</f>
        <v>#DIV/0!</v>
      </c>
    </row>
    <row r="887" spans="3:12" x14ac:dyDescent="0.2">
      <c r="C887" s="1"/>
      <c r="L887" s="23" t="e">
        <f>(Posts[[#This Row],[Likes]]+Posts[[#This Row],[Shares]]+Posts[[#This Row],[Comments]])/Posts[[#This Row],[Impressions]]</f>
        <v>#DIV/0!</v>
      </c>
    </row>
    <row r="888" spans="3:12" x14ac:dyDescent="0.2">
      <c r="C888" s="1"/>
      <c r="L888" s="23" t="e">
        <f>(Posts[[#This Row],[Likes]]+Posts[[#This Row],[Shares]]+Posts[[#This Row],[Comments]])/Posts[[#This Row],[Impressions]]</f>
        <v>#DIV/0!</v>
      </c>
    </row>
    <row r="889" spans="3:12" x14ac:dyDescent="0.2">
      <c r="C889" s="1"/>
      <c r="L889" s="23" t="e">
        <f>(Posts[[#This Row],[Likes]]+Posts[[#This Row],[Shares]]+Posts[[#This Row],[Comments]])/Posts[[#This Row],[Impressions]]</f>
        <v>#DIV/0!</v>
      </c>
    </row>
    <row r="890" spans="3:12" x14ac:dyDescent="0.2">
      <c r="C890" s="1"/>
      <c r="L890" s="23" t="e">
        <f>(Posts[[#This Row],[Likes]]+Posts[[#This Row],[Shares]]+Posts[[#This Row],[Comments]])/Posts[[#This Row],[Impressions]]</f>
        <v>#DIV/0!</v>
      </c>
    </row>
    <row r="891" spans="3:12" x14ac:dyDescent="0.2">
      <c r="C891" s="1"/>
      <c r="L891" s="23" t="e">
        <f>(Posts[[#This Row],[Likes]]+Posts[[#This Row],[Shares]]+Posts[[#This Row],[Comments]])/Posts[[#This Row],[Impressions]]</f>
        <v>#DIV/0!</v>
      </c>
    </row>
    <row r="892" spans="3:12" x14ac:dyDescent="0.2">
      <c r="C892" s="1"/>
      <c r="L892" s="23" t="e">
        <f>(Posts[[#This Row],[Likes]]+Posts[[#This Row],[Shares]]+Posts[[#This Row],[Comments]])/Posts[[#This Row],[Impressions]]</f>
        <v>#DIV/0!</v>
      </c>
    </row>
    <row r="893" spans="3:12" x14ac:dyDescent="0.2">
      <c r="C893" s="1"/>
      <c r="L893" s="23" t="e">
        <f>(Posts[[#This Row],[Likes]]+Posts[[#This Row],[Shares]]+Posts[[#This Row],[Comments]])/Posts[[#This Row],[Impressions]]</f>
        <v>#DIV/0!</v>
      </c>
    </row>
    <row r="894" spans="3:12" x14ac:dyDescent="0.2">
      <c r="C894" s="1"/>
      <c r="L894" s="23" t="e">
        <f>(Posts[[#This Row],[Likes]]+Posts[[#This Row],[Shares]]+Posts[[#This Row],[Comments]])/Posts[[#This Row],[Impressions]]</f>
        <v>#DIV/0!</v>
      </c>
    </row>
    <row r="895" spans="3:12" x14ac:dyDescent="0.2">
      <c r="C895" s="1"/>
      <c r="L895" s="23" t="e">
        <f>(Posts[[#This Row],[Likes]]+Posts[[#This Row],[Shares]]+Posts[[#This Row],[Comments]])/Posts[[#This Row],[Impressions]]</f>
        <v>#DIV/0!</v>
      </c>
    </row>
    <row r="896" spans="3:12" x14ac:dyDescent="0.2">
      <c r="C896" s="1"/>
      <c r="L896" s="23" t="e">
        <f>(Posts[[#This Row],[Likes]]+Posts[[#This Row],[Shares]]+Posts[[#This Row],[Comments]])/Posts[[#This Row],[Impressions]]</f>
        <v>#DIV/0!</v>
      </c>
    </row>
    <row r="897" spans="3:12" x14ac:dyDescent="0.2">
      <c r="C897" s="1"/>
      <c r="L897" s="23" t="e">
        <f>(Posts[[#This Row],[Likes]]+Posts[[#This Row],[Shares]]+Posts[[#This Row],[Comments]])/Posts[[#This Row],[Impressions]]</f>
        <v>#DIV/0!</v>
      </c>
    </row>
    <row r="898" spans="3:12" x14ac:dyDescent="0.2">
      <c r="C898" s="1"/>
      <c r="L898" s="23" t="e">
        <f>(Posts[[#This Row],[Likes]]+Posts[[#This Row],[Shares]]+Posts[[#This Row],[Comments]])/Posts[[#This Row],[Impressions]]</f>
        <v>#DIV/0!</v>
      </c>
    </row>
    <row r="899" spans="3:12" x14ac:dyDescent="0.2">
      <c r="C899" s="1"/>
      <c r="L899" s="23" t="e">
        <f>(Posts[[#This Row],[Likes]]+Posts[[#This Row],[Shares]]+Posts[[#This Row],[Comments]])/Posts[[#This Row],[Impressions]]</f>
        <v>#DIV/0!</v>
      </c>
    </row>
    <row r="900" spans="3:12" x14ac:dyDescent="0.2">
      <c r="C900" s="1"/>
      <c r="L900" s="23" t="e">
        <f>(Posts[[#This Row],[Likes]]+Posts[[#This Row],[Shares]]+Posts[[#This Row],[Comments]])/Posts[[#This Row],[Impressions]]</f>
        <v>#DIV/0!</v>
      </c>
    </row>
    <row r="901" spans="3:12" x14ac:dyDescent="0.2">
      <c r="C901" s="1"/>
      <c r="L901" s="23" t="e">
        <f>(Posts[[#This Row],[Likes]]+Posts[[#This Row],[Shares]]+Posts[[#This Row],[Comments]])/Posts[[#This Row],[Impressions]]</f>
        <v>#DIV/0!</v>
      </c>
    </row>
    <row r="902" spans="3:12" x14ac:dyDescent="0.2">
      <c r="C902" s="1"/>
      <c r="L902" s="23" t="e">
        <f>(Posts[[#This Row],[Likes]]+Posts[[#This Row],[Shares]]+Posts[[#This Row],[Comments]])/Posts[[#This Row],[Impressions]]</f>
        <v>#DIV/0!</v>
      </c>
    </row>
    <row r="903" spans="3:12" x14ac:dyDescent="0.2">
      <c r="C903" s="1"/>
      <c r="L903" s="23" t="e">
        <f>(Posts[[#This Row],[Likes]]+Posts[[#This Row],[Shares]]+Posts[[#This Row],[Comments]])/Posts[[#This Row],[Impressions]]</f>
        <v>#DIV/0!</v>
      </c>
    </row>
    <row r="904" spans="3:12" x14ac:dyDescent="0.2">
      <c r="C904" s="1"/>
      <c r="L904" s="23" t="e">
        <f>(Posts[[#This Row],[Likes]]+Posts[[#This Row],[Shares]]+Posts[[#This Row],[Comments]])/Posts[[#This Row],[Impressions]]</f>
        <v>#DIV/0!</v>
      </c>
    </row>
    <row r="905" spans="3:12" x14ac:dyDescent="0.2">
      <c r="C905" s="1"/>
      <c r="L905" s="23" t="e">
        <f>(Posts[[#This Row],[Likes]]+Posts[[#This Row],[Shares]]+Posts[[#This Row],[Comments]])/Posts[[#This Row],[Impressions]]</f>
        <v>#DIV/0!</v>
      </c>
    </row>
    <row r="906" spans="3:12" x14ac:dyDescent="0.2">
      <c r="C906" s="1"/>
      <c r="L906" s="23" t="e">
        <f>(Posts[[#This Row],[Likes]]+Posts[[#This Row],[Shares]]+Posts[[#This Row],[Comments]])/Posts[[#This Row],[Impressions]]</f>
        <v>#DIV/0!</v>
      </c>
    </row>
    <row r="907" spans="3:12" x14ac:dyDescent="0.2">
      <c r="C907" s="1"/>
      <c r="L907" s="23" t="e">
        <f>(Posts[[#This Row],[Likes]]+Posts[[#This Row],[Shares]]+Posts[[#This Row],[Comments]])/Posts[[#This Row],[Impressions]]</f>
        <v>#DIV/0!</v>
      </c>
    </row>
    <row r="908" spans="3:12" x14ac:dyDescent="0.2">
      <c r="C908" s="1"/>
      <c r="L908" s="23" t="e">
        <f>(Posts[[#This Row],[Likes]]+Posts[[#This Row],[Shares]]+Posts[[#This Row],[Comments]])/Posts[[#This Row],[Impressions]]</f>
        <v>#DIV/0!</v>
      </c>
    </row>
    <row r="909" spans="3:12" x14ac:dyDescent="0.2">
      <c r="C909" s="1"/>
      <c r="L909" s="23" t="e">
        <f>(Posts[[#This Row],[Likes]]+Posts[[#This Row],[Shares]]+Posts[[#This Row],[Comments]])/Posts[[#This Row],[Impressions]]</f>
        <v>#DIV/0!</v>
      </c>
    </row>
    <row r="910" spans="3:12" x14ac:dyDescent="0.2">
      <c r="C910" s="1"/>
      <c r="L910" s="23" t="e">
        <f>(Posts[[#This Row],[Likes]]+Posts[[#This Row],[Shares]]+Posts[[#This Row],[Comments]])/Posts[[#This Row],[Impressions]]</f>
        <v>#DIV/0!</v>
      </c>
    </row>
    <row r="911" spans="3:12" x14ac:dyDescent="0.2">
      <c r="C911" s="1"/>
      <c r="L911" s="23" t="e">
        <f>(Posts[[#This Row],[Likes]]+Posts[[#This Row],[Shares]]+Posts[[#This Row],[Comments]])/Posts[[#This Row],[Impressions]]</f>
        <v>#DIV/0!</v>
      </c>
    </row>
    <row r="912" spans="3:12" x14ac:dyDescent="0.2">
      <c r="C912" s="1"/>
      <c r="L912" s="23" t="e">
        <f>(Posts[[#This Row],[Likes]]+Posts[[#This Row],[Shares]]+Posts[[#This Row],[Comments]])/Posts[[#This Row],[Impressions]]</f>
        <v>#DIV/0!</v>
      </c>
    </row>
    <row r="913" spans="3:12" x14ac:dyDescent="0.2">
      <c r="C913" s="1"/>
      <c r="L913" s="23" t="e">
        <f>(Posts[[#This Row],[Likes]]+Posts[[#This Row],[Shares]]+Posts[[#This Row],[Comments]])/Posts[[#This Row],[Impressions]]</f>
        <v>#DIV/0!</v>
      </c>
    </row>
    <row r="914" spans="3:12" x14ac:dyDescent="0.2">
      <c r="C914" s="1"/>
      <c r="L914" s="23" t="e">
        <f>(Posts[[#This Row],[Likes]]+Posts[[#This Row],[Shares]]+Posts[[#This Row],[Comments]])/Posts[[#This Row],[Impressions]]</f>
        <v>#DIV/0!</v>
      </c>
    </row>
    <row r="915" spans="3:12" x14ac:dyDescent="0.2">
      <c r="C915" s="1"/>
      <c r="L915" s="23" t="e">
        <f>(Posts[[#This Row],[Likes]]+Posts[[#This Row],[Shares]]+Posts[[#This Row],[Comments]])/Posts[[#This Row],[Impressions]]</f>
        <v>#DIV/0!</v>
      </c>
    </row>
    <row r="916" spans="3:12" x14ac:dyDescent="0.2">
      <c r="C916" s="1"/>
      <c r="L916" s="23" t="e">
        <f>(Posts[[#This Row],[Likes]]+Posts[[#This Row],[Shares]]+Posts[[#This Row],[Comments]])/Posts[[#This Row],[Impressions]]</f>
        <v>#DIV/0!</v>
      </c>
    </row>
    <row r="917" spans="3:12" x14ac:dyDescent="0.2">
      <c r="C917" s="1"/>
      <c r="L917" s="23" t="e">
        <f>(Posts[[#This Row],[Likes]]+Posts[[#This Row],[Shares]]+Posts[[#This Row],[Comments]])/Posts[[#This Row],[Impressions]]</f>
        <v>#DIV/0!</v>
      </c>
    </row>
    <row r="918" spans="3:12" x14ac:dyDescent="0.2">
      <c r="C918" s="1"/>
      <c r="L918" s="23" t="e">
        <f>(Posts[[#This Row],[Likes]]+Posts[[#This Row],[Shares]]+Posts[[#This Row],[Comments]])/Posts[[#This Row],[Impressions]]</f>
        <v>#DIV/0!</v>
      </c>
    </row>
    <row r="919" spans="3:12" x14ac:dyDescent="0.2">
      <c r="C919" s="1"/>
      <c r="L919" s="23" t="e">
        <f>(Posts[[#This Row],[Likes]]+Posts[[#This Row],[Shares]]+Posts[[#This Row],[Comments]])/Posts[[#This Row],[Impressions]]</f>
        <v>#DIV/0!</v>
      </c>
    </row>
    <row r="920" spans="3:12" x14ac:dyDescent="0.2">
      <c r="C920" s="1"/>
      <c r="L920" s="23" t="e">
        <f>(Posts[[#This Row],[Likes]]+Posts[[#This Row],[Shares]]+Posts[[#This Row],[Comments]])/Posts[[#This Row],[Impressions]]</f>
        <v>#DIV/0!</v>
      </c>
    </row>
    <row r="921" spans="3:12" x14ac:dyDescent="0.2">
      <c r="C921" s="1"/>
      <c r="L921" s="23" t="e">
        <f>(Posts[[#This Row],[Likes]]+Posts[[#This Row],[Shares]]+Posts[[#This Row],[Comments]])/Posts[[#This Row],[Impressions]]</f>
        <v>#DIV/0!</v>
      </c>
    </row>
    <row r="922" spans="3:12" x14ac:dyDescent="0.2">
      <c r="C922" s="1"/>
      <c r="L922" s="23" t="e">
        <f>(Posts[[#This Row],[Likes]]+Posts[[#This Row],[Shares]]+Posts[[#This Row],[Comments]])/Posts[[#This Row],[Impressions]]</f>
        <v>#DIV/0!</v>
      </c>
    </row>
    <row r="923" spans="3:12" x14ac:dyDescent="0.2">
      <c r="C923" s="1"/>
      <c r="L923" s="23" t="e">
        <f>(Posts[[#This Row],[Likes]]+Posts[[#This Row],[Shares]]+Posts[[#This Row],[Comments]])/Posts[[#This Row],[Impressions]]</f>
        <v>#DIV/0!</v>
      </c>
    </row>
    <row r="924" spans="3:12" x14ac:dyDescent="0.2">
      <c r="C924" s="1"/>
      <c r="L924" s="23" t="e">
        <f>(Posts[[#This Row],[Likes]]+Posts[[#This Row],[Shares]]+Posts[[#This Row],[Comments]])/Posts[[#This Row],[Impressions]]</f>
        <v>#DIV/0!</v>
      </c>
    </row>
    <row r="925" spans="3:12" x14ac:dyDescent="0.2">
      <c r="C925" s="1"/>
      <c r="L925" s="23" t="e">
        <f>(Posts[[#This Row],[Likes]]+Posts[[#This Row],[Shares]]+Posts[[#This Row],[Comments]])/Posts[[#This Row],[Impressions]]</f>
        <v>#DIV/0!</v>
      </c>
    </row>
    <row r="926" spans="3:12" x14ac:dyDescent="0.2">
      <c r="C926" s="1"/>
      <c r="L926" s="23" t="e">
        <f>(Posts[[#This Row],[Likes]]+Posts[[#This Row],[Shares]]+Posts[[#This Row],[Comments]])/Posts[[#This Row],[Impressions]]</f>
        <v>#DIV/0!</v>
      </c>
    </row>
    <row r="927" spans="3:12" x14ac:dyDescent="0.2">
      <c r="C927" s="1"/>
      <c r="L927" s="23" t="e">
        <f>(Posts[[#This Row],[Likes]]+Posts[[#This Row],[Shares]]+Posts[[#This Row],[Comments]])/Posts[[#This Row],[Impressions]]</f>
        <v>#DIV/0!</v>
      </c>
    </row>
    <row r="928" spans="3:12" x14ac:dyDescent="0.2">
      <c r="C928" s="1"/>
      <c r="L928" s="23" t="e">
        <f>(Posts[[#This Row],[Likes]]+Posts[[#This Row],[Shares]]+Posts[[#This Row],[Comments]])/Posts[[#This Row],[Impressions]]</f>
        <v>#DIV/0!</v>
      </c>
    </row>
    <row r="929" spans="3:12" x14ac:dyDescent="0.2">
      <c r="C929" s="1"/>
      <c r="L929" s="23" t="e">
        <f>(Posts[[#This Row],[Likes]]+Posts[[#This Row],[Shares]]+Posts[[#This Row],[Comments]])/Posts[[#This Row],[Impressions]]</f>
        <v>#DIV/0!</v>
      </c>
    </row>
    <row r="930" spans="3:12" x14ac:dyDescent="0.2">
      <c r="C930" s="1"/>
      <c r="L930" s="23" t="e">
        <f>(Posts[[#This Row],[Likes]]+Posts[[#This Row],[Shares]]+Posts[[#This Row],[Comments]])/Posts[[#This Row],[Impressions]]</f>
        <v>#DIV/0!</v>
      </c>
    </row>
    <row r="931" spans="3:12" x14ac:dyDescent="0.2">
      <c r="C931" s="1"/>
      <c r="L931" s="23" t="e">
        <f>(Posts[[#This Row],[Likes]]+Posts[[#This Row],[Shares]]+Posts[[#This Row],[Comments]])/Posts[[#This Row],[Impressions]]</f>
        <v>#DIV/0!</v>
      </c>
    </row>
    <row r="932" spans="3:12" x14ac:dyDescent="0.2">
      <c r="C932" s="1"/>
      <c r="L932" s="23" t="e">
        <f>(Posts[[#This Row],[Likes]]+Posts[[#This Row],[Shares]]+Posts[[#This Row],[Comments]])/Posts[[#This Row],[Impressions]]</f>
        <v>#DIV/0!</v>
      </c>
    </row>
    <row r="933" spans="3:12" x14ac:dyDescent="0.2">
      <c r="C933" s="1"/>
      <c r="L933" s="23" t="e">
        <f>(Posts[[#This Row],[Likes]]+Posts[[#This Row],[Shares]]+Posts[[#This Row],[Comments]])/Posts[[#This Row],[Impressions]]</f>
        <v>#DIV/0!</v>
      </c>
    </row>
    <row r="934" spans="3:12" x14ac:dyDescent="0.2">
      <c r="C934" s="1"/>
      <c r="L934" s="23" t="e">
        <f>(Posts[[#This Row],[Likes]]+Posts[[#This Row],[Shares]]+Posts[[#This Row],[Comments]])/Posts[[#This Row],[Impressions]]</f>
        <v>#DIV/0!</v>
      </c>
    </row>
    <row r="935" spans="3:12" x14ac:dyDescent="0.2">
      <c r="C935" s="1"/>
      <c r="L935" s="23" t="e">
        <f>(Posts[[#This Row],[Likes]]+Posts[[#This Row],[Shares]]+Posts[[#This Row],[Comments]])/Posts[[#This Row],[Impressions]]</f>
        <v>#DIV/0!</v>
      </c>
    </row>
    <row r="936" spans="3:12" x14ac:dyDescent="0.2">
      <c r="C936" s="1"/>
      <c r="L936" s="23" t="e">
        <f>(Posts[[#This Row],[Likes]]+Posts[[#This Row],[Shares]]+Posts[[#This Row],[Comments]])/Posts[[#This Row],[Impressions]]</f>
        <v>#DIV/0!</v>
      </c>
    </row>
    <row r="937" spans="3:12" x14ac:dyDescent="0.2">
      <c r="C937" s="1"/>
      <c r="L937" s="23" t="e">
        <f>(Posts[[#This Row],[Likes]]+Posts[[#This Row],[Shares]]+Posts[[#This Row],[Comments]])/Posts[[#This Row],[Impressions]]</f>
        <v>#DIV/0!</v>
      </c>
    </row>
    <row r="938" spans="3:12" x14ac:dyDescent="0.2">
      <c r="C938" s="1"/>
      <c r="L938" s="23" t="e">
        <f>(Posts[[#This Row],[Likes]]+Posts[[#This Row],[Shares]]+Posts[[#This Row],[Comments]])/Posts[[#This Row],[Impressions]]</f>
        <v>#DIV/0!</v>
      </c>
    </row>
    <row r="939" spans="3:12" x14ac:dyDescent="0.2">
      <c r="C939" s="1"/>
      <c r="L939" s="23" t="e">
        <f>(Posts[[#This Row],[Likes]]+Posts[[#This Row],[Shares]]+Posts[[#This Row],[Comments]])/Posts[[#This Row],[Impressions]]</f>
        <v>#DIV/0!</v>
      </c>
    </row>
    <row r="940" spans="3:12" x14ac:dyDescent="0.2">
      <c r="C940" s="1"/>
      <c r="L940" s="23" t="e">
        <f>(Posts[[#This Row],[Likes]]+Posts[[#This Row],[Shares]]+Posts[[#This Row],[Comments]])/Posts[[#This Row],[Impressions]]</f>
        <v>#DIV/0!</v>
      </c>
    </row>
    <row r="941" spans="3:12" x14ac:dyDescent="0.2">
      <c r="C941" s="1"/>
      <c r="L941" s="23" t="e">
        <f>(Posts[[#This Row],[Likes]]+Posts[[#This Row],[Shares]]+Posts[[#This Row],[Comments]])/Posts[[#This Row],[Impressions]]</f>
        <v>#DIV/0!</v>
      </c>
    </row>
    <row r="942" spans="3:12" x14ac:dyDescent="0.2">
      <c r="C942" s="1"/>
      <c r="L942" s="23" t="e">
        <f>(Posts[[#This Row],[Likes]]+Posts[[#This Row],[Shares]]+Posts[[#This Row],[Comments]])/Posts[[#This Row],[Impressions]]</f>
        <v>#DIV/0!</v>
      </c>
    </row>
    <row r="943" spans="3:12" x14ac:dyDescent="0.2">
      <c r="C943" s="1"/>
      <c r="L943" s="23" t="e">
        <f>(Posts[[#This Row],[Likes]]+Posts[[#This Row],[Shares]]+Posts[[#This Row],[Comments]])/Posts[[#This Row],[Impressions]]</f>
        <v>#DIV/0!</v>
      </c>
    </row>
    <row r="944" spans="3:12" x14ac:dyDescent="0.2">
      <c r="C944" s="1"/>
      <c r="L944" s="23" t="e">
        <f>(Posts[[#This Row],[Likes]]+Posts[[#This Row],[Shares]]+Posts[[#This Row],[Comments]])/Posts[[#This Row],[Impressions]]</f>
        <v>#DIV/0!</v>
      </c>
    </row>
    <row r="945" spans="3:12" x14ac:dyDescent="0.2">
      <c r="C945" s="1"/>
      <c r="L945" s="23" t="e">
        <f>(Posts[[#This Row],[Likes]]+Posts[[#This Row],[Shares]]+Posts[[#This Row],[Comments]])/Posts[[#This Row],[Impressions]]</f>
        <v>#DIV/0!</v>
      </c>
    </row>
    <row r="946" spans="3:12" x14ac:dyDescent="0.2">
      <c r="C946" s="1"/>
      <c r="L946" s="23" t="e">
        <f>(Posts[[#This Row],[Likes]]+Posts[[#This Row],[Shares]]+Posts[[#This Row],[Comments]])/Posts[[#This Row],[Impressions]]</f>
        <v>#DIV/0!</v>
      </c>
    </row>
    <row r="947" spans="3:12" x14ac:dyDescent="0.2">
      <c r="C947" s="1"/>
      <c r="L947" s="23" t="e">
        <f>(Posts[[#This Row],[Likes]]+Posts[[#This Row],[Shares]]+Posts[[#This Row],[Comments]])/Posts[[#This Row],[Impressions]]</f>
        <v>#DIV/0!</v>
      </c>
    </row>
    <row r="948" spans="3:12" x14ac:dyDescent="0.2">
      <c r="C948" s="1"/>
      <c r="L948" s="23" t="e">
        <f>(Posts[[#This Row],[Likes]]+Posts[[#This Row],[Shares]]+Posts[[#This Row],[Comments]])/Posts[[#This Row],[Impressions]]</f>
        <v>#DIV/0!</v>
      </c>
    </row>
    <row r="949" spans="3:12" x14ac:dyDescent="0.2">
      <c r="C949" s="1"/>
      <c r="L949" s="23" t="e">
        <f>(Posts[[#This Row],[Likes]]+Posts[[#This Row],[Shares]]+Posts[[#This Row],[Comments]])/Posts[[#This Row],[Impressions]]</f>
        <v>#DIV/0!</v>
      </c>
    </row>
    <row r="950" spans="3:12" x14ac:dyDescent="0.2">
      <c r="C950" s="1"/>
      <c r="L950" s="23" t="e">
        <f>(Posts[[#This Row],[Likes]]+Posts[[#This Row],[Shares]]+Posts[[#This Row],[Comments]])/Posts[[#This Row],[Impressions]]</f>
        <v>#DIV/0!</v>
      </c>
    </row>
    <row r="951" spans="3:12" x14ac:dyDescent="0.2">
      <c r="C951" s="1"/>
      <c r="L951" s="23" t="e">
        <f>(Posts[[#This Row],[Likes]]+Posts[[#This Row],[Shares]]+Posts[[#This Row],[Comments]])/Posts[[#This Row],[Impressions]]</f>
        <v>#DIV/0!</v>
      </c>
    </row>
    <row r="952" spans="3:12" x14ac:dyDescent="0.2">
      <c r="C952" s="1"/>
      <c r="L952" s="23" t="e">
        <f>(Posts[[#This Row],[Likes]]+Posts[[#This Row],[Shares]]+Posts[[#This Row],[Comments]])/Posts[[#This Row],[Impressions]]</f>
        <v>#DIV/0!</v>
      </c>
    </row>
    <row r="953" spans="3:12" x14ac:dyDescent="0.2">
      <c r="C953" s="1"/>
      <c r="L953" s="23" t="e">
        <f>(Posts[[#This Row],[Likes]]+Posts[[#This Row],[Shares]]+Posts[[#This Row],[Comments]])/Posts[[#This Row],[Impressions]]</f>
        <v>#DIV/0!</v>
      </c>
    </row>
    <row r="954" spans="3:12" x14ac:dyDescent="0.2">
      <c r="C954" s="1"/>
      <c r="L954" s="23" t="e">
        <f>(Posts[[#This Row],[Likes]]+Posts[[#This Row],[Shares]]+Posts[[#This Row],[Comments]])/Posts[[#This Row],[Impressions]]</f>
        <v>#DIV/0!</v>
      </c>
    </row>
    <row r="955" spans="3:12" x14ac:dyDescent="0.2">
      <c r="C955" s="1"/>
      <c r="L955" s="23" t="e">
        <f>(Posts[[#This Row],[Likes]]+Posts[[#This Row],[Shares]]+Posts[[#This Row],[Comments]])/Posts[[#This Row],[Impressions]]</f>
        <v>#DIV/0!</v>
      </c>
    </row>
    <row r="956" spans="3:12" x14ac:dyDescent="0.2">
      <c r="C956" s="1"/>
      <c r="L956" s="23" t="e">
        <f>(Posts[[#This Row],[Likes]]+Posts[[#This Row],[Shares]]+Posts[[#This Row],[Comments]])/Posts[[#This Row],[Impressions]]</f>
        <v>#DIV/0!</v>
      </c>
    </row>
    <row r="957" spans="3:12" x14ac:dyDescent="0.2">
      <c r="C957" s="1"/>
      <c r="L957" s="23" t="e">
        <f>(Posts[[#This Row],[Likes]]+Posts[[#This Row],[Shares]]+Posts[[#This Row],[Comments]])/Posts[[#This Row],[Impressions]]</f>
        <v>#DIV/0!</v>
      </c>
    </row>
    <row r="958" spans="3:12" x14ac:dyDescent="0.2">
      <c r="C958" s="1"/>
      <c r="L958" s="23" t="e">
        <f>(Posts[[#This Row],[Likes]]+Posts[[#This Row],[Shares]]+Posts[[#This Row],[Comments]])/Posts[[#This Row],[Impressions]]</f>
        <v>#DIV/0!</v>
      </c>
    </row>
    <row r="959" spans="3:12" x14ac:dyDescent="0.2">
      <c r="C959" s="1"/>
      <c r="L959" s="23" t="e">
        <f>(Posts[[#This Row],[Likes]]+Posts[[#This Row],[Shares]]+Posts[[#This Row],[Comments]])/Posts[[#This Row],[Impressions]]</f>
        <v>#DIV/0!</v>
      </c>
    </row>
    <row r="960" spans="3:12" x14ac:dyDescent="0.2">
      <c r="C960" s="1"/>
      <c r="L960" s="23" t="e">
        <f>(Posts[[#This Row],[Likes]]+Posts[[#This Row],[Shares]]+Posts[[#This Row],[Comments]])/Posts[[#This Row],[Impressions]]</f>
        <v>#DIV/0!</v>
      </c>
    </row>
    <row r="961" spans="3:12" x14ac:dyDescent="0.2">
      <c r="C961" s="1"/>
      <c r="L961" s="23" t="e">
        <f>(Posts[[#This Row],[Likes]]+Posts[[#This Row],[Shares]]+Posts[[#This Row],[Comments]])/Posts[[#This Row],[Impressions]]</f>
        <v>#DIV/0!</v>
      </c>
    </row>
    <row r="962" spans="3:12" x14ac:dyDescent="0.2">
      <c r="C962" s="1"/>
      <c r="L962" s="23" t="e">
        <f>(Posts[[#This Row],[Likes]]+Posts[[#This Row],[Shares]]+Posts[[#This Row],[Comments]])/Posts[[#This Row],[Impressions]]</f>
        <v>#DIV/0!</v>
      </c>
    </row>
    <row r="963" spans="3:12" x14ac:dyDescent="0.2">
      <c r="C963" s="1"/>
      <c r="L963" s="23" t="e">
        <f>(Posts[[#This Row],[Likes]]+Posts[[#This Row],[Shares]]+Posts[[#This Row],[Comments]])/Posts[[#This Row],[Impressions]]</f>
        <v>#DIV/0!</v>
      </c>
    </row>
    <row r="964" spans="3:12" x14ac:dyDescent="0.2">
      <c r="C964" s="1"/>
      <c r="L964" s="23" t="e">
        <f>(Posts[[#This Row],[Likes]]+Posts[[#This Row],[Shares]]+Posts[[#This Row],[Comments]])/Posts[[#This Row],[Impressions]]</f>
        <v>#DIV/0!</v>
      </c>
    </row>
    <row r="965" spans="3:12" x14ac:dyDescent="0.2">
      <c r="C965" s="1"/>
      <c r="L965" s="23" t="e">
        <f>(Posts[[#This Row],[Likes]]+Posts[[#This Row],[Shares]]+Posts[[#This Row],[Comments]])/Posts[[#This Row],[Impressions]]</f>
        <v>#DIV/0!</v>
      </c>
    </row>
    <row r="966" spans="3:12" x14ac:dyDescent="0.2">
      <c r="C966" s="1"/>
      <c r="L966" s="23" t="e">
        <f>(Posts[[#This Row],[Likes]]+Posts[[#This Row],[Shares]]+Posts[[#This Row],[Comments]])/Posts[[#This Row],[Impressions]]</f>
        <v>#DIV/0!</v>
      </c>
    </row>
    <row r="967" spans="3:12" x14ac:dyDescent="0.2">
      <c r="C967" s="1"/>
      <c r="L967" s="23" t="e">
        <f>(Posts[[#This Row],[Likes]]+Posts[[#This Row],[Shares]]+Posts[[#This Row],[Comments]])/Posts[[#This Row],[Impressions]]</f>
        <v>#DIV/0!</v>
      </c>
    </row>
    <row r="968" spans="3:12" x14ac:dyDescent="0.2">
      <c r="C968" s="1"/>
      <c r="L968" s="23" t="e">
        <f>(Posts[[#This Row],[Likes]]+Posts[[#This Row],[Shares]]+Posts[[#This Row],[Comments]])/Posts[[#This Row],[Impressions]]</f>
        <v>#DIV/0!</v>
      </c>
    </row>
    <row r="969" spans="3:12" x14ac:dyDescent="0.2">
      <c r="C969" s="1"/>
      <c r="L969" s="23" t="e">
        <f>(Posts[[#This Row],[Likes]]+Posts[[#This Row],[Shares]]+Posts[[#This Row],[Comments]])/Posts[[#This Row],[Impressions]]</f>
        <v>#DIV/0!</v>
      </c>
    </row>
    <row r="970" spans="3:12" x14ac:dyDescent="0.2">
      <c r="C970" s="1"/>
      <c r="L970" s="23" t="e">
        <f>(Posts[[#This Row],[Likes]]+Posts[[#This Row],[Shares]]+Posts[[#This Row],[Comments]])/Posts[[#This Row],[Impressions]]</f>
        <v>#DIV/0!</v>
      </c>
    </row>
    <row r="971" spans="3:12" x14ac:dyDescent="0.2">
      <c r="C971" s="1"/>
      <c r="L971" s="23" t="e">
        <f>(Posts[[#This Row],[Likes]]+Posts[[#This Row],[Shares]]+Posts[[#This Row],[Comments]])/Posts[[#This Row],[Impressions]]</f>
        <v>#DIV/0!</v>
      </c>
    </row>
    <row r="972" spans="3:12" x14ac:dyDescent="0.2">
      <c r="C972" s="1"/>
      <c r="L972" s="23" t="e">
        <f>(Posts[[#This Row],[Likes]]+Posts[[#This Row],[Shares]]+Posts[[#This Row],[Comments]])/Posts[[#This Row],[Impressions]]</f>
        <v>#DIV/0!</v>
      </c>
    </row>
    <row r="973" spans="3:12" x14ac:dyDescent="0.2">
      <c r="C973" s="1"/>
      <c r="L973" s="23" t="e">
        <f>(Posts[[#This Row],[Likes]]+Posts[[#This Row],[Shares]]+Posts[[#This Row],[Comments]])/Posts[[#This Row],[Impressions]]</f>
        <v>#DIV/0!</v>
      </c>
    </row>
    <row r="974" spans="3:12" x14ac:dyDescent="0.2">
      <c r="C974" s="1"/>
      <c r="L974" s="23" t="e">
        <f>(Posts[[#This Row],[Likes]]+Posts[[#This Row],[Shares]]+Posts[[#This Row],[Comments]])/Posts[[#This Row],[Impressions]]</f>
        <v>#DIV/0!</v>
      </c>
    </row>
    <row r="975" spans="3:12" x14ac:dyDescent="0.2">
      <c r="C975" s="1"/>
      <c r="L975" s="23" t="e">
        <f>(Posts[[#This Row],[Likes]]+Posts[[#This Row],[Shares]]+Posts[[#This Row],[Comments]])/Posts[[#This Row],[Impressions]]</f>
        <v>#DIV/0!</v>
      </c>
    </row>
    <row r="976" spans="3:12" x14ac:dyDescent="0.2">
      <c r="C976" s="1"/>
      <c r="L976" s="23" t="e">
        <f>(Posts[[#This Row],[Likes]]+Posts[[#This Row],[Shares]]+Posts[[#This Row],[Comments]])/Posts[[#This Row],[Impressions]]</f>
        <v>#DIV/0!</v>
      </c>
    </row>
    <row r="977" spans="3:12" x14ac:dyDescent="0.2">
      <c r="C977" s="1"/>
      <c r="L977" s="23" t="e">
        <f>(Posts[[#This Row],[Likes]]+Posts[[#This Row],[Shares]]+Posts[[#This Row],[Comments]])/Posts[[#This Row],[Impressions]]</f>
        <v>#DIV/0!</v>
      </c>
    </row>
    <row r="978" spans="3:12" x14ac:dyDescent="0.2">
      <c r="C978" s="1"/>
      <c r="L978" s="23" t="e">
        <f>(Posts[[#This Row],[Likes]]+Posts[[#This Row],[Shares]]+Posts[[#This Row],[Comments]])/Posts[[#This Row],[Impressions]]</f>
        <v>#DIV/0!</v>
      </c>
    </row>
    <row r="979" spans="3:12" x14ac:dyDescent="0.2">
      <c r="C979" s="1"/>
      <c r="L979" s="23" t="e">
        <f>(Posts[[#This Row],[Likes]]+Posts[[#This Row],[Shares]]+Posts[[#This Row],[Comments]])/Posts[[#This Row],[Impressions]]</f>
        <v>#DIV/0!</v>
      </c>
    </row>
    <row r="980" spans="3:12" x14ac:dyDescent="0.2">
      <c r="C980" s="1"/>
      <c r="L980" s="23" t="e">
        <f>(Posts[[#This Row],[Likes]]+Posts[[#This Row],[Shares]]+Posts[[#This Row],[Comments]])/Posts[[#This Row],[Impressions]]</f>
        <v>#DIV/0!</v>
      </c>
    </row>
    <row r="981" spans="3:12" x14ac:dyDescent="0.2">
      <c r="C981" s="1"/>
      <c r="L981" s="23" t="e">
        <f>(Posts[[#This Row],[Likes]]+Posts[[#This Row],[Shares]]+Posts[[#This Row],[Comments]])/Posts[[#This Row],[Impressions]]</f>
        <v>#DIV/0!</v>
      </c>
    </row>
    <row r="982" spans="3:12" x14ac:dyDescent="0.2">
      <c r="C982" s="1"/>
      <c r="L982" s="23" t="e">
        <f>(Posts[[#This Row],[Likes]]+Posts[[#This Row],[Shares]]+Posts[[#This Row],[Comments]])/Posts[[#This Row],[Impressions]]</f>
        <v>#DIV/0!</v>
      </c>
    </row>
    <row r="983" spans="3:12" x14ac:dyDescent="0.2">
      <c r="C983" s="1"/>
      <c r="L983" s="23" t="e">
        <f>(Posts[[#This Row],[Likes]]+Posts[[#This Row],[Shares]]+Posts[[#This Row],[Comments]])/Posts[[#This Row],[Impressions]]</f>
        <v>#DIV/0!</v>
      </c>
    </row>
    <row r="984" spans="3:12" x14ac:dyDescent="0.2">
      <c r="C984" s="1"/>
      <c r="L984" s="23" t="e">
        <f>(Posts[[#This Row],[Likes]]+Posts[[#This Row],[Shares]]+Posts[[#This Row],[Comments]])/Posts[[#This Row],[Impressions]]</f>
        <v>#DIV/0!</v>
      </c>
    </row>
    <row r="985" spans="3:12" x14ac:dyDescent="0.2">
      <c r="C985" s="1"/>
      <c r="L985" s="23" t="e">
        <f>(Posts[[#This Row],[Likes]]+Posts[[#This Row],[Shares]]+Posts[[#This Row],[Comments]])/Posts[[#This Row],[Impressions]]</f>
        <v>#DIV/0!</v>
      </c>
    </row>
    <row r="986" spans="3:12" x14ac:dyDescent="0.2">
      <c r="C986" s="1"/>
      <c r="L986" s="23" t="e">
        <f>(Posts[[#This Row],[Likes]]+Posts[[#This Row],[Shares]]+Posts[[#This Row],[Comments]])/Posts[[#This Row],[Impressions]]</f>
        <v>#DIV/0!</v>
      </c>
    </row>
    <row r="987" spans="3:12" x14ac:dyDescent="0.2">
      <c r="C987" s="1"/>
      <c r="L987" s="23" t="e">
        <f>(Posts[[#This Row],[Likes]]+Posts[[#This Row],[Shares]]+Posts[[#This Row],[Comments]])/Posts[[#This Row],[Impressions]]</f>
        <v>#DIV/0!</v>
      </c>
    </row>
    <row r="988" spans="3:12" x14ac:dyDescent="0.2">
      <c r="C988" s="1"/>
      <c r="L988" s="23" t="e">
        <f>(Posts[[#This Row],[Likes]]+Posts[[#This Row],[Shares]]+Posts[[#This Row],[Comments]])/Posts[[#This Row],[Impressions]]</f>
        <v>#DIV/0!</v>
      </c>
    </row>
    <row r="989" spans="3:12" x14ac:dyDescent="0.2">
      <c r="C989" s="1"/>
      <c r="L989" s="23" t="e">
        <f>(Posts[[#This Row],[Likes]]+Posts[[#This Row],[Shares]]+Posts[[#This Row],[Comments]])/Posts[[#This Row],[Impressions]]</f>
        <v>#DIV/0!</v>
      </c>
    </row>
    <row r="990" spans="3:12" x14ac:dyDescent="0.2">
      <c r="C990" s="1"/>
      <c r="L990" s="23" t="e">
        <f>(Posts[[#This Row],[Likes]]+Posts[[#This Row],[Shares]]+Posts[[#This Row],[Comments]])/Posts[[#This Row],[Impressions]]</f>
        <v>#DIV/0!</v>
      </c>
    </row>
    <row r="991" spans="3:12" x14ac:dyDescent="0.2">
      <c r="C991" s="1"/>
      <c r="L991" s="23" t="e">
        <f>(Posts[[#This Row],[Likes]]+Posts[[#This Row],[Shares]]+Posts[[#This Row],[Comments]])/Posts[[#This Row],[Impressions]]</f>
        <v>#DIV/0!</v>
      </c>
    </row>
    <row r="992" spans="3:12" x14ac:dyDescent="0.2">
      <c r="C992" s="1"/>
      <c r="L992" s="23" t="e">
        <f>(Posts[[#This Row],[Likes]]+Posts[[#This Row],[Shares]]+Posts[[#This Row],[Comments]])/Posts[[#This Row],[Impressions]]</f>
        <v>#DIV/0!</v>
      </c>
    </row>
    <row r="993" spans="3:12" x14ac:dyDescent="0.2">
      <c r="C993" s="1"/>
      <c r="L993" s="23" t="e">
        <f>(Posts[[#This Row],[Likes]]+Posts[[#This Row],[Shares]]+Posts[[#This Row],[Comments]])/Posts[[#This Row],[Impressions]]</f>
        <v>#DIV/0!</v>
      </c>
    </row>
    <row r="994" spans="3:12" x14ac:dyDescent="0.2">
      <c r="C994" s="1"/>
      <c r="L994" s="23" t="e">
        <f>(Posts[[#This Row],[Likes]]+Posts[[#This Row],[Shares]]+Posts[[#This Row],[Comments]])/Posts[[#This Row],[Impressions]]</f>
        <v>#DIV/0!</v>
      </c>
    </row>
    <row r="995" spans="3:12" x14ac:dyDescent="0.2">
      <c r="C995" s="1"/>
      <c r="L995" s="23" t="e">
        <f>(Posts[[#This Row],[Likes]]+Posts[[#This Row],[Shares]]+Posts[[#This Row],[Comments]])/Posts[[#This Row],[Impressions]]</f>
        <v>#DIV/0!</v>
      </c>
    </row>
    <row r="996" spans="3:12" x14ac:dyDescent="0.2">
      <c r="C996" s="1"/>
      <c r="L996" s="23" t="e">
        <f>(Posts[[#This Row],[Likes]]+Posts[[#This Row],[Shares]]+Posts[[#This Row],[Comments]])/Posts[[#This Row],[Impressions]]</f>
        <v>#DIV/0!</v>
      </c>
    </row>
    <row r="997" spans="3:12" x14ac:dyDescent="0.2">
      <c r="C997" s="1"/>
      <c r="L997" s="23" t="e">
        <f>(Posts[[#This Row],[Likes]]+Posts[[#This Row],[Shares]]+Posts[[#This Row],[Comments]])/Posts[[#This Row],[Impressions]]</f>
        <v>#DIV/0!</v>
      </c>
    </row>
    <row r="998" spans="3:12" x14ac:dyDescent="0.2">
      <c r="C998" s="1"/>
      <c r="L998" s="23" t="e">
        <f>(Posts[[#This Row],[Likes]]+Posts[[#This Row],[Shares]]+Posts[[#This Row],[Comments]])/Posts[[#This Row],[Impressions]]</f>
        <v>#DIV/0!</v>
      </c>
    </row>
    <row r="999" spans="3:12" x14ac:dyDescent="0.2">
      <c r="C999" s="1"/>
      <c r="L999" s="23" t="e">
        <f>(Posts[[#This Row],[Likes]]+Posts[[#This Row],[Shares]]+Posts[[#This Row],[Comments]])/Posts[[#This Row],[Impressions]]</f>
        <v>#DIV/0!</v>
      </c>
    </row>
    <row r="1000" spans="3:12" x14ac:dyDescent="0.2">
      <c r="C1000" s="1"/>
      <c r="L1000" s="23" t="e">
        <f>(Posts[[#This Row],[Likes]]+Posts[[#This Row],[Shares]]+Posts[[#This Row],[Comments]])/Posts[[#This Row],[Impressions]]</f>
        <v>#DIV/0!</v>
      </c>
    </row>
    <row r="1001" spans="3:12" x14ac:dyDescent="0.2">
      <c r="C1001" s="1"/>
      <c r="L1001" s="23" t="e">
        <f>(Posts[[#This Row],[Likes]]+Posts[[#This Row],[Shares]]+Posts[[#This Row],[Comments]])/Posts[[#This Row],[Impressions]]</f>
        <v>#DIV/0!</v>
      </c>
    </row>
    <row r="1002" spans="3:12" x14ac:dyDescent="0.2">
      <c r="C1002" s="1"/>
      <c r="L1002" s="23" t="e">
        <f>(Posts[[#This Row],[Likes]]+Posts[[#This Row],[Shares]]+Posts[[#This Row],[Comments]])/Posts[[#This Row],[Impressions]]</f>
        <v>#DIV/0!</v>
      </c>
    </row>
    <row r="1003" spans="3:12" x14ac:dyDescent="0.2">
      <c r="C1003" s="1"/>
      <c r="L1003" s="23" t="e">
        <f>(Posts[[#This Row],[Likes]]+Posts[[#This Row],[Shares]]+Posts[[#This Row],[Comments]])/Posts[[#This Row],[Impressions]]</f>
        <v>#DIV/0!</v>
      </c>
    </row>
    <row r="1004" spans="3:12" x14ac:dyDescent="0.2">
      <c r="C1004" s="1"/>
      <c r="L1004" s="23" t="e">
        <f>(Posts[[#This Row],[Likes]]+Posts[[#This Row],[Shares]]+Posts[[#This Row],[Comments]])/Posts[[#This Row],[Impressions]]</f>
        <v>#DIV/0!</v>
      </c>
    </row>
    <row r="1005" spans="3:12" x14ac:dyDescent="0.2">
      <c r="C1005" s="1"/>
      <c r="L1005" s="23" t="e">
        <f>(Posts[[#This Row],[Likes]]+Posts[[#This Row],[Shares]]+Posts[[#This Row],[Comments]])/Posts[[#This Row],[Impressions]]</f>
        <v>#DIV/0!</v>
      </c>
    </row>
    <row r="1006" spans="3:12" x14ac:dyDescent="0.2">
      <c r="C1006" s="1"/>
      <c r="L1006" s="23" t="e">
        <f>(Posts[[#This Row],[Likes]]+Posts[[#This Row],[Shares]]+Posts[[#This Row],[Comments]])/Posts[[#This Row],[Impressions]]</f>
        <v>#DIV/0!</v>
      </c>
    </row>
    <row r="1007" spans="3:12" x14ac:dyDescent="0.2">
      <c r="C1007" s="1"/>
      <c r="L1007" s="23" t="e">
        <f>(Posts[[#This Row],[Likes]]+Posts[[#This Row],[Shares]]+Posts[[#This Row],[Comments]])/Posts[[#This Row],[Impressions]]</f>
        <v>#DIV/0!</v>
      </c>
    </row>
    <row r="1008" spans="3:12" x14ac:dyDescent="0.2">
      <c r="C1008" s="1"/>
      <c r="L1008" s="23" t="e">
        <f>(Posts[[#This Row],[Likes]]+Posts[[#This Row],[Shares]]+Posts[[#This Row],[Comments]])/Posts[[#This Row],[Impressions]]</f>
        <v>#DIV/0!</v>
      </c>
    </row>
    <row r="1009" spans="3:12" x14ac:dyDescent="0.2">
      <c r="C1009" s="1"/>
      <c r="L1009" s="23" t="e">
        <f>(Posts[[#This Row],[Likes]]+Posts[[#This Row],[Shares]]+Posts[[#This Row],[Comments]])/Posts[[#This Row],[Impressions]]</f>
        <v>#DIV/0!</v>
      </c>
    </row>
    <row r="1010" spans="3:12" x14ac:dyDescent="0.2">
      <c r="C1010" s="1"/>
      <c r="L1010" s="23" t="e">
        <f>(Posts[[#This Row],[Likes]]+Posts[[#This Row],[Shares]]+Posts[[#This Row],[Comments]])/Posts[[#This Row],[Impressions]]</f>
        <v>#DIV/0!</v>
      </c>
    </row>
    <row r="1011" spans="3:12" x14ac:dyDescent="0.2">
      <c r="C1011" s="1"/>
      <c r="L1011" s="23" t="e">
        <f>(Posts[[#This Row],[Likes]]+Posts[[#This Row],[Shares]]+Posts[[#This Row],[Comments]])/Posts[[#This Row],[Impressions]]</f>
        <v>#DIV/0!</v>
      </c>
    </row>
    <row r="1012" spans="3:12" x14ac:dyDescent="0.2">
      <c r="C1012" s="1"/>
      <c r="L1012" s="23" t="e">
        <f>(Posts[[#This Row],[Likes]]+Posts[[#This Row],[Shares]]+Posts[[#This Row],[Comments]])/Posts[[#This Row],[Impressions]]</f>
        <v>#DIV/0!</v>
      </c>
    </row>
    <row r="1013" spans="3:12" x14ac:dyDescent="0.2">
      <c r="C1013" s="1"/>
      <c r="L1013" s="23" t="e">
        <f>(Posts[[#This Row],[Likes]]+Posts[[#This Row],[Shares]]+Posts[[#This Row],[Comments]])/Posts[[#This Row],[Impressions]]</f>
        <v>#DIV/0!</v>
      </c>
    </row>
    <row r="1014" spans="3:12" x14ac:dyDescent="0.2">
      <c r="C1014" s="1"/>
      <c r="L1014" s="23" t="e">
        <f>(Posts[[#This Row],[Likes]]+Posts[[#This Row],[Shares]]+Posts[[#This Row],[Comments]])/Posts[[#This Row],[Impressions]]</f>
        <v>#DIV/0!</v>
      </c>
    </row>
    <row r="1015" spans="3:12" x14ac:dyDescent="0.2">
      <c r="C1015" s="1"/>
      <c r="L1015" s="23" t="e">
        <f>(Posts[[#This Row],[Likes]]+Posts[[#This Row],[Shares]]+Posts[[#This Row],[Comments]])/Posts[[#This Row],[Impressions]]</f>
        <v>#DIV/0!</v>
      </c>
    </row>
    <row r="1016" spans="3:12" x14ac:dyDescent="0.2">
      <c r="C1016" s="1"/>
      <c r="L1016" s="23" t="e">
        <f>(Posts[[#This Row],[Likes]]+Posts[[#This Row],[Shares]]+Posts[[#This Row],[Comments]])/Posts[[#This Row],[Impressions]]</f>
        <v>#DIV/0!</v>
      </c>
    </row>
    <row r="1017" spans="3:12" x14ac:dyDescent="0.2">
      <c r="C1017" s="1"/>
      <c r="L1017" s="23" t="e">
        <f>(Posts[[#This Row],[Likes]]+Posts[[#This Row],[Shares]]+Posts[[#This Row],[Comments]])/Posts[[#This Row],[Impressions]]</f>
        <v>#DIV/0!</v>
      </c>
    </row>
    <row r="1018" spans="3:12" x14ac:dyDescent="0.2">
      <c r="C1018" s="1"/>
      <c r="L1018" s="23" t="e">
        <f>(Posts[[#This Row],[Likes]]+Posts[[#This Row],[Shares]]+Posts[[#This Row],[Comments]])/Posts[[#This Row],[Impressions]]</f>
        <v>#DIV/0!</v>
      </c>
    </row>
    <row r="1019" spans="3:12" x14ac:dyDescent="0.2">
      <c r="C1019" s="1"/>
      <c r="L1019" s="23" t="e">
        <f>(Posts[[#This Row],[Likes]]+Posts[[#This Row],[Shares]]+Posts[[#This Row],[Comments]])/Posts[[#This Row],[Impressions]]</f>
        <v>#DIV/0!</v>
      </c>
    </row>
    <row r="1020" spans="3:12" x14ac:dyDescent="0.2">
      <c r="C1020" s="1"/>
      <c r="L1020" s="23" t="e">
        <f>(Posts[[#This Row],[Likes]]+Posts[[#This Row],[Shares]]+Posts[[#This Row],[Comments]])/Posts[[#This Row],[Impressions]]</f>
        <v>#DIV/0!</v>
      </c>
    </row>
    <row r="1021" spans="3:12" x14ac:dyDescent="0.2">
      <c r="C1021" s="1"/>
      <c r="L1021" s="23" t="e">
        <f>(Posts[[#This Row],[Likes]]+Posts[[#This Row],[Shares]]+Posts[[#This Row],[Comments]])/Posts[[#This Row],[Impressions]]</f>
        <v>#DIV/0!</v>
      </c>
    </row>
    <row r="1022" spans="3:12" x14ac:dyDescent="0.2">
      <c r="C1022" s="1"/>
      <c r="L1022" s="23" t="e">
        <f>(Posts[[#This Row],[Likes]]+Posts[[#This Row],[Shares]]+Posts[[#This Row],[Comments]])/Posts[[#This Row],[Impressions]]</f>
        <v>#DIV/0!</v>
      </c>
    </row>
    <row r="1023" spans="3:12" x14ac:dyDescent="0.2">
      <c r="C1023" s="1"/>
      <c r="L1023" s="23" t="e">
        <f>(Posts[[#This Row],[Likes]]+Posts[[#This Row],[Shares]]+Posts[[#This Row],[Comments]])/Posts[[#This Row],[Impressions]]</f>
        <v>#DIV/0!</v>
      </c>
    </row>
    <row r="1024" spans="3:12" x14ac:dyDescent="0.2">
      <c r="C1024" s="1"/>
      <c r="L1024" s="23" t="e">
        <f>(Posts[[#This Row],[Likes]]+Posts[[#This Row],[Shares]]+Posts[[#This Row],[Comments]])/Posts[[#This Row],[Impressions]]</f>
        <v>#DIV/0!</v>
      </c>
    </row>
    <row r="1025" spans="3:12" x14ac:dyDescent="0.2">
      <c r="C1025" s="1"/>
      <c r="L1025" s="23" t="e">
        <f>(Posts[[#This Row],[Likes]]+Posts[[#This Row],[Shares]]+Posts[[#This Row],[Comments]])/Posts[[#This Row],[Impressions]]</f>
        <v>#DIV/0!</v>
      </c>
    </row>
    <row r="1026" spans="3:12" x14ac:dyDescent="0.2">
      <c r="C1026" s="1"/>
      <c r="L1026" s="23" t="e">
        <f>(Posts[[#This Row],[Likes]]+Posts[[#This Row],[Shares]]+Posts[[#This Row],[Comments]])/Posts[[#This Row],[Impressions]]</f>
        <v>#DIV/0!</v>
      </c>
    </row>
    <row r="1027" spans="3:12" x14ac:dyDescent="0.2">
      <c r="C1027" s="1"/>
      <c r="L1027" s="23" t="e">
        <f>(Posts[[#This Row],[Likes]]+Posts[[#This Row],[Shares]]+Posts[[#This Row],[Comments]])/Posts[[#This Row],[Impressions]]</f>
        <v>#DIV/0!</v>
      </c>
    </row>
    <row r="1028" spans="3:12" x14ac:dyDescent="0.2">
      <c r="C1028" s="1"/>
      <c r="L1028" s="23" t="e">
        <f>(Posts[[#This Row],[Likes]]+Posts[[#This Row],[Shares]]+Posts[[#This Row],[Comments]])/Posts[[#This Row],[Impressions]]</f>
        <v>#DIV/0!</v>
      </c>
    </row>
    <row r="1029" spans="3:12" x14ac:dyDescent="0.2">
      <c r="C1029" s="1"/>
      <c r="L1029" s="23" t="e">
        <f>(Posts[[#This Row],[Likes]]+Posts[[#This Row],[Shares]]+Posts[[#This Row],[Comments]])/Posts[[#This Row],[Impressions]]</f>
        <v>#DIV/0!</v>
      </c>
    </row>
    <row r="1030" spans="3:12" x14ac:dyDescent="0.2">
      <c r="C1030" s="1"/>
      <c r="L1030" s="23" t="e">
        <f>(Posts[[#This Row],[Likes]]+Posts[[#This Row],[Shares]]+Posts[[#This Row],[Comments]])/Posts[[#This Row],[Impressions]]</f>
        <v>#DIV/0!</v>
      </c>
    </row>
    <row r="1031" spans="3:12" x14ac:dyDescent="0.2">
      <c r="C1031" s="1"/>
      <c r="L1031" s="23" t="e">
        <f>(Posts[[#This Row],[Likes]]+Posts[[#This Row],[Shares]]+Posts[[#This Row],[Comments]])/Posts[[#This Row],[Impressions]]</f>
        <v>#DIV/0!</v>
      </c>
    </row>
    <row r="1032" spans="3:12" x14ac:dyDescent="0.2">
      <c r="C1032" s="1"/>
      <c r="L1032" s="23" t="e">
        <f>(Posts[[#This Row],[Likes]]+Posts[[#This Row],[Shares]]+Posts[[#This Row],[Comments]])/Posts[[#This Row],[Impressions]]</f>
        <v>#DIV/0!</v>
      </c>
    </row>
    <row r="1033" spans="3:12" x14ac:dyDescent="0.2">
      <c r="C1033" s="1"/>
      <c r="L1033" s="23" t="e">
        <f>(Posts[[#This Row],[Likes]]+Posts[[#This Row],[Shares]]+Posts[[#This Row],[Comments]])/Posts[[#This Row],[Impressions]]</f>
        <v>#DIV/0!</v>
      </c>
    </row>
    <row r="1034" spans="3:12" x14ac:dyDescent="0.2">
      <c r="C1034" s="1"/>
      <c r="L1034" s="23" t="e">
        <f>(Posts[[#This Row],[Likes]]+Posts[[#This Row],[Shares]]+Posts[[#This Row],[Comments]])/Posts[[#This Row],[Impressions]]</f>
        <v>#DIV/0!</v>
      </c>
    </row>
    <row r="1035" spans="3:12" x14ac:dyDescent="0.2">
      <c r="C1035" s="1"/>
      <c r="L1035" s="23" t="e">
        <f>(Posts[[#This Row],[Likes]]+Posts[[#This Row],[Shares]]+Posts[[#This Row],[Comments]])/Posts[[#This Row],[Impressions]]</f>
        <v>#DIV/0!</v>
      </c>
    </row>
    <row r="1036" spans="3:12" x14ac:dyDescent="0.2">
      <c r="C1036" s="1"/>
      <c r="L1036" s="23" t="e">
        <f>(Posts[[#This Row],[Likes]]+Posts[[#This Row],[Shares]]+Posts[[#This Row],[Comments]])/Posts[[#This Row],[Impressions]]</f>
        <v>#DIV/0!</v>
      </c>
    </row>
    <row r="1037" spans="3:12" x14ac:dyDescent="0.2">
      <c r="C1037" s="1"/>
      <c r="L1037" s="23" t="e">
        <f>(Posts[[#This Row],[Likes]]+Posts[[#This Row],[Shares]]+Posts[[#This Row],[Comments]])/Posts[[#This Row],[Impressions]]</f>
        <v>#DIV/0!</v>
      </c>
    </row>
    <row r="1038" spans="3:12" x14ac:dyDescent="0.2">
      <c r="C1038" s="1"/>
      <c r="L1038" s="23" t="e">
        <f>(Posts[[#This Row],[Likes]]+Posts[[#This Row],[Shares]]+Posts[[#This Row],[Comments]])/Posts[[#This Row],[Impressions]]</f>
        <v>#DIV/0!</v>
      </c>
    </row>
    <row r="1039" spans="3:12" x14ac:dyDescent="0.2">
      <c r="C1039" s="1"/>
      <c r="L1039" s="23" t="e">
        <f>(Posts[[#This Row],[Likes]]+Posts[[#This Row],[Shares]]+Posts[[#This Row],[Comments]])/Posts[[#This Row],[Impressions]]</f>
        <v>#DIV/0!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B483D-B06F-314B-A45E-0E5DE715D1B6}">
  <dimension ref="A1:N1000"/>
  <sheetViews>
    <sheetView workbookViewId="0">
      <selection activeCell="L5" sqref="L5"/>
    </sheetView>
  </sheetViews>
  <sheetFormatPr baseColWidth="10" defaultRowHeight="16" x14ac:dyDescent="0.2"/>
  <cols>
    <col min="1" max="1" width="9.6640625" bestFit="1" customWidth="1"/>
    <col min="2" max="2" width="11" bestFit="1" customWidth="1"/>
    <col min="3" max="3" width="8.5" bestFit="1" customWidth="1"/>
    <col min="4" max="4" width="14.33203125" bestFit="1" customWidth="1"/>
    <col min="5" max="5" width="36.6640625" bestFit="1" customWidth="1"/>
    <col min="6" max="6" width="8.1640625" bestFit="1" customWidth="1"/>
    <col min="7" max="7" width="9.33203125" bestFit="1" customWidth="1"/>
    <col min="8" max="8" width="13" bestFit="1" customWidth="1"/>
    <col min="9" max="9" width="14" bestFit="1" customWidth="1"/>
    <col min="10" max="10" width="8.83203125" bestFit="1" customWidth="1"/>
    <col min="11" max="11" width="9" bestFit="1" customWidth="1"/>
    <col min="12" max="12" width="28" customWidth="1"/>
    <col min="13" max="13" width="50" bestFit="1" customWidth="1"/>
    <col min="14" max="14" width="18" bestFit="1" customWidth="1"/>
  </cols>
  <sheetData>
    <row r="1" spans="1:14" x14ac:dyDescent="0.2">
      <c r="A1" s="5" t="s">
        <v>0</v>
      </c>
      <c r="B1" s="6" t="s">
        <v>1</v>
      </c>
      <c r="C1" s="6" t="s">
        <v>2</v>
      </c>
      <c r="D1" s="6" t="s">
        <v>3</v>
      </c>
      <c r="E1" s="6" t="s">
        <v>4</v>
      </c>
      <c r="F1" s="6" t="s">
        <v>5</v>
      </c>
      <c r="G1" s="6" t="s">
        <v>6</v>
      </c>
      <c r="H1" s="6" t="s">
        <v>7</v>
      </c>
      <c r="I1" s="6" t="s">
        <v>8</v>
      </c>
      <c r="J1" s="6" t="s">
        <v>9</v>
      </c>
      <c r="K1" s="6" t="s">
        <v>10</v>
      </c>
      <c r="L1" s="6" t="s">
        <v>375</v>
      </c>
      <c r="M1" s="6" t="s">
        <v>11</v>
      </c>
      <c r="N1" s="7" t="s">
        <v>12</v>
      </c>
    </row>
    <row r="2" spans="1:14" x14ac:dyDescent="0.2">
      <c r="A2" s="12" t="s">
        <v>276</v>
      </c>
      <c r="B2" s="13" t="s">
        <v>31</v>
      </c>
      <c r="C2" s="14">
        <v>45445</v>
      </c>
      <c r="D2" s="13" t="s">
        <v>32</v>
      </c>
      <c r="E2" s="13" t="s">
        <v>33</v>
      </c>
      <c r="F2" s="13">
        <v>84</v>
      </c>
      <c r="G2" s="13">
        <v>897</v>
      </c>
      <c r="H2" s="13">
        <v>85</v>
      </c>
      <c r="I2" s="13">
        <v>588</v>
      </c>
      <c r="J2" s="13">
        <v>8</v>
      </c>
      <c r="K2" s="13">
        <v>12</v>
      </c>
      <c r="L2" s="19">
        <f t="shared" ref="L2:L65" si="0">(F2+G2+H2)/I2</f>
        <v>1.8129251700680271</v>
      </c>
      <c r="M2" s="13" t="s">
        <v>34</v>
      </c>
      <c r="N2" s="15"/>
    </row>
    <row r="3" spans="1:14" x14ac:dyDescent="0.2">
      <c r="A3" s="12" t="s">
        <v>111</v>
      </c>
      <c r="B3" s="13" t="s">
        <v>31</v>
      </c>
      <c r="C3" s="14">
        <v>45762</v>
      </c>
      <c r="D3" s="13" t="s">
        <v>15</v>
      </c>
      <c r="E3" s="13" t="s">
        <v>63</v>
      </c>
      <c r="F3" s="13">
        <v>103</v>
      </c>
      <c r="G3" s="13">
        <v>770</v>
      </c>
      <c r="H3" s="13">
        <v>19</v>
      </c>
      <c r="I3" s="13">
        <v>1030</v>
      </c>
      <c r="J3" s="13">
        <v>410</v>
      </c>
      <c r="K3" s="13">
        <v>262</v>
      </c>
      <c r="L3" s="19">
        <f t="shared" si="0"/>
        <v>0.86601941747572819</v>
      </c>
      <c r="M3" s="13" t="s">
        <v>23</v>
      </c>
      <c r="N3" s="15" t="s">
        <v>35</v>
      </c>
    </row>
    <row r="4" spans="1:14" x14ac:dyDescent="0.2">
      <c r="A4" s="12" t="s">
        <v>288</v>
      </c>
      <c r="B4" s="13" t="s">
        <v>14</v>
      </c>
      <c r="C4" s="14">
        <v>45776</v>
      </c>
      <c r="D4" s="13" t="s">
        <v>32</v>
      </c>
      <c r="E4" s="13" t="s">
        <v>100</v>
      </c>
      <c r="F4" s="13">
        <v>249</v>
      </c>
      <c r="G4" s="13">
        <v>592</v>
      </c>
      <c r="H4" s="13">
        <v>230</v>
      </c>
      <c r="I4" s="13">
        <v>1494</v>
      </c>
      <c r="J4" s="13">
        <v>1044</v>
      </c>
      <c r="K4" s="13">
        <v>201</v>
      </c>
      <c r="L4" s="19">
        <f t="shared" si="0"/>
        <v>0.7168674698795181</v>
      </c>
      <c r="M4" s="13" t="s">
        <v>34</v>
      </c>
      <c r="N4" s="15" t="s">
        <v>35</v>
      </c>
    </row>
    <row r="5" spans="1:14" x14ac:dyDescent="0.2">
      <c r="A5" s="12" t="s">
        <v>234</v>
      </c>
      <c r="B5" s="13" t="s">
        <v>31</v>
      </c>
      <c r="C5" s="14">
        <v>45603</v>
      </c>
      <c r="D5" s="13" t="s">
        <v>58</v>
      </c>
      <c r="E5" s="13" t="s">
        <v>65</v>
      </c>
      <c r="F5" s="13">
        <v>129</v>
      </c>
      <c r="G5" s="13">
        <v>643</v>
      </c>
      <c r="H5" s="13">
        <v>136</v>
      </c>
      <c r="I5" s="13">
        <v>1290</v>
      </c>
      <c r="J5" s="13">
        <v>839</v>
      </c>
      <c r="K5" s="13">
        <v>238</v>
      </c>
      <c r="L5" s="19">
        <f t="shared" si="0"/>
        <v>0.70387596899224802</v>
      </c>
      <c r="M5" s="13" t="s">
        <v>23</v>
      </c>
      <c r="N5" s="15" t="s">
        <v>35</v>
      </c>
    </row>
    <row r="6" spans="1:14" x14ac:dyDescent="0.2">
      <c r="A6" s="8" t="s">
        <v>231</v>
      </c>
      <c r="B6" s="9" t="s">
        <v>31</v>
      </c>
      <c r="C6" s="10">
        <v>45674</v>
      </c>
      <c r="D6" s="9" t="s">
        <v>15</v>
      </c>
      <c r="E6" s="9" t="s">
        <v>63</v>
      </c>
      <c r="F6" s="9">
        <v>142</v>
      </c>
      <c r="G6" s="9">
        <v>784</v>
      </c>
      <c r="H6" s="9">
        <v>183</v>
      </c>
      <c r="I6" s="9">
        <v>1704</v>
      </c>
      <c r="J6" s="9">
        <v>995</v>
      </c>
      <c r="K6" s="9">
        <v>154</v>
      </c>
      <c r="L6" s="19">
        <f t="shared" si="0"/>
        <v>0.6508215962441315</v>
      </c>
      <c r="M6" s="9" t="s">
        <v>17</v>
      </c>
      <c r="N6" s="11" t="s">
        <v>35</v>
      </c>
    </row>
    <row r="7" spans="1:14" x14ac:dyDescent="0.2">
      <c r="A7" s="12" t="s">
        <v>115</v>
      </c>
      <c r="B7" s="13" t="s">
        <v>14</v>
      </c>
      <c r="C7" s="14">
        <v>45618</v>
      </c>
      <c r="D7" s="13" t="s">
        <v>39</v>
      </c>
      <c r="E7" s="13" t="s">
        <v>42</v>
      </c>
      <c r="F7" s="13">
        <v>53</v>
      </c>
      <c r="G7" s="13">
        <v>81</v>
      </c>
      <c r="H7" s="13">
        <v>379</v>
      </c>
      <c r="I7" s="13">
        <v>954</v>
      </c>
      <c r="J7" s="13">
        <v>7</v>
      </c>
      <c r="K7" s="13">
        <v>148</v>
      </c>
      <c r="L7" s="19">
        <f t="shared" si="0"/>
        <v>0.53773584905660377</v>
      </c>
      <c r="M7" s="13" t="s">
        <v>23</v>
      </c>
      <c r="N7" s="15" t="s">
        <v>29</v>
      </c>
    </row>
    <row r="8" spans="1:14" x14ac:dyDescent="0.2">
      <c r="A8" s="12" t="s">
        <v>320</v>
      </c>
      <c r="B8" s="13" t="s">
        <v>14</v>
      </c>
      <c r="C8" s="14">
        <v>45687</v>
      </c>
      <c r="D8" s="13" t="s">
        <v>44</v>
      </c>
      <c r="E8" s="13" t="s">
        <v>90</v>
      </c>
      <c r="F8" s="13">
        <v>59</v>
      </c>
      <c r="G8" s="13">
        <v>163</v>
      </c>
      <c r="H8" s="13">
        <v>93</v>
      </c>
      <c r="I8" s="13">
        <v>590</v>
      </c>
      <c r="J8" s="13">
        <v>475</v>
      </c>
      <c r="K8" s="13">
        <v>293</v>
      </c>
      <c r="L8" s="19">
        <f t="shared" si="0"/>
        <v>0.53389830508474578</v>
      </c>
      <c r="M8" s="13" t="s">
        <v>23</v>
      </c>
      <c r="N8" s="15" t="s">
        <v>24</v>
      </c>
    </row>
    <row r="9" spans="1:14" x14ac:dyDescent="0.2">
      <c r="A9" s="8" t="s">
        <v>199</v>
      </c>
      <c r="B9" s="9" t="s">
        <v>27</v>
      </c>
      <c r="C9" s="10">
        <v>45567</v>
      </c>
      <c r="D9" s="9" t="s">
        <v>39</v>
      </c>
      <c r="E9" s="9" t="s">
        <v>54</v>
      </c>
      <c r="F9" s="9">
        <v>80</v>
      </c>
      <c r="G9" s="9">
        <v>362</v>
      </c>
      <c r="H9" s="9">
        <v>80</v>
      </c>
      <c r="I9" s="9">
        <v>1040</v>
      </c>
      <c r="J9" s="9">
        <v>349</v>
      </c>
      <c r="K9" s="9">
        <v>117</v>
      </c>
      <c r="L9" s="19">
        <f t="shared" si="0"/>
        <v>0.50192307692307692</v>
      </c>
      <c r="M9" s="9" t="s">
        <v>23</v>
      </c>
      <c r="N9" s="11" t="s">
        <v>29</v>
      </c>
    </row>
    <row r="10" spans="1:14" x14ac:dyDescent="0.2">
      <c r="A10" s="12" t="s">
        <v>266</v>
      </c>
      <c r="B10" s="13" t="s">
        <v>27</v>
      </c>
      <c r="C10" s="14">
        <v>45707</v>
      </c>
      <c r="D10" s="13" t="s">
        <v>44</v>
      </c>
      <c r="E10" s="13" t="s">
        <v>45</v>
      </c>
      <c r="F10" s="13">
        <v>257</v>
      </c>
      <c r="G10" s="13">
        <v>966</v>
      </c>
      <c r="H10" s="13">
        <v>398</v>
      </c>
      <c r="I10" s="13">
        <v>3341</v>
      </c>
      <c r="J10" s="13">
        <v>2753</v>
      </c>
      <c r="K10" s="13">
        <v>287</v>
      </c>
      <c r="L10" s="19">
        <f t="shared" si="0"/>
        <v>0.48518407662376534</v>
      </c>
      <c r="M10" s="13" t="s">
        <v>17</v>
      </c>
      <c r="N10" s="15" t="s">
        <v>18</v>
      </c>
    </row>
    <row r="11" spans="1:14" x14ac:dyDescent="0.2">
      <c r="A11" s="12" t="s">
        <v>123</v>
      </c>
      <c r="B11" s="13" t="s">
        <v>38</v>
      </c>
      <c r="C11" s="14">
        <v>45749</v>
      </c>
      <c r="D11" s="13" t="s">
        <v>58</v>
      </c>
      <c r="E11" s="13" t="s">
        <v>59</v>
      </c>
      <c r="F11" s="13">
        <v>199</v>
      </c>
      <c r="G11" s="13">
        <v>772</v>
      </c>
      <c r="H11" s="13">
        <v>400</v>
      </c>
      <c r="I11" s="13">
        <v>3582</v>
      </c>
      <c r="J11" s="13">
        <v>2988</v>
      </c>
      <c r="K11" s="13">
        <v>43</v>
      </c>
      <c r="L11" s="19">
        <f t="shared" si="0"/>
        <v>0.38274706867671693</v>
      </c>
      <c r="M11" s="13" t="s">
        <v>23</v>
      </c>
      <c r="N11" s="15"/>
    </row>
    <row r="12" spans="1:14" x14ac:dyDescent="0.2">
      <c r="A12" s="12" t="s">
        <v>270</v>
      </c>
      <c r="B12" s="13" t="s">
        <v>31</v>
      </c>
      <c r="C12" s="14">
        <v>45649</v>
      </c>
      <c r="D12" s="13" t="s">
        <v>44</v>
      </c>
      <c r="E12" s="13" t="s">
        <v>136</v>
      </c>
      <c r="F12" s="13">
        <v>521</v>
      </c>
      <c r="G12" s="13">
        <v>746</v>
      </c>
      <c r="H12" s="13">
        <v>315</v>
      </c>
      <c r="I12" s="13">
        <v>4168</v>
      </c>
      <c r="J12" s="13">
        <v>3399</v>
      </c>
      <c r="K12" s="13">
        <v>282</v>
      </c>
      <c r="L12" s="19">
        <f t="shared" si="0"/>
        <v>0.37955854126679461</v>
      </c>
      <c r="M12" s="13" t="s">
        <v>17</v>
      </c>
      <c r="N12" s="15" t="s">
        <v>24</v>
      </c>
    </row>
    <row r="13" spans="1:14" x14ac:dyDescent="0.2">
      <c r="A13" s="8" t="s">
        <v>106</v>
      </c>
      <c r="B13" s="9" t="s">
        <v>27</v>
      </c>
      <c r="C13" s="10">
        <v>45712</v>
      </c>
      <c r="D13" s="9" t="s">
        <v>39</v>
      </c>
      <c r="E13" s="9" t="s">
        <v>54</v>
      </c>
      <c r="F13" s="9">
        <v>804</v>
      </c>
      <c r="G13" s="9">
        <v>639</v>
      </c>
      <c r="H13" s="9">
        <v>43</v>
      </c>
      <c r="I13" s="9">
        <v>4020</v>
      </c>
      <c r="J13" s="9">
        <v>3144</v>
      </c>
      <c r="K13" s="9">
        <v>11</v>
      </c>
      <c r="L13" s="19">
        <f t="shared" si="0"/>
        <v>0.36965174129353234</v>
      </c>
      <c r="M13" s="9" t="s">
        <v>364</v>
      </c>
      <c r="N13" s="11"/>
    </row>
    <row r="14" spans="1:14" x14ac:dyDescent="0.2">
      <c r="A14" s="12" t="s">
        <v>157</v>
      </c>
      <c r="B14" s="13" t="s">
        <v>14</v>
      </c>
      <c r="C14" s="14">
        <v>45553</v>
      </c>
      <c r="D14" s="13" t="s">
        <v>15</v>
      </c>
      <c r="E14" s="13" t="s">
        <v>16</v>
      </c>
      <c r="F14" s="13">
        <v>1000</v>
      </c>
      <c r="G14" s="13">
        <v>978</v>
      </c>
      <c r="H14" s="13">
        <v>162</v>
      </c>
      <c r="I14" s="13">
        <v>6000</v>
      </c>
      <c r="J14" s="13">
        <v>5221</v>
      </c>
      <c r="K14" s="13">
        <v>223</v>
      </c>
      <c r="L14" s="19">
        <f t="shared" si="0"/>
        <v>0.35666666666666669</v>
      </c>
      <c r="M14" s="13" t="s">
        <v>34</v>
      </c>
      <c r="N14" s="15" t="s">
        <v>24</v>
      </c>
    </row>
    <row r="15" spans="1:14" x14ac:dyDescent="0.2">
      <c r="A15" s="12" t="s">
        <v>179</v>
      </c>
      <c r="B15" s="13" t="s">
        <v>27</v>
      </c>
      <c r="C15" s="14">
        <v>45753</v>
      </c>
      <c r="D15" s="13" t="s">
        <v>39</v>
      </c>
      <c r="E15" s="13" t="s">
        <v>54</v>
      </c>
      <c r="F15" s="13">
        <v>736</v>
      </c>
      <c r="G15" s="13">
        <v>771</v>
      </c>
      <c r="H15" s="13">
        <v>225</v>
      </c>
      <c r="I15" s="13">
        <v>5152</v>
      </c>
      <c r="J15" s="13">
        <v>4706</v>
      </c>
      <c r="K15" s="13">
        <v>19</v>
      </c>
      <c r="L15" s="19">
        <f t="shared" si="0"/>
        <v>0.33618012422360249</v>
      </c>
      <c r="M15" s="13" t="s">
        <v>34</v>
      </c>
      <c r="N15" s="15" t="s">
        <v>18</v>
      </c>
    </row>
    <row r="16" spans="1:14" x14ac:dyDescent="0.2">
      <c r="A16" s="8" t="s">
        <v>176</v>
      </c>
      <c r="B16" s="9" t="s">
        <v>31</v>
      </c>
      <c r="C16" s="10">
        <v>45502</v>
      </c>
      <c r="D16" s="9" t="s">
        <v>32</v>
      </c>
      <c r="E16" s="9" t="s">
        <v>33</v>
      </c>
      <c r="F16" s="9">
        <v>498</v>
      </c>
      <c r="G16" s="9">
        <v>701</v>
      </c>
      <c r="H16" s="9">
        <v>412</v>
      </c>
      <c r="I16" s="9">
        <v>4980</v>
      </c>
      <c r="J16" s="9">
        <v>4185</v>
      </c>
      <c r="K16" s="9">
        <v>185</v>
      </c>
      <c r="L16" s="19">
        <f t="shared" si="0"/>
        <v>0.32349397590361445</v>
      </c>
      <c r="M16" s="9" t="s">
        <v>17</v>
      </c>
      <c r="N16" s="11"/>
    </row>
    <row r="17" spans="1:14" x14ac:dyDescent="0.2">
      <c r="A17" s="12" t="s">
        <v>280</v>
      </c>
      <c r="B17" s="13" t="s">
        <v>38</v>
      </c>
      <c r="C17" s="14">
        <v>45790</v>
      </c>
      <c r="D17" s="13" t="s">
        <v>44</v>
      </c>
      <c r="E17" s="13" t="s">
        <v>49</v>
      </c>
      <c r="F17" s="13">
        <v>602</v>
      </c>
      <c r="G17" s="13">
        <v>594</v>
      </c>
      <c r="H17" s="13">
        <v>156</v>
      </c>
      <c r="I17" s="13">
        <v>4214</v>
      </c>
      <c r="J17" s="13">
        <v>3363</v>
      </c>
      <c r="K17" s="13">
        <v>164</v>
      </c>
      <c r="L17" s="19">
        <f t="shared" si="0"/>
        <v>0.32083531086853345</v>
      </c>
      <c r="M17" s="13" t="s">
        <v>23</v>
      </c>
      <c r="N17" s="15" t="s">
        <v>29</v>
      </c>
    </row>
    <row r="18" spans="1:14" x14ac:dyDescent="0.2">
      <c r="A18" s="12" t="s">
        <v>210</v>
      </c>
      <c r="B18" s="13" t="s">
        <v>31</v>
      </c>
      <c r="C18" s="14">
        <v>45574</v>
      </c>
      <c r="D18" s="13" t="s">
        <v>39</v>
      </c>
      <c r="E18" s="13" t="s">
        <v>67</v>
      </c>
      <c r="F18" s="13">
        <v>985</v>
      </c>
      <c r="G18" s="13">
        <v>932</v>
      </c>
      <c r="H18" s="13">
        <v>287</v>
      </c>
      <c r="I18" s="13">
        <v>6895</v>
      </c>
      <c r="J18" s="13">
        <v>6757</v>
      </c>
      <c r="K18" s="13">
        <v>64</v>
      </c>
      <c r="L18" s="19">
        <f t="shared" si="0"/>
        <v>0.31965192168237855</v>
      </c>
      <c r="M18" s="13" t="s">
        <v>17</v>
      </c>
      <c r="N18" s="15" t="s">
        <v>35</v>
      </c>
    </row>
    <row r="19" spans="1:14" x14ac:dyDescent="0.2">
      <c r="A19" s="8" t="s">
        <v>174</v>
      </c>
      <c r="B19" s="9" t="s">
        <v>31</v>
      </c>
      <c r="C19" s="10">
        <v>45695</v>
      </c>
      <c r="D19" s="9" t="s">
        <v>15</v>
      </c>
      <c r="E19" s="9" t="s">
        <v>63</v>
      </c>
      <c r="F19" s="9">
        <v>1970</v>
      </c>
      <c r="G19" s="9">
        <v>675</v>
      </c>
      <c r="H19" s="9">
        <v>478</v>
      </c>
      <c r="I19" s="9">
        <v>9850</v>
      </c>
      <c r="J19" s="9">
        <v>8924</v>
      </c>
      <c r="K19" s="9">
        <v>117</v>
      </c>
      <c r="L19" s="19">
        <f t="shared" si="0"/>
        <v>0.31705583756345179</v>
      </c>
      <c r="M19" s="9" t="s">
        <v>17</v>
      </c>
      <c r="N19" s="11"/>
    </row>
    <row r="20" spans="1:14" x14ac:dyDescent="0.2">
      <c r="A20" s="8" t="s">
        <v>343</v>
      </c>
      <c r="B20" s="9" t="s">
        <v>31</v>
      </c>
      <c r="C20" s="10">
        <v>45519</v>
      </c>
      <c r="D20" s="9" t="s">
        <v>15</v>
      </c>
      <c r="E20" s="9" t="s">
        <v>63</v>
      </c>
      <c r="F20" s="9">
        <v>1164</v>
      </c>
      <c r="G20" s="9">
        <v>616</v>
      </c>
      <c r="H20" s="9">
        <v>324</v>
      </c>
      <c r="I20" s="9">
        <v>6984</v>
      </c>
      <c r="J20" s="9">
        <v>6636</v>
      </c>
      <c r="K20" s="9">
        <v>82</v>
      </c>
      <c r="L20" s="19">
        <f t="shared" si="0"/>
        <v>0.30126002290950743</v>
      </c>
      <c r="M20" s="9" t="s">
        <v>34</v>
      </c>
      <c r="N20" s="11" t="s">
        <v>18</v>
      </c>
    </row>
    <row r="21" spans="1:14" x14ac:dyDescent="0.2">
      <c r="A21" s="12" t="s">
        <v>260</v>
      </c>
      <c r="B21" s="13" t="s">
        <v>31</v>
      </c>
      <c r="C21" s="14">
        <v>45658</v>
      </c>
      <c r="D21" s="13" t="s">
        <v>39</v>
      </c>
      <c r="E21" s="13" t="s">
        <v>67</v>
      </c>
      <c r="F21" s="13">
        <v>2234</v>
      </c>
      <c r="G21" s="13">
        <v>653</v>
      </c>
      <c r="H21" s="13">
        <v>432</v>
      </c>
      <c r="I21" s="13">
        <v>11170</v>
      </c>
      <c r="J21" s="13">
        <v>10569</v>
      </c>
      <c r="K21" s="13">
        <v>198</v>
      </c>
      <c r="L21" s="19">
        <f t="shared" si="0"/>
        <v>0.29713518352730528</v>
      </c>
      <c r="M21" s="13" t="s">
        <v>17</v>
      </c>
      <c r="N21" s="15" t="s">
        <v>29</v>
      </c>
    </row>
    <row r="22" spans="1:14" x14ac:dyDescent="0.2">
      <c r="A22" s="12" t="s">
        <v>119</v>
      </c>
      <c r="B22" s="13" t="s">
        <v>14</v>
      </c>
      <c r="C22" s="14">
        <v>45499</v>
      </c>
      <c r="D22" s="13" t="s">
        <v>39</v>
      </c>
      <c r="E22" s="13" t="s">
        <v>42</v>
      </c>
      <c r="F22" s="13">
        <v>432</v>
      </c>
      <c r="G22" s="13">
        <v>171</v>
      </c>
      <c r="H22" s="13">
        <v>280</v>
      </c>
      <c r="I22" s="13">
        <v>3024</v>
      </c>
      <c r="J22" s="13">
        <v>2285</v>
      </c>
      <c r="K22" s="13">
        <v>184</v>
      </c>
      <c r="L22" s="19">
        <f t="shared" si="0"/>
        <v>0.29199735449735448</v>
      </c>
      <c r="M22" s="13" t="s">
        <v>34</v>
      </c>
      <c r="N22" s="15" t="s">
        <v>18</v>
      </c>
    </row>
    <row r="23" spans="1:14" x14ac:dyDescent="0.2">
      <c r="A23" s="8" t="s">
        <v>239</v>
      </c>
      <c r="B23" s="9" t="s">
        <v>31</v>
      </c>
      <c r="C23" s="10">
        <v>45643</v>
      </c>
      <c r="D23" s="9" t="s">
        <v>32</v>
      </c>
      <c r="E23" s="9" t="s">
        <v>33</v>
      </c>
      <c r="F23" s="9">
        <v>360</v>
      </c>
      <c r="G23" s="9">
        <v>590</v>
      </c>
      <c r="H23" s="9">
        <v>393</v>
      </c>
      <c r="I23" s="9">
        <v>4680</v>
      </c>
      <c r="J23" s="9">
        <v>4322</v>
      </c>
      <c r="K23" s="9">
        <v>208</v>
      </c>
      <c r="L23" s="19">
        <f t="shared" si="0"/>
        <v>0.28696581196581195</v>
      </c>
      <c r="M23" s="9" t="s">
        <v>17</v>
      </c>
      <c r="N23" s="11" t="s">
        <v>24</v>
      </c>
    </row>
    <row r="24" spans="1:14" x14ac:dyDescent="0.2">
      <c r="A24" s="8" t="s">
        <v>79</v>
      </c>
      <c r="B24" s="9" t="s">
        <v>31</v>
      </c>
      <c r="C24" s="10">
        <v>45642</v>
      </c>
      <c r="D24" s="9" t="s">
        <v>21</v>
      </c>
      <c r="E24" s="9" t="s">
        <v>80</v>
      </c>
      <c r="F24" s="9">
        <v>438</v>
      </c>
      <c r="G24" s="9">
        <v>153</v>
      </c>
      <c r="H24" s="9">
        <v>275</v>
      </c>
      <c r="I24" s="9">
        <v>3066</v>
      </c>
      <c r="J24" s="9">
        <v>2701</v>
      </c>
      <c r="K24" s="9">
        <v>282</v>
      </c>
      <c r="L24" s="19">
        <f t="shared" si="0"/>
        <v>0.28245270711024134</v>
      </c>
      <c r="M24" s="9" t="s">
        <v>23</v>
      </c>
      <c r="N24" s="11" t="s">
        <v>24</v>
      </c>
    </row>
    <row r="25" spans="1:14" x14ac:dyDescent="0.2">
      <c r="A25" s="8" t="s">
        <v>148</v>
      </c>
      <c r="B25" s="9" t="s">
        <v>31</v>
      </c>
      <c r="C25" s="10">
        <v>45637</v>
      </c>
      <c r="D25" s="9" t="s">
        <v>58</v>
      </c>
      <c r="E25" s="9" t="s">
        <v>65</v>
      </c>
      <c r="F25" s="9">
        <v>1431</v>
      </c>
      <c r="G25" s="9">
        <v>951</v>
      </c>
      <c r="H25" s="9">
        <v>26</v>
      </c>
      <c r="I25" s="9">
        <v>8586</v>
      </c>
      <c r="J25" s="9">
        <v>8396</v>
      </c>
      <c r="K25" s="9">
        <v>150</v>
      </c>
      <c r="L25" s="19">
        <f t="shared" si="0"/>
        <v>0.28045655718611695</v>
      </c>
      <c r="M25" s="9" t="s">
        <v>34</v>
      </c>
      <c r="N25" s="11" t="s">
        <v>29</v>
      </c>
    </row>
    <row r="26" spans="1:14" x14ac:dyDescent="0.2">
      <c r="A26" s="8" t="s">
        <v>319</v>
      </c>
      <c r="B26" s="9" t="s">
        <v>31</v>
      </c>
      <c r="C26" s="10">
        <v>45524</v>
      </c>
      <c r="D26" s="9" t="s">
        <v>15</v>
      </c>
      <c r="E26" s="9" t="s">
        <v>63</v>
      </c>
      <c r="F26" s="9">
        <v>2603</v>
      </c>
      <c r="G26" s="9">
        <v>690</v>
      </c>
      <c r="H26" s="9">
        <v>205</v>
      </c>
      <c r="I26" s="9">
        <v>13015</v>
      </c>
      <c r="J26" s="9">
        <v>12130</v>
      </c>
      <c r="K26" s="9">
        <v>20</v>
      </c>
      <c r="L26" s="19">
        <f t="shared" si="0"/>
        <v>0.26876680752977333</v>
      </c>
      <c r="M26" s="9" t="s">
        <v>17</v>
      </c>
      <c r="N26" s="11" t="s">
        <v>24</v>
      </c>
    </row>
    <row r="27" spans="1:14" x14ac:dyDescent="0.2">
      <c r="A27" s="12" t="s">
        <v>304</v>
      </c>
      <c r="B27" s="13" t="s">
        <v>38</v>
      </c>
      <c r="C27" s="14">
        <v>45690</v>
      </c>
      <c r="D27" s="13" t="s">
        <v>32</v>
      </c>
      <c r="E27" s="13" t="s">
        <v>56</v>
      </c>
      <c r="F27" s="13">
        <v>886</v>
      </c>
      <c r="G27" s="13">
        <v>126</v>
      </c>
      <c r="H27" s="13">
        <v>153</v>
      </c>
      <c r="I27" s="13">
        <v>4430</v>
      </c>
      <c r="J27" s="13">
        <v>4037</v>
      </c>
      <c r="K27" s="13">
        <v>212</v>
      </c>
      <c r="L27" s="19">
        <f t="shared" si="0"/>
        <v>0.26297968397291194</v>
      </c>
      <c r="M27" s="13" t="s">
        <v>34</v>
      </c>
      <c r="N27" s="15"/>
    </row>
    <row r="28" spans="1:14" x14ac:dyDescent="0.2">
      <c r="A28" s="12" t="s">
        <v>300</v>
      </c>
      <c r="B28" s="13" t="s">
        <v>27</v>
      </c>
      <c r="C28" s="14">
        <v>45590</v>
      </c>
      <c r="D28" s="13" t="s">
        <v>58</v>
      </c>
      <c r="E28" s="13" t="s">
        <v>138</v>
      </c>
      <c r="F28" s="13">
        <v>4661</v>
      </c>
      <c r="G28" s="13">
        <v>935</v>
      </c>
      <c r="H28" s="13">
        <v>433</v>
      </c>
      <c r="I28" s="13">
        <v>23305</v>
      </c>
      <c r="J28" s="13">
        <v>22583</v>
      </c>
      <c r="K28" s="13">
        <v>63</v>
      </c>
      <c r="L28" s="19">
        <f t="shared" si="0"/>
        <v>0.25869984981763572</v>
      </c>
      <c r="M28" s="13" t="s">
        <v>17</v>
      </c>
      <c r="N28" s="15" t="s">
        <v>29</v>
      </c>
    </row>
    <row r="29" spans="1:14" x14ac:dyDescent="0.2">
      <c r="A29" s="8" t="s">
        <v>315</v>
      </c>
      <c r="B29" s="9" t="s">
        <v>38</v>
      </c>
      <c r="C29" s="10">
        <v>45698</v>
      </c>
      <c r="D29" s="9" t="s">
        <v>21</v>
      </c>
      <c r="E29" s="9" t="s">
        <v>47</v>
      </c>
      <c r="F29" s="9">
        <v>562</v>
      </c>
      <c r="G29" s="9">
        <v>158</v>
      </c>
      <c r="H29" s="9">
        <v>149</v>
      </c>
      <c r="I29" s="9">
        <v>3372</v>
      </c>
      <c r="J29" s="9">
        <v>2940</v>
      </c>
      <c r="K29" s="9">
        <v>93</v>
      </c>
      <c r="L29" s="19">
        <f t="shared" si="0"/>
        <v>0.25771055753262156</v>
      </c>
      <c r="M29" s="9" t="s">
        <v>23</v>
      </c>
      <c r="N29" s="11" t="s">
        <v>18</v>
      </c>
    </row>
    <row r="30" spans="1:14" x14ac:dyDescent="0.2">
      <c r="A30" s="8" t="s">
        <v>275</v>
      </c>
      <c r="B30" s="9" t="s">
        <v>14</v>
      </c>
      <c r="C30" s="10">
        <v>45685</v>
      </c>
      <c r="D30" s="9" t="s">
        <v>15</v>
      </c>
      <c r="E30" s="9" t="s">
        <v>16</v>
      </c>
      <c r="F30" s="9">
        <v>1188</v>
      </c>
      <c r="G30" s="9">
        <v>470</v>
      </c>
      <c r="H30" s="9">
        <v>174</v>
      </c>
      <c r="I30" s="9">
        <v>7128</v>
      </c>
      <c r="J30" s="9">
        <v>6145</v>
      </c>
      <c r="K30" s="9">
        <v>270</v>
      </c>
      <c r="L30" s="19">
        <f t="shared" si="0"/>
        <v>0.25701459034792368</v>
      </c>
      <c r="M30" s="9" t="s">
        <v>23</v>
      </c>
      <c r="N30" s="11" t="s">
        <v>35</v>
      </c>
    </row>
    <row r="31" spans="1:14" x14ac:dyDescent="0.2">
      <c r="A31" s="12" t="s">
        <v>282</v>
      </c>
      <c r="B31" s="13" t="s">
        <v>31</v>
      </c>
      <c r="C31" s="14">
        <v>45511</v>
      </c>
      <c r="D31" s="13" t="s">
        <v>39</v>
      </c>
      <c r="E31" s="13" t="s">
        <v>67</v>
      </c>
      <c r="F31" s="13">
        <v>1741</v>
      </c>
      <c r="G31" s="13">
        <v>164</v>
      </c>
      <c r="H31" s="13">
        <v>318</v>
      </c>
      <c r="I31" s="13">
        <v>8705</v>
      </c>
      <c r="J31" s="13">
        <v>8272</v>
      </c>
      <c r="K31" s="13">
        <v>121</v>
      </c>
      <c r="L31" s="19">
        <f t="shared" si="0"/>
        <v>0.25537047673750718</v>
      </c>
      <c r="M31" s="13" t="s">
        <v>23</v>
      </c>
      <c r="N31" s="15"/>
    </row>
    <row r="32" spans="1:14" x14ac:dyDescent="0.2">
      <c r="A32" s="8" t="s">
        <v>321</v>
      </c>
      <c r="B32" s="9" t="s">
        <v>14</v>
      </c>
      <c r="C32" s="10">
        <v>45708</v>
      </c>
      <c r="D32" s="9" t="s">
        <v>39</v>
      </c>
      <c r="E32" s="9" t="s">
        <v>42</v>
      </c>
      <c r="F32" s="9">
        <v>1877</v>
      </c>
      <c r="G32" s="9">
        <v>745</v>
      </c>
      <c r="H32" s="9">
        <v>225</v>
      </c>
      <c r="I32" s="9">
        <v>11262</v>
      </c>
      <c r="J32" s="9">
        <v>10967</v>
      </c>
      <c r="K32" s="9">
        <v>41</v>
      </c>
      <c r="L32" s="19">
        <f t="shared" si="0"/>
        <v>0.25279701651571657</v>
      </c>
      <c r="M32" s="9" t="s">
        <v>34</v>
      </c>
      <c r="N32" s="11" t="s">
        <v>35</v>
      </c>
    </row>
    <row r="33" spans="1:14" x14ac:dyDescent="0.2">
      <c r="A33" s="8" t="s">
        <v>295</v>
      </c>
      <c r="B33" s="9" t="s">
        <v>27</v>
      </c>
      <c r="C33" s="10">
        <v>45712</v>
      </c>
      <c r="D33" s="9" t="s">
        <v>21</v>
      </c>
      <c r="E33" s="9" t="s">
        <v>75</v>
      </c>
      <c r="F33" s="9">
        <v>4188</v>
      </c>
      <c r="G33" s="9">
        <v>942</v>
      </c>
      <c r="H33" s="9">
        <v>118</v>
      </c>
      <c r="I33" s="9">
        <v>20940</v>
      </c>
      <c r="J33" s="9">
        <v>20471</v>
      </c>
      <c r="K33" s="9">
        <v>102</v>
      </c>
      <c r="L33" s="19">
        <f t="shared" si="0"/>
        <v>0.25062082139446035</v>
      </c>
      <c r="M33" s="9" t="s">
        <v>17</v>
      </c>
      <c r="N33" s="11"/>
    </row>
    <row r="34" spans="1:14" x14ac:dyDescent="0.2">
      <c r="A34" s="8" t="s">
        <v>333</v>
      </c>
      <c r="B34" s="9" t="s">
        <v>38</v>
      </c>
      <c r="C34" s="10">
        <v>45753</v>
      </c>
      <c r="D34" s="9" t="s">
        <v>44</v>
      </c>
      <c r="E34" s="9" t="s">
        <v>49</v>
      </c>
      <c r="F34" s="9">
        <v>4236</v>
      </c>
      <c r="G34" s="9">
        <v>711</v>
      </c>
      <c r="H34" s="9">
        <v>298</v>
      </c>
      <c r="I34" s="9">
        <v>21180</v>
      </c>
      <c r="J34" s="9">
        <v>20516</v>
      </c>
      <c r="K34" s="9">
        <v>238</v>
      </c>
      <c r="L34" s="19">
        <f t="shared" si="0"/>
        <v>0.24763928234183191</v>
      </c>
      <c r="M34" s="9" t="s">
        <v>17</v>
      </c>
      <c r="N34" s="11" t="s">
        <v>18</v>
      </c>
    </row>
    <row r="35" spans="1:14" x14ac:dyDescent="0.2">
      <c r="A35" s="8" t="s">
        <v>353</v>
      </c>
      <c r="B35" s="9" t="s">
        <v>14</v>
      </c>
      <c r="C35" s="10">
        <v>45650</v>
      </c>
      <c r="D35" s="9" t="s">
        <v>21</v>
      </c>
      <c r="E35" s="9" t="s">
        <v>22</v>
      </c>
      <c r="F35" s="9">
        <v>2166</v>
      </c>
      <c r="G35" s="9">
        <v>354</v>
      </c>
      <c r="H35" s="9">
        <v>117</v>
      </c>
      <c r="I35" s="9">
        <v>10830</v>
      </c>
      <c r="J35" s="9">
        <v>10245</v>
      </c>
      <c r="K35" s="9">
        <v>24</v>
      </c>
      <c r="L35" s="19">
        <f t="shared" si="0"/>
        <v>0.24349030470914126</v>
      </c>
      <c r="M35" s="9" t="s">
        <v>34</v>
      </c>
      <c r="N35" s="11" t="s">
        <v>35</v>
      </c>
    </row>
    <row r="36" spans="1:14" x14ac:dyDescent="0.2">
      <c r="A36" s="8" t="s">
        <v>237</v>
      </c>
      <c r="B36" s="9" t="s">
        <v>27</v>
      </c>
      <c r="C36" s="10">
        <v>45737</v>
      </c>
      <c r="D36" s="9" t="s">
        <v>44</v>
      </c>
      <c r="E36" s="9" t="s">
        <v>45</v>
      </c>
      <c r="F36" s="9">
        <v>606</v>
      </c>
      <c r="G36" s="9">
        <v>789</v>
      </c>
      <c r="H36" s="9">
        <v>470</v>
      </c>
      <c r="I36" s="9">
        <v>7878</v>
      </c>
      <c r="J36" s="9">
        <v>7389</v>
      </c>
      <c r="K36" s="9">
        <v>239</v>
      </c>
      <c r="L36" s="19">
        <f t="shared" si="0"/>
        <v>0.23673521198273673</v>
      </c>
      <c r="M36" s="9" t="s">
        <v>34</v>
      </c>
      <c r="N36" s="11" t="s">
        <v>29</v>
      </c>
    </row>
    <row r="37" spans="1:14" x14ac:dyDescent="0.2">
      <c r="A37" s="12" t="s">
        <v>302</v>
      </c>
      <c r="B37" s="13" t="s">
        <v>38</v>
      </c>
      <c r="C37" s="14">
        <v>45576</v>
      </c>
      <c r="D37" s="13" t="s">
        <v>44</v>
      </c>
      <c r="E37" s="13" t="s">
        <v>49</v>
      </c>
      <c r="F37" s="13">
        <v>400</v>
      </c>
      <c r="G37" s="13">
        <v>680</v>
      </c>
      <c r="H37" s="13">
        <v>434</v>
      </c>
      <c r="I37" s="13">
        <v>6400</v>
      </c>
      <c r="J37" s="13">
        <v>5472</v>
      </c>
      <c r="K37" s="13">
        <v>160</v>
      </c>
      <c r="L37" s="19">
        <f t="shared" si="0"/>
        <v>0.23656250000000001</v>
      </c>
      <c r="M37" s="13" t="s">
        <v>17</v>
      </c>
      <c r="N37" s="15" t="s">
        <v>24</v>
      </c>
    </row>
    <row r="38" spans="1:14" x14ac:dyDescent="0.2">
      <c r="A38" s="8" t="s">
        <v>178</v>
      </c>
      <c r="B38" s="9" t="s">
        <v>31</v>
      </c>
      <c r="C38" s="10">
        <v>45457</v>
      </c>
      <c r="D38" s="9" t="s">
        <v>32</v>
      </c>
      <c r="E38" s="9" t="s">
        <v>33</v>
      </c>
      <c r="F38" s="9">
        <v>4363</v>
      </c>
      <c r="G38" s="9">
        <v>649</v>
      </c>
      <c r="H38" s="9">
        <v>140</v>
      </c>
      <c r="I38" s="9">
        <v>21815</v>
      </c>
      <c r="J38" s="9">
        <v>21481</v>
      </c>
      <c r="K38" s="9">
        <v>157</v>
      </c>
      <c r="L38" s="19">
        <f t="shared" si="0"/>
        <v>0.23616777446710979</v>
      </c>
      <c r="M38" s="9" t="s">
        <v>34</v>
      </c>
      <c r="N38" s="11" t="s">
        <v>18</v>
      </c>
    </row>
    <row r="39" spans="1:14" x14ac:dyDescent="0.2">
      <c r="A39" s="12" t="s">
        <v>175</v>
      </c>
      <c r="B39" s="13" t="s">
        <v>38</v>
      </c>
      <c r="C39" s="14">
        <v>45586</v>
      </c>
      <c r="D39" s="13" t="s">
        <v>32</v>
      </c>
      <c r="E39" s="13" t="s">
        <v>56</v>
      </c>
      <c r="F39" s="13">
        <v>780</v>
      </c>
      <c r="G39" s="13">
        <v>928</v>
      </c>
      <c r="H39" s="13">
        <v>301</v>
      </c>
      <c r="I39" s="13">
        <v>8580</v>
      </c>
      <c r="J39" s="13">
        <v>8081</v>
      </c>
      <c r="K39" s="13">
        <v>91</v>
      </c>
      <c r="L39" s="19">
        <f t="shared" si="0"/>
        <v>0.23414918414918415</v>
      </c>
      <c r="M39" s="13" t="s">
        <v>34</v>
      </c>
      <c r="N39" s="15" t="s">
        <v>29</v>
      </c>
    </row>
    <row r="40" spans="1:14" x14ac:dyDescent="0.2">
      <c r="A40" s="8" t="s">
        <v>197</v>
      </c>
      <c r="B40" s="9" t="s">
        <v>14</v>
      </c>
      <c r="C40" s="10">
        <v>45535</v>
      </c>
      <c r="D40" s="9" t="s">
        <v>44</v>
      </c>
      <c r="E40" s="9" t="s">
        <v>90</v>
      </c>
      <c r="F40" s="9">
        <v>3170</v>
      </c>
      <c r="G40" s="9">
        <v>857</v>
      </c>
      <c r="H40" s="9">
        <v>379</v>
      </c>
      <c r="I40" s="9">
        <v>19020</v>
      </c>
      <c r="J40" s="9">
        <v>18559</v>
      </c>
      <c r="K40" s="9">
        <v>240</v>
      </c>
      <c r="L40" s="19">
        <f t="shared" si="0"/>
        <v>0.2316508937960042</v>
      </c>
      <c r="M40" s="9" t="s">
        <v>17</v>
      </c>
      <c r="N40" s="11"/>
    </row>
    <row r="41" spans="1:14" x14ac:dyDescent="0.2">
      <c r="A41" s="8" t="s">
        <v>219</v>
      </c>
      <c r="B41" s="9" t="s">
        <v>31</v>
      </c>
      <c r="C41" s="10">
        <v>45755</v>
      </c>
      <c r="D41" s="9" t="s">
        <v>44</v>
      </c>
      <c r="E41" s="9" t="s">
        <v>136</v>
      </c>
      <c r="F41" s="9">
        <v>4501</v>
      </c>
      <c r="G41" s="9">
        <v>375</v>
      </c>
      <c r="H41" s="9">
        <v>323</v>
      </c>
      <c r="I41" s="9">
        <v>22505</v>
      </c>
      <c r="J41" s="9">
        <v>21836</v>
      </c>
      <c r="K41" s="9">
        <v>132</v>
      </c>
      <c r="L41" s="19">
        <f t="shared" si="0"/>
        <v>0.23101532992668297</v>
      </c>
      <c r="M41" s="9" t="s">
        <v>23</v>
      </c>
      <c r="N41" s="11" t="s">
        <v>24</v>
      </c>
    </row>
    <row r="42" spans="1:14" x14ac:dyDescent="0.2">
      <c r="A42" s="8" t="s">
        <v>325</v>
      </c>
      <c r="B42" s="9" t="s">
        <v>31</v>
      </c>
      <c r="C42" s="10">
        <v>45601</v>
      </c>
      <c r="D42" s="9" t="s">
        <v>58</v>
      </c>
      <c r="E42" s="9" t="s">
        <v>65</v>
      </c>
      <c r="F42" s="9">
        <v>4561</v>
      </c>
      <c r="G42" s="9">
        <v>51</v>
      </c>
      <c r="H42" s="9">
        <v>441</v>
      </c>
      <c r="I42" s="9">
        <v>22805</v>
      </c>
      <c r="J42" s="9">
        <v>21890</v>
      </c>
      <c r="K42" s="9">
        <v>45</v>
      </c>
      <c r="L42" s="19">
        <f t="shared" si="0"/>
        <v>0.22157421618066214</v>
      </c>
      <c r="M42" s="9" t="s">
        <v>23</v>
      </c>
      <c r="N42" s="11" t="s">
        <v>24</v>
      </c>
    </row>
    <row r="43" spans="1:14" x14ac:dyDescent="0.2">
      <c r="A43" s="12" t="s">
        <v>92</v>
      </c>
      <c r="B43" s="13" t="s">
        <v>27</v>
      </c>
      <c r="C43" s="14">
        <v>45721</v>
      </c>
      <c r="D43" s="13" t="s">
        <v>15</v>
      </c>
      <c r="E43" s="13" t="s">
        <v>28</v>
      </c>
      <c r="F43" s="13">
        <v>1543</v>
      </c>
      <c r="G43" s="13">
        <v>820</v>
      </c>
      <c r="H43" s="13">
        <v>333</v>
      </c>
      <c r="I43" s="13">
        <v>12344</v>
      </c>
      <c r="J43" s="13">
        <v>11496</v>
      </c>
      <c r="K43" s="13">
        <v>241</v>
      </c>
      <c r="L43" s="19">
        <f t="shared" si="0"/>
        <v>0.21840570317563188</v>
      </c>
      <c r="M43" s="13" t="s">
        <v>34</v>
      </c>
      <c r="N43" s="15"/>
    </row>
    <row r="44" spans="1:14" x14ac:dyDescent="0.2">
      <c r="A44" s="8" t="s">
        <v>93</v>
      </c>
      <c r="B44" s="9" t="s">
        <v>31</v>
      </c>
      <c r="C44" s="10">
        <v>45640</v>
      </c>
      <c r="D44" s="9" t="s">
        <v>39</v>
      </c>
      <c r="E44" s="9" t="s">
        <v>67</v>
      </c>
      <c r="F44" s="9">
        <v>2174</v>
      </c>
      <c r="G44" s="9">
        <v>658</v>
      </c>
      <c r="H44" s="9">
        <v>15</v>
      </c>
      <c r="I44" s="9">
        <v>13044</v>
      </c>
      <c r="J44" s="9">
        <v>12206</v>
      </c>
      <c r="K44" s="9">
        <v>137</v>
      </c>
      <c r="L44" s="19">
        <f t="shared" si="0"/>
        <v>0.21826126954921804</v>
      </c>
      <c r="M44" s="9" t="s">
        <v>23</v>
      </c>
      <c r="N44" s="11" t="s">
        <v>29</v>
      </c>
    </row>
    <row r="45" spans="1:14" x14ac:dyDescent="0.2">
      <c r="A45" s="8" t="s">
        <v>215</v>
      </c>
      <c r="B45" s="9" t="s">
        <v>38</v>
      </c>
      <c r="C45" s="10">
        <v>45621</v>
      </c>
      <c r="D45" s="9" t="s">
        <v>32</v>
      </c>
      <c r="E45" s="9" t="s">
        <v>56</v>
      </c>
      <c r="F45" s="9">
        <v>2120</v>
      </c>
      <c r="G45" s="9">
        <v>158</v>
      </c>
      <c r="H45" s="9">
        <v>488</v>
      </c>
      <c r="I45" s="9">
        <v>12720</v>
      </c>
      <c r="J45" s="9">
        <v>12085</v>
      </c>
      <c r="K45" s="9">
        <v>17</v>
      </c>
      <c r="L45" s="19">
        <f t="shared" si="0"/>
        <v>0.21745283018867925</v>
      </c>
      <c r="M45" s="9" t="s">
        <v>17</v>
      </c>
      <c r="N45" s="11" t="s">
        <v>24</v>
      </c>
    </row>
    <row r="46" spans="1:14" x14ac:dyDescent="0.2">
      <c r="A46" s="12" t="s">
        <v>202</v>
      </c>
      <c r="B46" s="13" t="s">
        <v>27</v>
      </c>
      <c r="C46" s="14">
        <v>45448</v>
      </c>
      <c r="D46" s="13" t="s">
        <v>15</v>
      </c>
      <c r="E46" s="13" t="s">
        <v>28</v>
      </c>
      <c r="F46" s="13">
        <v>3065</v>
      </c>
      <c r="G46" s="13">
        <v>772</v>
      </c>
      <c r="H46" s="13">
        <v>142</v>
      </c>
      <c r="I46" s="13">
        <v>18390</v>
      </c>
      <c r="J46" s="13">
        <v>17875</v>
      </c>
      <c r="K46" s="13">
        <v>200</v>
      </c>
      <c r="L46" s="19">
        <f t="shared" si="0"/>
        <v>0.21636759108210984</v>
      </c>
      <c r="M46" s="13" t="s">
        <v>368</v>
      </c>
      <c r="N46" s="15"/>
    </row>
    <row r="47" spans="1:14" x14ac:dyDescent="0.2">
      <c r="A47" s="8" t="s">
        <v>77</v>
      </c>
      <c r="B47" s="9" t="s">
        <v>31</v>
      </c>
      <c r="C47" s="10">
        <v>45688</v>
      </c>
      <c r="D47" s="9" t="s">
        <v>39</v>
      </c>
      <c r="E47" s="9" t="s">
        <v>67</v>
      </c>
      <c r="F47" s="9">
        <v>2566</v>
      </c>
      <c r="G47" s="9">
        <v>118</v>
      </c>
      <c r="H47" s="9">
        <v>37</v>
      </c>
      <c r="I47" s="9">
        <v>12830</v>
      </c>
      <c r="J47" s="9">
        <v>12264</v>
      </c>
      <c r="K47" s="9">
        <v>221</v>
      </c>
      <c r="L47" s="19">
        <f t="shared" si="0"/>
        <v>0.21208106001558846</v>
      </c>
      <c r="M47" s="9" t="s">
        <v>17</v>
      </c>
      <c r="N47" s="11" t="s">
        <v>29</v>
      </c>
    </row>
    <row r="48" spans="1:14" x14ac:dyDescent="0.2">
      <c r="A48" s="8" t="s">
        <v>192</v>
      </c>
      <c r="B48" s="9" t="s">
        <v>38</v>
      </c>
      <c r="C48" s="10">
        <v>45504</v>
      </c>
      <c r="D48" s="9" t="s">
        <v>58</v>
      </c>
      <c r="E48" s="9" t="s">
        <v>59</v>
      </c>
      <c r="F48" s="9">
        <v>3008</v>
      </c>
      <c r="G48" s="9">
        <v>94</v>
      </c>
      <c r="H48" s="9">
        <v>37</v>
      </c>
      <c r="I48" s="9">
        <v>15040</v>
      </c>
      <c r="J48" s="9">
        <v>14639</v>
      </c>
      <c r="K48" s="9">
        <v>277</v>
      </c>
      <c r="L48" s="19">
        <f t="shared" si="0"/>
        <v>0.20871010638297871</v>
      </c>
      <c r="M48" s="9" t="s">
        <v>17</v>
      </c>
      <c r="N48" s="11"/>
    </row>
    <row r="49" spans="1:14" x14ac:dyDescent="0.2">
      <c r="A49" s="8" t="s">
        <v>142</v>
      </c>
      <c r="B49" s="9" t="s">
        <v>14</v>
      </c>
      <c r="C49" s="10">
        <v>45449</v>
      </c>
      <c r="D49" s="9" t="s">
        <v>58</v>
      </c>
      <c r="E49" s="9" t="s">
        <v>97</v>
      </c>
      <c r="F49" s="9">
        <v>1436</v>
      </c>
      <c r="G49" s="9">
        <v>765</v>
      </c>
      <c r="H49" s="9">
        <v>496</v>
      </c>
      <c r="I49" s="9">
        <v>12924</v>
      </c>
      <c r="J49" s="9">
        <v>12701</v>
      </c>
      <c r="K49" s="9">
        <v>197</v>
      </c>
      <c r="L49" s="19">
        <f t="shared" si="0"/>
        <v>0.20868152274837512</v>
      </c>
      <c r="M49" s="9" t="s">
        <v>17</v>
      </c>
      <c r="N49" s="11" t="s">
        <v>29</v>
      </c>
    </row>
    <row r="50" spans="1:14" x14ac:dyDescent="0.2">
      <c r="A50" s="8" t="s">
        <v>327</v>
      </c>
      <c r="B50" s="9" t="s">
        <v>31</v>
      </c>
      <c r="C50" s="10">
        <v>45582</v>
      </c>
      <c r="D50" s="9" t="s">
        <v>58</v>
      </c>
      <c r="E50" s="9" t="s">
        <v>65</v>
      </c>
      <c r="F50" s="9">
        <v>3575</v>
      </c>
      <c r="G50" s="9">
        <v>749</v>
      </c>
      <c r="H50" s="9">
        <v>111</v>
      </c>
      <c r="I50" s="9">
        <v>21450</v>
      </c>
      <c r="J50" s="9">
        <v>20785</v>
      </c>
      <c r="K50" s="9">
        <v>195</v>
      </c>
      <c r="L50" s="19">
        <f t="shared" si="0"/>
        <v>0.20675990675990677</v>
      </c>
      <c r="M50" s="9" t="s">
        <v>34</v>
      </c>
      <c r="N50" s="11" t="s">
        <v>24</v>
      </c>
    </row>
    <row r="51" spans="1:14" x14ac:dyDescent="0.2">
      <c r="A51" s="8" t="s">
        <v>130</v>
      </c>
      <c r="B51" s="9" t="s">
        <v>38</v>
      </c>
      <c r="C51" s="10">
        <v>45720</v>
      </c>
      <c r="D51" s="9" t="s">
        <v>32</v>
      </c>
      <c r="E51" s="9" t="s">
        <v>56</v>
      </c>
      <c r="F51" s="9">
        <v>1249</v>
      </c>
      <c r="G51" s="9">
        <v>116</v>
      </c>
      <c r="H51" s="9">
        <v>420</v>
      </c>
      <c r="I51" s="9">
        <v>8743</v>
      </c>
      <c r="J51" s="9">
        <v>8538</v>
      </c>
      <c r="K51" s="9">
        <v>63</v>
      </c>
      <c r="L51" s="19">
        <f t="shared" si="0"/>
        <v>0.20416333066453163</v>
      </c>
      <c r="M51" s="9" t="s">
        <v>23</v>
      </c>
      <c r="N51" s="11"/>
    </row>
    <row r="52" spans="1:14" x14ac:dyDescent="0.2">
      <c r="A52" s="12" t="s">
        <v>191</v>
      </c>
      <c r="B52" s="13" t="s">
        <v>31</v>
      </c>
      <c r="C52" s="14">
        <v>45484</v>
      </c>
      <c r="D52" s="13" t="s">
        <v>21</v>
      </c>
      <c r="E52" s="13" t="s">
        <v>80</v>
      </c>
      <c r="F52" s="13">
        <v>3134</v>
      </c>
      <c r="G52" s="13">
        <v>888</v>
      </c>
      <c r="H52" s="13">
        <v>444</v>
      </c>
      <c r="I52" s="13">
        <v>21938</v>
      </c>
      <c r="J52" s="13">
        <v>21337</v>
      </c>
      <c r="K52" s="13">
        <v>130</v>
      </c>
      <c r="L52" s="19">
        <f t="shared" si="0"/>
        <v>0.20357370772176134</v>
      </c>
      <c r="M52" s="13" t="s">
        <v>34</v>
      </c>
      <c r="N52" s="15" t="s">
        <v>35</v>
      </c>
    </row>
    <row r="53" spans="1:14" x14ac:dyDescent="0.2">
      <c r="A53" s="12" t="s">
        <v>314</v>
      </c>
      <c r="B53" s="13" t="s">
        <v>31</v>
      </c>
      <c r="C53" s="14">
        <v>45509</v>
      </c>
      <c r="D53" s="13" t="s">
        <v>32</v>
      </c>
      <c r="E53" s="13" t="s">
        <v>33</v>
      </c>
      <c r="F53" s="13">
        <v>3601</v>
      </c>
      <c r="G53" s="13">
        <v>695</v>
      </c>
      <c r="H53" s="13">
        <v>75</v>
      </c>
      <c r="I53" s="13">
        <v>21606</v>
      </c>
      <c r="J53" s="13">
        <v>21454</v>
      </c>
      <c r="K53" s="13">
        <v>172</v>
      </c>
      <c r="L53" s="19">
        <f t="shared" si="0"/>
        <v>0.2023049153013052</v>
      </c>
      <c r="M53" s="13" t="s">
        <v>34</v>
      </c>
      <c r="N53" s="15" t="s">
        <v>24</v>
      </c>
    </row>
    <row r="54" spans="1:14" x14ac:dyDescent="0.2">
      <c r="A54" s="12" t="s">
        <v>332</v>
      </c>
      <c r="B54" s="13" t="s">
        <v>14</v>
      </c>
      <c r="C54" s="14">
        <v>45450</v>
      </c>
      <c r="D54" s="13" t="s">
        <v>39</v>
      </c>
      <c r="E54" s="13" t="s">
        <v>42</v>
      </c>
      <c r="F54" s="13">
        <v>1556</v>
      </c>
      <c r="G54" s="13">
        <v>195</v>
      </c>
      <c r="H54" s="13">
        <v>131</v>
      </c>
      <c r="I54" s="13">
        <v>9336</v>
      </c>
      <c r="J54" s="13">
        <v>8875</v>
      </c>
      <c r="K54" s="13">
        <v>137</v>
      </c>
      <c r="L54" s="19">
        <f t="shared" si="0"/>
        <v>0.2015852613538989</v>
      </c>
      <c r="M54" s="13" t="s">
        <v>23</v>
      </c>
      <c r="N54" s="15" t="s">
        <v>24</v>
      </c>
    </row>
    <row r="55" spans="1:14" x14ac:dyDescent="0.2">
      <c r="A55" s="12" t="s">
        <v>204</v>
      </c>
      <c r="B55" s="13" t="s">
        <v>31</v>
      </c>
      <c r="C55" s="14">
        <v>45762</v>
      </c>
      <c r="D55" s="13" t="s">
        <v>58</v>
      </c>
      <c r="E55" s="13" t="s">
        <v>65</v>
      </c>
      <c r="F55" s="13">
        <v>4133</v>
      </c>
      <c r="G55" s="13">
        <v>466</v>
      </c>
      <c r="H55" s="13">
        <v>327</v>
      </c>
      <c r="I55" s="13">
        <v>24798</v>
      </c>
      <c r="J55" s="13">
        <v>24620</v>
      </c>
      <c r="K55" s="13">
        <v>176</v>
      </c>
      <c r="L55" s="19">
        <f t="shared" si="0"/>
        <v>0.19864505202032423</v>
      </c>
      <c r="M55" s="13" t="s">
        <v>34</v>
      </c>
      <c r="N55" s="15" t="s">
        <v>35</v>
      </c>
    </row>
    <row r="56" spans="1:14" x14ac:dyDescent="0.2">
      <c r="A56" s="12" t="s">
        <v>254</v>
      </c>
      <c r="B56" s="13" t="s">
        <v>14</v>
      </c>
      <c r="C56" s="14">
        <v>45549</v>
      </c>
      <c r="D56" s="13" t="s">
        <v>44</v>
      </c>
      <c r="E56" s="13" t="s">
        <v>90</v>
      </c>
      <c r="F56" s="13">
        <v>1048</v>
      </c>
      <c r="G56" s="13">
        <v>374</v>
      </c>
      <c r="H56" s="13">
        <v>450</v>
      </c>
      <c r="I56" s="13">
        <v>9432</v>
      </c>
      <c r="J56" s="13">
        <v>8882</v>
      </c>
      <c r="K56" s="13">
        <v>158</v>
      </c>
      <c r="L56" s="19">
        <f t="shared" si="0"/>
        <v>0.19847328244274809</v>
      </c>
      <c r="M56" s="13" t="s">
        <v>23</v>
      </c>
      <c r="N56" s="15" t="s">
        <v>29</v>
      </c>
    </row>
    <row r="57" spans="1:14" x14ac:dyDescent="0.2">
      <c r="A57" s="12" t="s">
        <v>208</v>
      </c>
      <c r="B57" s="13" t="s">
        <v>38</v>
      </c>
      <c r="C57" s="14">
        <v>45769</v>
      </c>
      <c r="D57" s="13" t="s">
        <v>44</v>
      </c>
      <c r="E57" s="13" t="s">
        <v>49</v>
      </c>
      <c r="F57" s="13">
        <v>4804</v>
      </c>
      <c r="G57" s="13">
        <v>550</v>
      </c>
      <c r="H57" s="13">
        <v>270</v>
      </c>
      <c r="I57" s="13">
        <v>28824</v>
      </c>
      <c r="J57" s="13">
        <v>28370</v>
      </c>
      <c r="K57" s="13">
        <v>47</v>
      </c>
      <c r="L57" s="19">
        <f t="shared" si="0"/>
        <v>0.19511518179295032</v>
      </c>
      <c r="M57" s="13" t="s">
        <v>34</v>
      </c>
      <c r="N57" s="15" t="s">
        <v>35</v>
      </c>
    </row>
    <row r="58" spans="1:14" x14ac:dyDescent="0.2">
      <c r="A58" s="12" t="s">
        <v>342</v>
      </c>
      <c r="B58" s="13" t="s">
        <v>27</v>
      </c>
      <c r="C58" s="14">
        <v>45560</v>
      </c>
      <c r="D58" s="13" t="s">
        <v>58</v>
      </c>
      <c r="E58" s="13" t="s">
        <v>138</v>
      </c>
      <c r="F58" s="13">
        <v>3389</v>
      </c>
      <c r="G58" s="13">
        <v>344</v>
      </c>
      <c r="H58" s="13">
        <v>229</v>
      </c>
      <c r="I58" s="13">
        <v>20334</v>
      </c>
      <c r="J58" s="13">
        <v>19443</v>
      </c>
      <c r="K58" s="13">
        <v>228</v>
      </c>
      <c r="L58" s="19">
        <f t="shared" si="0"/>
        <v>0.19484607062063539</v>
      </c>
      <c r="M58" s="13" t="s">
        <v>17</v>
      </c>
      <c r="N58" s="15" t="s">
        <v>29</v>
      </c>
    </row>
    <row r="59" spans="1:14" x14ac:dyDescent="0.2">
      <c r="A59" s="12" t="s">
        <v>121</v>
      </c>
      <c r="B59" s="13" t="s">
        <v>31</v>
      </c>
      <c r="C59" s="14">
        <v>45634</v>
      </c>
      <c r="D59" s="13" t="s">
        <v>32</v>
      </c>
      <c r="E59" s="13" t="s">
        <v>33</v>
      </c>
      <c r="F59" s="13">
        <v>2610</v>
      </c>
      <c r="G59" s="13">
        <v>126</v>
      </c>
      <c r="H59" s="13">
        <v>288</v>
      </c>
      <c r="I59" s="13">
        <v>15660</v>
      </c>
      <c r="J59" s="13">
        <v>15145</v>
      </c>
      <c r="K59" s="13">
        <v>73</v>
      </c>
      <c r="L59" s="19">
        <f t="shared" si="0"/>
        <v>0.19310344827586207</v>
      </c>
      <c r="M59" s="13" t="s">
        <v>34</v>
      </c>
      <c r="N59" s="15"/>
    </row>
    <row r="60" spans="1:14" x14ac:dyDescent="0.2">
      <c r="A60" s="8" t="s">
        <v>140</v>
      </c>
      <c r="B60" s="9" t="s">
        <v>31</v>
      </c>
      <c r="C60" s="10">
        <v>45766</v>
      </c>
      <c r="D60" s="9" t="s">
        <v>44</v>
      </c>
      <c r="E60" s="9" t="s">
        <v>136</v>
      </c>
      <c r="F60" s="9">
        <v>4177</v>
      </c>
      <c r="G60" s="9">
        <v>569</v>
      </c>
      <c r="H60" s="9">
        <v>55</v>
      </c>
      <c r="I60" s="9">
        <v>25062</v>
      </c>
      <c r="J60" s="9">
        <v>24847</v>
      </c>
      <c r="K60" s="9">
        <v>230</v>
      </c>
      <c r="L60" s="19">
        <f t="shared" si="0"/>
        <v>0.19156491900087783</v>
      </c>
      <c r="M60" s="9" t="s">
        <v>17</v>
      </c>
      <c r="N60" s="11" t="s">
        <v>18</v>
      </c>
    </row>
    <row r="61" spans="1:14" x14ac:dyDescent="0.2">
      <c r="A61" s="12" t="s">
        <v>81</v>
      </c>
      <c r="B61" s="13" t="s">
        <v>14</v>
      </c>
      <c r="C61" s="14">
        <v>45504</v>
      </c>
      <c r="D61" s="13" t="s">
        <v>39</v>
      </c>
      <c r="E61" s="13" t="s">
        <v>42</v>
      </c>
      <c r="F61" s="13">
        <v>2278</v>
      </c>
      <c r="G61" s="13">
        <v>10</v>
      </c>
      <c r="H61" s="13">
        <v>321</v>
      </c>
      <c r="I61" s="13">
        <v>13668</v>
      </c>
      <c r="J61" s="13">
        <v>12676</v>
      </c>
      <c r="K61" s="13">
        <v>275</v>
      </c>
      <c r="L61" s="19">
        <f t="shared" si="0"/>
        <v>0.19088381621305239</v>
      </c>
      <c r="M61" s="13" t="s">
        <v>34</v>
      </c>
      <c r="N61" s="15" t="s">
        <v>18</v>
      </c>
    </row>
    <row r="62" spans="1:14" x14ac:dyDescent="0.2">
      <c r="A62" s="12" t="s">
        <v>274</v>
      </c>
      <c r="B62" s="13" t="s">
        <v>38</v>
      </c>
      <c r="C62" s="14">
        <v>45454</v>
      </c>
      <c r="D62" s="13" t="s">
        <v>39</v>
      </c>
      <c r="E62" s="13" t="s">
        <v>40</v>
      </c>
      <c r="F62" s="13">
        <v>1869</v>
      </c>
      <c r="G62" s="13">
        <v>453</v>
      </c>
      <c r="H62" s="13">
        <v>490</v>
      </c>
      <c r="I62" s="13">
        <v>14952</v>
      </c>
      <c r="J62" s="13">
        <v>14309</v>
      </c>
      <c r="K62" s="13">
        <v>275</v>
      </c>
      <c r="L62" s="19">
        <f t="shared" si="0"/>
        <v>0.18806848582129482</v>
      </c>
      <c r="M62" s="13" t="s">
        <v>23</v>
      </c>
      <c r="N62" s="15" t="s">
        <v>35</v>
      </c>
    </row>
    <row r="63" spans="1:14" x14ac:dyDescent="0.2">
      <c r="A63" s="8" t="s">
        <v>267</v>
      </c>
      <c r="B63" s="9" t="s">
        <v>14</v>
      </c>
      <c r="C63" s="10">
        <v>45491</v>
      </c>
      <c r="D63" s="9" t="s">
        <v>39</v>
      </c>
      <c r="E63" s="9" t="s">
        <v>42</v>
      </c>
      <c r="F63" s="9">
        <v>2120</v>
      </c>
      <c r="G63" s="9">
        <v>38</v>
      </c>
      <c r="H63" s="9">
        <v>212</v>
      </c>
      <c r="I63" s="9">
        <v>12720</v>
      </c>
      <c r="J63" s="9">
        <v>12564</v>
      </c>
      <c r="K63" s="9">
        <v>21</v>
      </c>
      <c r="L63" s="19">
        <f t="shared" si="0"/>
        <v>0.18632075471698112</v>
      </c>
      <c r="M63" s="9" t="s">
        <v>17</v>
      </c>
      <c r="N63" s="11" t="s">
        <v>35</v>
      </c>
    </row>
    <row r="64" spans="1:14" x14ac:dyDescent="0.2">
      <c r="A64" s="12" t="s">
        <v>298</v>
      </c>
      <c r="B64" s="13" t="s">
        <v>38</v>
      </c>
      <c r="C64" s="14">
        <v>45480</v>
      </c>
      <c r="D64" s="13" t="s">
        <v>15</v>
      </c>
      <c r="E64" s="13" t="s">
        <v>52</v>
      </c>
      <c r="F64" s="13">
        <v>4767</v>
      </c>
      <c r="G64" s="13">
        <v>190</v>
      </c>
      <c r="H64" s="13">
        <v>340</v>
      </c>
      <c r="I64" s="13">
        <v>28602</v>
      </c>
      <c r="J64" s="13">
        <v>28044</v>
      </c>
      <c r="K64" s="13">
        <v>210</v>
      </c>
      <c r="L64" s="19">
        <f t="shared" si="0"/>
        <v>0.18519683938186141</v>
      </c>
      <c r="M64" s="13" t="s">
        <v>34</v>
      </c>
      <c r="N64" s="15" t="s">
        <v>29</v>
      </c>
    </row>
    <row r="65" spans="1:14" x14ac:dyDescent="0.2">
      <c r="A65" s="8" t="s">
        <v>91</v>
      </c>
      <c r="B65" s="9" t="s">
        <v>31</v>
      </c>
      <c r="C65" s="10">
        <v>45724</v>
      </c>
      <c r="D65" s="9" t="s">
        <v>15</v>
      </c>
      <c r="E65" s="9" t="s">
        <v>63</v>
      </c>
      <c r="F65" s="9">
        <v>456</v>
      </c>
      <c r="G65" s="9">
        <v>629</v>
      </c>
      <c r="H65" s="9">
        <v>428</v>
      </c>
      <c r="I65" s="9">
        <v>8208</v>
      </c>
      <c r="J65" s="9">
        <v>7377</v>
      </c>
      <c r="K65" s="9">
        <v>205</v>
      </c>
      <c r="L65" s="19">
        <f t="shared" si="0"/>
        <v>0.18433235867446393</v>
      </c>
      <c r="M65" s="9" t="s">
        <v>17</v>
      </c>
      <c r="N65" s="11" t="s">
        <v>35</v>
      </c>
    </row>
    <row r="66" spans="1:14" x14ac:dyDescent="0.2">
      <c r="A66" s="12" t="s">
        <v>350</v>
      </c>
      <c r="B66" s="13" t="s">
        <v>38</v>
      </c>
      <c r="C66" s="14">
        <v>45462</v>
      </c>
      <c r="D66" s="13" t="s">
        <v>39</v>
      </c>
      <c r="E66" s="13" t="s">
        <v>40</v>
      </c>
      <c r="F66" s="13">
        <v>4731</v>
      </c>
      <c r="G66" s="13">
        <v>173</v>
      </c>
      <c r="H66" s="13">
        <v>276</v>
      </c>
      <c r="I66" s="13">
        <v>28386</v>
      </c>
      <c r="J66" s="13">
        <v>28185</v>
      </c>
      <c r="K66" s="13">
        <v>89</v>
      </c>
      <c r="L66" s="19">
        <f t="shared" ref="L66:L129" si="1">(F66+G66+H66)/I66</f>
        <v>0.18248432325794406</v>
      </c>
      <c r="M66" s="13" t="s">
        <v>34</v>
      </c>
      <c r="N66" s="15" t="s">
        <v>29</v>
      </c>
    </row>
    <row r="67" spans="1:14" x14ac:dyDescent="0.2">
      <c r="A67" s="12" t="s">
        <v>37</v>
      </c>
      <c r="B67" s="13" t="s">
        <v>38</v>
      </c>
      <c r="C67" s="14">
        <v>45596</v>
      </c>
      <c r="D67" s="13" t="s">
        <v>39</v>
      </c>
      <c r="E67" s="13" t="s">
        <v>40</v>
      </c>
      <c r="F67" s="13">
        <v>2945</v>
      </c>
      <c r="G67" s="13">
        <v>930</v>
      </c>
      <c r="H67" s="13">
        <v>355</v>
      </c>
      <c r="I67" s="13">
        <v>23560</v>
      </c>
      <c r="J67" s="13">
        <v>23275</v>
      </c>
      <c r="K67" s="13">
        <v>256</v>
      </c>
      <c r="L67" s="19">
        <f t="shared" si="1"/>
        <v>0.17954159592529711</v>
      </c>
      <c r="M67" s="13" t="s">
        <v>23</v>
      </c>
      <c r="N67" s="15" t="s">
        <v>24</v>
      </c>
    </row>
    <row r="68" spans="1:14" x14ac:dyDescent="0.2">
      <c r="A68" s="8" t="s">
        <v>209</v>
      </c>
      <c r="B68" s="9" t="s">
        <v>14</v>
      </c>
      <c r="C68" s="10">
        <v>45658</v>
      </c>
      <c r="D68" s="9" t="s">
        <v>58</v>
      </c>
      <c r="E68" s="9" t="s">
        <v>97</v>
      </c>
      <c r="F68" s="9">
        <v>754</v>
      </c>
      <c r="G68" s="9">
        <v>197</v>
      </c>
      <c r="H68" s="9">
        <v>257</v>
      </c>
      <c r="I68" s="9">
        <v>6786</v>
      </c>
      <c r="J68" s="9">
        <v>6221</v>
      </c>
      <c r="K68" s="9">
        <v>212</v>
      </c>
      <c r="L68" s="19">
        <f t="shared" si="1"/>
        <v>0.17801355732390214</v>
      </c>
      <c r="M68" s="9" t="s">
        <v>23</v>
      </c>
      <c r="N68" s="11" t="s">
        <v>29</v>
      </c>
    </row>
    <row r="69" spans="1:14" x14ac:dyDescent="0.2">
      <c r="A69" s="8" t="s">
        <v>86</v>
      </c>
      <c r="B69" s="9" t="s">
        <v>38</v>
      </c>
      <c r="C69" s="10">
        <v>45663</v>
      </c>
      <c r="D69" s="9" t="s">
        <v>39</v>
      </c>
      <c r="E69" s="9" t="s">
        <v>40</v>
      </c>
      <c r="F69" s="9">
        <v>3024</v>
      </c>
      <c r="G69" s="9">
        <v>925</v>
      </c>
      <c r="H69" s="9">
        <v>350</v>
      </c>
      <c r="I69" s="9">
        <v>24192</v>
      </c>
      <c r="J69" s="9">
        <v>23518</v>
      </c>
      <c r="K69" s="9">
        <v>36</v>
      </c>
      <c r="L69" s="19">
        <f t="shared" si="1"/>
        <v>0.17770337301587302</v>
      </c>
      <c r="M69" s="9" t="s">
        <v>34</v>
      </c>
      <c r="N69" s="11" t="s">
        <v>24</v>
      </c>
    </row>
    <row r="70" spans="1:14" x14ac:dyDescent="0.2">
      <c r="A70" s="8" t="s">
        <v>297</v>
      </c>
      <c r="B70" s="9" t="s">
        <v>38</v>
      </c>
      <c r="C70" s="10">
        <v>45675</v>
      </c>
      <c r="D70" s="9" t="s">
        <v>32</v>
      </c>
      <c r="E70" s="9" t="s">
        <v>56</v>
      </c>
      <c r="F70" s="9">
        <v>4321</v>
      </c>
      <c r="G70" s="9">
        <v>874</v>
      </c>
      <c r="H70" s="9">
        <v>172</v>
      </c>
      <c r="I70" s="9">
        <v>30247</v>
      </c>
      <c r="J70" s="9">
        <v>29254</v>
      </c>
      <c r="K70" s="9">
        <v>122</v>
      </c>
      <c r="L70" s="19">
        <f t="shared" si="1"/>
        <v>0.17743908486792079</v>
      </c>
      <c r="M70" s="9" t="s">
        <v>23</v>
      </c>
      <c r="N70" s="11" t="s">
        <v>35</v>
      </c>
    </row>
    <row r="71" spans="1:14" x14ac:dyDescent="0.2">
      <c r="A71" s="12" t="s">
        <v>167</v>
      </c>
      <c r="B71" s="13" t="s">
        <v>14</v>
      </c>
      <c r="C71" s="14">
        <v>45570</v>
      </c>
      <c r="D71" s="13" t="s">
        <v>32</v>
      </c>
      <c r="E71" s="13" t="s">
        <v>100</v>
      </c>
      <c r="F71" s="13">
        <v>1957</v>
      </c>
      <c r="G71" s="13">
        <v>877</v>
      </c>
      <c r="H71" s="13">
        <v>238</v>
      </c>
      <c r="I71" s="13">
        <v>17613</v>
      </c>
      <c r="J71" s="13">
        <v>16865</v>
      </c>
      <c r="K71" s="13">
        <v>297</v>
      </c>
      <c r="L71" s="19">
        <f t="shared" si="1"/>
        <v>0.17441662408448305</v>
      </c>
      <c r="M71" s="13" t="s">
        <v>17</v>
      </c>
      <c r="N71" s="15" t="s">
        <v>29</v>
      </c>
    </row>
    <row r="72" spans="1:14" x14ac:dyDescent="0.2">
      <c r="A72" s="8" t="s">
        <v>184</v>
      </c>
      <c r="B72" s="9" t="s">
        <v>14</v>
      </c>
      <c r="C72" s="10">
        <v>45494</v>
      </c>
      <c r="D72" s="9" t="s">
        <v>21</v>
      </c>
      <c r="E72" s="9" t="s">
        <v>22</v>
      </c>
      <c r="F72" s="9">
        <v>2147</v>
      </c>
      <c r="G72" s="9">
        <v>430</v>
      </c>
      <c r="H72" s="9">
        <v>393</v>
      </c>
      <c r="I72" s="9">
        <v>17176</v>
      </c>
      <c r="J72" s="9">
        <v>16483</v>
      </c>
      <c r="K72" s="9">
        <v>170</v>
      </c>
      <c r="L72" s="19">
        <f t="shared" si="1"/>
        <v>0.17291569632044715</v>
      </c>
      <c r="M72" s="9" t="s">
        <v>23</v>
      </c>
      <c r="N72" s="11"/>
    </row>
    <row r="73" spans="1:14" x14ac:dyDescent="0.2">
      <c r="A73" s="12" t="s">
        <v>76</v>
      </c>
      <c r="B73" s="13" t="s">
        <v>31</v>
      </c>
      <c r="C73" s="14">
        <v>45720</v>
      </c>
      <c r="D73" s="13" t="s">
        <v>58</v>
      </c>
      <c r="E73" s="13" t="s">
        <v>65</v>
      </c>
      <c r="F73" s="13">
        <v>432</v>
      </c>
      <c r="G73" s="13">
        <v>624</v>
      </c>
      <c r="H73" s="13">
        <v>123</v>
      </c>
      <c r="I73" s="13">
        <v>6912</v>
      </c>
      <c r="J73" s="13">
        <v>6259</v>
      </c>
      <c r="K73" s="13">
        <v>79</v>
      </c>
      <c r="L73" s="19">
        <f t="shared" si="1"/>
        <v>0.17057291666666666</v>
      </c>
      <c r="M73" s="13" t="s">
        <v>17</v>
      </c>
      <c r="N73" s="15" t="s">
        <v>35</v>
      </c>
    </row>
    <row r="74" spans="1:14" x14ac:dyDescent="0.2">
      <c r="A74" s="12" t="s">
        <v>96</v>
      </c>
      <c r="B74" s="13" t="s">
        <v>14</v>
      </c>
      <c r="C74" s="14">
        <v>45779</v>
      </c>
      <c r="D74" s="13" t="s">
        <v>58</v>
      </c>
      <c r="E74" s="13" t="s">
        <v>97</v>
      </c>
      <c r="F74" s="13">
        <v>1108</v>
      </c>
      <c r="G74" s="13">
        <v>177</v>
      </c>
      <c r="H74" s="13">
        <v>212</v>
      </c>
      <c r="I74" s="13">
        <v>8864</v>
      </c>
      <c r="J74" s="13">
        <v>8710</v>
      </c>
      <c r="K74" s="13">
        <v>97</v>
      </c>
      <c r="L74" s="19">
        <f t="shared" si="1"/>
        <v>0.16888537906137185</v>
      </c>
      <c r="M74" s="13" t="s">
        <v>23</v>
      </c>
      <c r="N74" s="15" t="s">
        <v>35</v>
      </c>
    </row>
    <row r="75" spans="1:14" x14ac:dyDescent="0.2">
      <c r="A75" s="8" t="s">
        <v>144</v>
      </c>
      <c r="B75" s="9" t="s">
        <v>14</v>
      </c>
      <c r="C75" s="10">
        <v>45667</v>
      </c>
      <c r="D75" s="9" t="s">
        <v>44</v>
      </c>
      <c r="E75" s="9" t="s">
        <v>90</v>
      </c>
      <c r="F75" s="9">
        <v>2214</v>
      </c>
      <c r="G75" s="9">
        <v>249</v>
      </c>
      <c r="H75" s="9">
        <v>152</v>
      </c>
      <c r="I75" s="9">
        <v>15498</v>
      </c>
      <c r="J75" s="9">
        <v>14800</v>
      </c>
      <c r="K75" s="9">
        <v>180</v>
      </c>
      <c r="L75" s="19">
        <f t="shared" si="1"/>
        <v>0.16873144921925409</v>
      </c>
      <c r="M75" s="9" t="s">
        <v>34</v>
      </c>
      <c r="N75" s="11"/>
    </row>
    <row r="76" spans="1:14" x14ac:dyDescent="0.2">
      <c r="A76" s="12" t="s">
        <v>149</v>
      </c>
      <c r="B76" s="13" t="s">
        <v>31</v>
      </c>
      <c r="C76" s="14">
        <v>45603</v>
      </c>
      <c r="D76" s="13" t="s">
        <v>44</v>
      </c>
      <c r="E76" s="13" t="s">
        <v>136</v>
      </c>
      <c r="F76" s="13">
        <v>2647</v>
      </c>
      <c r="G76" s="13">
        <v>304</v>
      </c>
      <c r="H76" s="13">
        <v>170</v>
      </c>
      <c r="I76" s="13">
        <v>18529</v>
      </c>
      <c r="J76" s="13">
        <v>17841</v>
      </c>
      <c r="K76" s="13">
        <v>46</v>
      </c>
      <c r="L76" s="19">
        <f t="shared" si="1"/>
        <v>0.16843866371633656</v>
      </c>
      <c r="M76" s="13" t="s">
        <v>17</v>
      </c>
      <c r="N76" s="15" t="s">
        <v>29</v>
      </c>
    </row>
    <row r="77" spans="1:14" x14ac:dyDescent="0.2">
      <c r="A77" s="12" t="s">
        <v>171</v>
      </c>
      <c r="B77" s="13" t="s">
        <v>27</v>
      </c>
      <c r="C77" s="14">
        <v>45734</v>
      </c>
      <c r="D77" s="13" t="s">
        <v>15</v>
      </c>
      <c r="E77" s="13" t="s">
        <v>28</v>
      </c>
      <c r="F77" s="13">
        <v>3704</v>
      </c>
      <c r="G77" s="13">
        <v>186</v>
      </c>
      <c r="H77" s="13">
        <v>458</v>
      </c>
      <c r="I77" s="13">
        <v>25928</v>
      </c>
      <c r="J77" s="13">
        <v>25081</v>
      </c>
      <c r="K77" s="13">
        <v>131</v>
      </c>
      <c r="L77" s="19">
        <f t="shared" si="1"/>
        <v>0.16769515581610614</v>
      </c>
      <c r="M77" s="13" t="s">
        <v>23</v>
      </c>
      <c r="N77" s="15"/>
    </row>
    <row r="78" spans="1:14" x14ac:dyDescent="0.2">
      <c r="A78" s="8" t="s">
        <v>331</v>
      </c>
      <c r="B78" s="9" t="s">
        <v>38</v>
      </c>
      <c r="C78" s="10">
        <v>45509</v>
      </c>
      <c r="D78" s="9" t="s">
        <v>15</v>
      </c>
      <c r="E78" s="9" t="s">
        <v>52</v>
      </c>
      <c r="F78" s="9">
        <v>1741</v>
      </c>
      <c r="G78" s="9">
        <v>831</v>
      </c>
      <c r="H78" s="9">
        <v>345</v>
      </c>
      <c r="I78" s="9">
        <v>17410</v>
      </c>
      <c r="J78" s="9">
        <v>16844</v>
      </c>
      <c r="K78" s="9">
        <v>58</v>
      </c>
      <c r="L78" s="19">
        <f t="shared" si="1"/>
        <v>0.16754738655944859</v>
      </c>
      <c r="M78" s="9" t="s">
        <v>34</v>
      </c>
      <c r="N78" s="11" t="s">
        <v>29</v>
      </c>
    </row>
    <row r="79" spans="1:14" x14ac:dyDescent="0.2">
      <c r="A79" s="8" t="s">
        <v>164</v>
      </c>
      <c r="B79" s="9" t="s">
        <v>14</v>
      </c>
      <c r="C79" s="10">
        <v>45512</v>
      </c>
      <c r="D79" s="9" t="s">
        <v>32</v>
      </c>
      <c r="E79" s="9" t="s">
        <v>100</v>
      </c>
      <c r="F79" s="9">
        <v>3649</v>
      </c>
      <c r="G79" s="9">
        <v>215</v>
      </c>
      <c r="H79" s="9">
        <v>413</v>
      </c>
      <c r="I79" s="9">
        <v>25543</v>
      </c>
      <c r="J79" s="9">
        <v>24963</v>
      </c>
      <c r="K79" s="9">
        <v>167</v>
      </c>
      <c r="L79" s="19">
        <f t="shared" si="1"/>
        <v>0.16744313510550835</v>
      </c>
      <c r="M79" s="9" t="s">
        <v>17</v>
      </c>
      <c r="N79" s="11" t="s">
        <v>29</v>
      </c>
    </row>
    <row r="80" spans="1:14" x14ac:dyDescent="0.2">
      <c r="A80" s="8" t="s">
        <v>98</v>
      </c>
      <c r="B80" s="9" t="s">
        <v>14</v>
      </c>
      <c r="C80" s="10">
        <v>45712</v>
      </c>
      <c r="D80" s="9" t="s">
        <v>39</v>
      </c>
      <c r="E80" s="9" t="s">
        <v>42</v>
      </c>
      <c r="F80" s="9">
        <v>2704</v>
      </c>
      <c r="G80" s="9">
        <v>752</v>
      </c>
      <c r="H80" s="9">
        <v>153</v>
      </c>
      <c r="I80" s="9">
        <v>21632</v>
      </c>
      <c r="J80" s="9">
        <v>20792</v>
      </c>
      <c r="K80" s="9">
        <v>127</v>
      </c>
      <c r="L80" s="19">
        <f t="shared" si="1"/>
        <v>0.16683616863905326</v>
      </c>
      <c r="M80" s="9" t="s">
        <v>17</v>
      </c>
      <c r="N80" s="11"/>
    </row>
    <row r="81" spans="1:14" x14ac:dyDescent="0.2">
      <c r="A81" s="8" t="s">
        <v>351</v>
      </c>
      <c r="B81" s="9" t="s">
        <v>14</v>
      </c>
      <c r="C81" s="10">
        <v>45783</v>
      </c>
      <c r="D81" s="9" t="s">
        <v>44</v>
      </c>
      <c r="E81" s="9" t="s">
        <v>90</v>
      </c>
      <c r="F81" s="9">
        <v>1952</v>
      </c>
      <c r="G81" s="9">
        <v>344</v>
      </c>
      <c r="H81" s="9">
        <v>287</v>
      </c>
      <c r="I81" s="9">
        <v>15616</v>
      </c>
      <c r="J81" s="9">
        <v>15403</v>
      </c>
      <c r="K81" s="9">
        <v>235</v>
      </c>
      <c r="L81" s="19">
        <f t="shared" si="1"/>
        <v>0.16540727459016394</v>
      </c>
      <c r="M81" s="9" t="s">
        <v>366</v>
      </c>
      <c r="N81" s="11" t="s">
        <v>24</v>
      </c>
    </row>
    <row r="82" spans="1:14" x14ac:dyDescent="0.2">
      <c r="A82" s="12" t="s">
        <v>107</v>
      </c>
      <c r="B82" s="13" t="s">
        <v>27</v>
      </c>
      <c r="C82" s="14">
        <v>45729</v>
      </c>
      <c r="D82" s="13" t="s">
        <v>39</v>
      </c>
      <c r="E82" s="13" t="s">
        <v>54</v>
      </c>
      <c r="F82" s="13">
        <v>1686</v>
      </c>
      <c r="G82" s="13">
        <v>904</v>
      </c>
      <c r="H82" s="13">
        <v>472</v>
      </c>
      <c r="I82" s="13">
        <v>18546</v>
      </c>
      <c r="J82" s="13">
        <v>18171</v>
      </c>
      <c r="K82" s="13">
        <v>52</v>
      </c>
      <c r="L82" s="19">
        <f t="shared" si="1"/>
        <v>0.16510298716704411</v>
      </c>
      <c r="M82" s="13" t="s">
        <v>17</v>
      </c>
      <c r="N82" s="15" t="s">
        <v>24</v>
      </c>
    </row>
    <row r="83" spans="1:14" x14ac:dyDescent="0.2">
      <c r="A83" s="12" t="s">
        <v>113</v>
      </c>
      <c r="B83" s="13" t="s">
        <v>31</v>
      </c>
      <c r="C83" s="14">
        <v>45685</v>
      </c>
      <c r="D83" s="13" t="s">
        <v>58</v>
      </c>
      <c r="E83" s="13" t="s">
        <v>65</v>
      </c>
      <c r="F83" s="13">
        <v>904</v>
      </c>
      <c r="G83" s="13">
        <v>973</v>
      </c>
      <c r="H83" s="13">
        <v>63</v>
      </c>
      <c r="I83" s="13">
        <v>11752</v>
      </c>
      <c r="J83" s="13">
        <v>11580</v>
      </c>
      <c r="K83" s="13">
        <v>84</v>
      </c>
      <c r="L83" s="19">
        <f t="shared" si="1"/>
        <v>0.1650782845473111</v>
      </c>
      <c r="M83" s="13" t="s">
        <v>365</v>
      </c>
      <c r="N83" s="15" t="s">
        <v>29</v>
      </c>
    </row>
    <row r="84" spans="1:14" x14ac:dyDescent="0.2">
      <c r="A84" s="8" t="s">
        <v>137</v>
      </c>
      <c r="B84" s="9" t="s">
        <v>27</v>
      </c>
      <c r="C84" s="10">
        <v>45580</v>
      </c>
      <c r="D84" s="9" t="s">
        <v>58</v>
      </c>
      <c r="E84" s="9" t="s">
        <v>138</v>
      </c>
      <c r="F84" s="9">
        <v>1094</v>
      </c>
      <c r="G84" s="9">
        <v>472</v>
      </c>
      <c r="H84" s="9">
        <v>21</v>
      </c>
      <c r="I84" s="9">
        <v>9846</v>
      </c>
      <c r="J84" s="9">
        <v>9609</v>
      </c>
      <c r="K84" s="9">
        <v>112</v>
      </c>
      <c r="L84" s="19">
        <f t="shared" si="1"/>
        <v>0.16118220597196831</v>
      </c>
      <c r="M84" s="9" t="s">
        <v>34</v>
      </c>
      <c r="N84" s="11"/>
    </row>
    <row r="85" spans="1:14" x14ac:dyDescent="0.2">
      <c r="A85" s="12" t="s">
        <v>193</v>
      </c>
      <c r="B85" s="13" t="s">
        <v>14</v>
      </c>
      <c r="C85" s="14">
        <v>45745</v>
      </c>
      <c r="D85" s="13" t="s">
        <v>44</v>
      </c>
      <c r="E85" s="13" t="s">
        <v>90</v>
      </c>
      <c r="F85" s="13">
        <v>305</v>
      </c>
      <c r="G85" s="13">
        <v>187</v>
      </c>
      <c r="H85" s="13">
        <v>243</v>
      </c>
      <c r="I85" s="13">
        <v>4575</v>
      </c>
      <c r="J85" s="13">
        <v>3704</v>
      </c>
      <c r="K85" s="13">
        <v>234</v>
      </c>
      <c r="L85" s="19">
        <f t="shared" si="1"/>
        <v>0.16065573770491803</v>
      </c>
      <c r="M85" s="13" t="s">
        <v>17</v>
      </c>
      <c r="N85" s="15" t="s">
        <v>29</v>
      </c>
    </row>
    <row r="86" spans="1:14" x14ac:dyDescent="0.2">
      <c r="A86" s="8" t="s">
        <v>277</v>
      </c>
      <c r="B86" s="9" t="s">
        <v>38</v>
      </c>
      <c r="C86" s="10">
        <v>45739</v>
      </c>
      <c r="D86" s="9" t="s">
        <v>58</v>
      </c>
      <c r="E86" s="9" t="s">
        <v>59</v>
      </c>
      <c r="F86" s="9">
        <v>4453</v>
      </c>
      <c r="G86" s="9">
        <v>111</v>
      </c>
      <c r="H86" s="9">
        <v>420</v>
      </c>
      <c r="I86" s="9">
        <v>31171</v>
      </c>
      <c r="J86" s="9">
        <v>30565</v>
      </c>
      <c r="K86" s="9">
        <v>23</v>
      </c>
      <c r="L86" s="19">
        <f t="shared" si="1"/>
        <v>0.15989220750056141</v>
      </c>
      <c r="M86" s="9" t="s">
        <v>23</v>
      </c>
      <c r="N86" s="11"/>
    </row>
    <row r="87" spans="1:14" x14ac:dyDescent="0.2">
      <c r="A87" s="12" t="s">
        <v>308</v>
      </c>
      <c r="B87" s="13" t="s">
        <v>38</v>
      </c>
      <c r="C87" s="14">
        <v>45775</v>
      </c>
      <c r="D87" s="13" t="s">
        <v>39</v>
      </c>
      <c r="E87" s="13" t="s">
        <v>40</v>
      </c>
      <c r="F87" s="13">
        <v>2089</v>
      </c>
      <c r="G87" s="13">
        <v>476</v>
      </c>
      <c r="H87" s="13">
        <v>69</v>
      </c>
      <c r="I87" s="13">
        <v>16712</v>
      </c>
      <c r="J87" s="13">
        <v>16309</v>
      </c>
      <c r="K87" s="13">
        <v>64</v>
      </c>
      <c r="L87" s="19">
        <f t="shared" si="1"/>
        <v>0.15761129727142173</v>
      </c>
      <c r="M87" s="13" t="s">
        <v>17</v>
      </c>
      <c r="N87" s="15" t="s">
        <v>29</v>
      </c>
    </row>
    <row r="88" spans="1:14" x14ac:dyDescent="0.2">
      <c r="A88" s="12" t="s">
        <v>105</v>
      </c>
      <c r="B88" s="13" t="s">
        <v>38</v>
      </c>
      <c r="C88" s="14">
        <v>45660</v>
      </c>
      <c r="D88" s="13" t="s">
        <v>44</v>
      </c>
      <c r="E88" s="13" t="s">
        <v>49</v>
      </c>
      <c r="F88" s="13">
        <v>947</v>
      </c>
      <c r="G88" s="13">
        <v>338</v>
      </c>
      <c r="H88" s="13">
        <v>350</v>
      </c>
      <c r="I88" s="13">
        <v>10417</v>
      </c>
      <c r="J88" s="13">
        <v>9730</v>
      </c>
      <c r="K88" s="13">
        <v>34</v>
      </c>
      <c r="L88" s="19">
        <f t="shared" si="1"/>
        <v>0.1569549774407219</v>
      </c>
      <c r="M88" s="13" t="s">
        <v>23</v>
      </c>
      <c r="N88" s="15" t="s">
        <v>35</v>
      </c>
    </row>
    <row r="89" spans="1:14" x14ac:dyDescent="0.2">
      <c r="A89" s="12" t="s">
        <v>195</v>
      </c>
      <c r="B89" s="13" t="s">
        <v>38</v>
      </c>
      <c r="C89" s="14">
        <v>45488</v>
      </c>
      <c r="D89" s="13" t="s">
        <v>44</v>
      </c>
      <c r="E89" s="13" t="s">
        <v>49</v>
      </c>
      <c r="F89" s="13">
        <v>2291</v>
      </c>
      <c r="G89" s="13">
        <v>78</v>
      </c>
      <c r="H89" s="13">
        <v>485</v>
      </c>
      <c r="I89" s="13">
        <v>18328</v>
      </c>
      <c r="J89" s="13">
        <v>18101</v>
      </c>
      <c r="K89" s="13">
        <v>10</v>
      </c>
      <c r="L89" s="19">
        <f t="shared" si="1"/>
        <v>0.15571802706241816</v>
      </c>
      <c r="M89" s="13" t="s">
        <v>367</v>
      </c>
      <c r="N89" s="15" t="s">
        <v>24</v>
      </c>
    </row>
    <row r="90" spans="1:14" x14ac:dyDescent="0.2">
      <c r="A90" s="8" t="s">
        <v>221</v>
      </c>
      <c r="B90" s="9" t="s">
        <v>14</v>
      </c>
      <c r="C90" s="10">
        <v>45637</v>
      </c>
      <c r="D90" s="9" t="s">
        <v>21</v>
      </c>
      <c r="E90" s="9" t="s">
        <v>22</v>
      </c>
      <c r="F90" s="9">
        <v>3239</v>
      </c>
      <c r="G90" s="9">
        <v>43</v>
      </c>
      <c r="H90" s="9">
        <v>211</v>
      </c>
      <c r="I90" s="9">
        <v>22673</v>
      </c>
      <c r="J90" s="9">
        <v>22171</v>
      </c>
      <c r="K90" s="9">
        <v>230</v>
      </c>
      <c r="L90" s="19">
        <f t="shared" si="1"/>
        <v>0.15405989502933004</v>
      </c>
      <c r="M90" s="9" t="s">
        <v>23</v>
      </c>
      <c r="N90" s="11" t="s">
        <v>24</v>
      </c>
    </row>
    <row r="91" spans="1:14" x14ac:dyDescent="0.2">
      <c r="A91" s="12" t="s">
        <v>220</v>
      </c>
      <c r="B91" s="13" t="s">
        <v>27</v>
      </c>
      <c r="C91" s="14">
        <v>45715</v>
      </c>
      <c r="D91" s="13" t="s">
        <v>21</v>
      </c>
      <c r="E91" s="13" t="s">
        <v>75</v>
      </c>
      <c r="F91" s="13">
        <v>4934</v>
      </c>
      <c r="G91" s="13">
        <v>971</v>
      </c>
      <c r="H91" s="13">
        <v>156</v>
      </c>
      <c r="I91" s="13">
        <v>39472</v>
      </c>
      <c r="J91" s="13">
        <v>39025</v>
      </c>
      <c r="K91" s="13">
        <v>169</v>
      </c>
      <c r="L91" s="19">
        <f t="shared" si="1"/>
        <v>0.15355188488042157</v>
      </c>
      <c r="M91" s="13" t="s">
        <v>363</v>
      </c>
      <c r="N91" s="15" t="s">
        <v>35</v>
      </c>
    </row>
    <row r="92" spans="1:14" x14ac:dyDescent="0.2">
      <c r="A92" s="12" t="s">
        <v>318</v>
      </c>
      <c r="B92" s="13" t="s">
        <v>27</v>
      </c>
      <c r="C92" s="14">
        <v>45675</v>
      </c>
      <c r="D92" s="13" t="s">
        <v>44</v>
      </c>
      <c r="E92" s="13" t="s">
        <v>45</v>
      </c>
      <c r="F92" s="13">
        <v>1206</v>
      </c>
      <c r="G92" s="13">
        <v>238</v>
      </c>
      <c r="H92" s="13">
        <v>36</v>
      </c>
      <c r="I92" s="13">
        <v>9648</v>
      </c>
      <c r="J92" s="13">
        <v>9417</v>
      </c>
      <c r="K92" s="13">
        <v>237</v>
      </c>
      <c r="L92" s="19">
        <f t="shared" si="1"/>
        <v>0.15339966832504145</v>
      </c>
      <c r="M92" s="13" t="s">
        <v>23</v>
      </c>
      <c r="N92" s="15"/>
    </row>
    <row r="93" spans="1:14" x14ac:dyDescent="0.2">
      <c r="A93" s="8" t="s">
        <v>203</v>
      </c>
      <c r="B93" s="9" t="s">
        <v>31</v>
      </c>
      <c r="C93" s="10">
        <v>45586</v>
      </c>
      <c r="D93" s="9" t="s">
        <v>15</v>
      </c>
      <c r="E93" s="9" t="s">
        <v>63</v>
      </c>
      <c r="F93" s="9">
        <v>3256</v>
      </c>
      <c r="G93" s="9">
        <v>459</v>
      </c>
      <c r="H93" s="9">
        <v>266</v>
      </c>
      <c r="I93" s="9">
        <v>26048</v>
      </c>
      <c r="J93" s="9">
        <v>25529</v>
      </c>
      <c r="K93" s="9">
        <v>143</v>
      </c>
      <c r="L93" s="19">
        <f t="shared" si="1"/>
        <v>0.15283323095823095</v>
      </c>
      <c r="M93" s="9" t="s">
        <v>23</v>
      </c>
      <c r="N93" s="11" t="s">
        <v>24</v>
      </c>
    </row>
    <row r="94" spans="1:14" x14ac:dyDescent="0.2">
      <c r="A94" s="12" t="s">
        <v>30</v>
      </c>
      <c r="B94" s="13" t="s">
        <v>31</v>
      </c>
      <c r="C94" s="14">
        <v>45516</v>
      </c>
      <c r="D94" s="13" t="s">
        <v>32</v>
      </c>
      <c r="E94" s="13" t="s">
        <v>33</v>
      </c>
      <c r="F94" s="13">
        <v>2404</v>
      </c>
      <c r="G94" s="13">
        <v>363</v>
      </c>
      <c r="H94" s="13">
        <v>138</v>
      </c>
      <c r="I94" s="13">
        <v>19232</v>
      </c>
      <c r="J94" s="13">
        <v>18636</v>
      </c>
      <c r="K94" s="13">
        <v>128</v>
      </c>
      <c r="L94" s="19">
        <f t="shared" si="1"/>
        <v>0.15105033277870217</v>
      </c>
      <c r="M94" s="13" t="s">
        <v>34</v>
      </c>
      <c r="N94" s="15" t="s">
        <v>35</v>
      </c>
    </row>
    <row r="95" spans="1:14" x14ac:dyDescent="0.2">
      <c r="A95" s="12" t="s">
        <v>55</v>
      </c>
      <c r="B95" s="13" t="s">
        <v>38</v>
      </c>
      <c r="C95" s="14">
        <v>45704</v>
      </c>
      <c r="D95" s="13" t="s">
        <v>32</v>
      </c>
      <c r="E95" s="13" t="s">
        <v>56</v>
      </c>
      <c r="F95" s="13">
        <v>4242</v>
      </c>
      <c r="G95" s="13">
        <v>555</v>
      </c>
      <c r="H95" s="13">
        <v>131</v>
      </c>
      <c r="I95" s="13">
        <v>33936</v>
      </c>
      <c r="J95" s="13">
        <v>33802</v>
      </c>
      <c r="K95" s="13">
        <v>265</v>
      </c>
      <c r="L95" s="19">
        <f t="shared" si="1"/>
        <v>0.14521452145214522</v>
      </c>
      <c r="M95" s="13" t="s">
        <v>17</v>
      </c>
      <c r="N95" s="15"/>
    </row>
    <row r="96" spans="1:14" x14ac:dyDescent="0.2">
      <c r="A96" s="12" t="s">
        <v>248</v>
      </c>
      <c r="B96" s="13" t="s">
        <v>31</v>
      </c>
      <c r="C96" s="14">
        <v>45625</v>
      </c>
      <c r="D96" s="13" t="s">
        <v>58</v>
      </c>
      <c r="E96" s="13" t="s">
        <v>65</v>
      </c>
      <c r="F96" s="13">
        <v>1176</v>
      </c>
      <c r="G96" s="13">
        <v>464</v>
      </c>
      <c r="H96" s="13">
        <v>394</v>
      </c>
      <c r="I96" s="13">
        <v>14112</v>
      </c>
      <c r="J96" s="13">
        <v>13588</v>
      </c>
      <c r="K96" s="13">
        <v>272</v>
      </c>
      <c r="L96" s="19">
        <f t="shared" si="1"/>
        <v>0.1441326530612245</v>
      </c>
      <c r="M96" s="13" t="s">
        <v>34</v>
      </c>
      <c r="N96" s="15"/>
    </row>
    <row r="97" spans="1:14" x14ac:dyDescent="0.2">
      <c r="A97" s="8" t="s">
        <v>229</v>
      </c>
      <c r="B97" s="9" t="s">
        <v>14</v>
      </c>
      <c r="C97" s="10">
        <v>45631</v>
      </c>
      <c r="D97" s="9" t="s">
        <v>58</v>
      </c>
      <c r="E97" s="9" t="s">
        <v>97</v>
      </c>
      <c r="F97" s="9">
        <v>1330</v>
      </c>
      <c r="G97" s="9">
        <v>925</v>
      </c>
      <c r="H97" s="9">
        <v>35</v>
      </c>
      <c r="I97" s="9">
        <v>15960</v>
      </c>
      <c r="J97" s="9">
        <v>15379</v>
      </c>
      <c r="K97" s="9">
        <v>229</v>
      </c>
      <c r="L97" s="19">
        <f t="shared" si="1"/>
        <v>0.14348370927318296</v>
      </c>
      <c r="M97" s="9" t="s">
        <v>17</v>
      </c>
      <c r="N97" s="11" t="s">
        <v>29</v>
      </c>
    </row>
    <row r="98" spans="1:14" x14ac:dyDescent="0.2">
      <c r="A98" s="12" t="s">
        <v>222</v>
      </c>
      <c r="B98" s="13" t="s">
        <v>14</v>
      </c>
      <c r="C98" s="14">
        <v>45704</v>
      </c>
      <c r="D98" s="13" t="s">
        <v>15</v>
      </c>
      <c r="E98" s="13" t="s">
        <v>16</v>
      </c>
      <c r="F98" s="13">
        <v>1076</v>
      </c>
      <c r="G98" s="13">
        <v>313</v>
      </c>
      <c r="H98" s="13">
        <v>306</v>
      </c>
      <c r="I98" s="13">
        <v>11836</v>
      </c>
      <c r="J98" s="13">
        <v>11596</v>
      </c>
      <c r="K98" s="13">
        <v>104</v>
      </c>
      <c r="L98" s="19">
        <f t="shared" si="1"/>
        <v>0.14320716458262928</v>
      </c>
      <c r="M98" s="13" t="s">
        <v>17</v>
      </c>
      <c r="N98" s="15" t="s">
        <v>18</v>
      </c>
    </row>
    <row r="99" spans="1:14" x14ac:dyDescent="0.2">
      <c r="A99" s="8" t="s">
        <v>263</v>
      </c>
      <c r="B99" s="9" t="s">
        <v>14</v>
      </c>
      <c r="C99" s="10">
        <v>45655</v>
      </c>
      <c r="D99" s="9" t="s">
        <v>39</v>
      </c>
      <c r="E99" s="9" t="s">
        <v>42</v>
      </c>
      <c r="F99" s="9">
        <v>4274</v>
      </c>
      <c r="G99" s="9">
        <v>340</v>
      </c>
      <c r="H99" s="9">
        <v>281</v>
      </c>
      <c r="I99" s="9">
        <v>34192</v>
      </c>
      <c r="J99" s="9">
        <v>33446</v>
      </c>
      <c r="K99" s="9">
        <v>129</v>
      </c>
      <c r="L99" s="19">
        <f t="shared" si="1"/>
        <v>0.14316214319138981</v>
      </c>
      <c r="M99" s="9" t="s">
        <v>369</v>
      </c>
      <c r="N99" s="11" t="s">
        <v>29</v>
      </c>
    </row>
    <row r="100" spans="1:14" x14ac:dyDescent="0.2">
      <c r="A100" s="8" t="s">
        <v>114</v>
      </c>
      <c r="B100" s="9" t="s">
        <v>14</v>
      </c>
      <c r="C100" s="10">
        <v>45540</v>
      </c>
      <c r="D100" s="9" t="s">
        <v>58</v>
      </c>
      <c r="E100" s="9" t="s">
        <v>97</v>
      </c>
      <c r="F100" s="9">
        <v>4886</v>
      </c>
      <c r="G100" s="9">
        <v>983</v>
      </c>
      <c r="H100" s="9">
        <v>409</v>
      </c>
      <c r="I100" s="9">
        <v>43974</v>
      </c>
      <c r="J100" s="9">
        <v>43239</v>
      </c>
      <c r="K100" s="9">
        <v>65</v>
      </c>
      <c r="L100" s="19">
        <f t="shared" si="1"/>
        <v>0.14276618001546368</v>
      </c>
      <c r="M100" s="9" t="s">
        <v>23</v>
      </c>
      <c r="N100" s="11" t="s">
        <v>18</v>
      </c>
    </row>
    <row r="101" spans="1:14" x14ac:dyDescent="0.2">
      <c r="A101" s="8" t="s">
        <v>180</v>
      </c>
      <c r="B101" s="9" t="s">
        <v>14</v>
      </c>
      <c r="C101" s="10">
        <v>45543</v>
      </c>
      <c r="D101" s="9" t="s">
        <v>39</v>
      </c>
      <c r="E101" s="9" t="s">
        <v>42</v>
      </c>
      <c r="F101" s="9">
        <v>3811</v>
      </c>
      <c r="G101" s="9">
        <v>866</v>
      </c>
      <c r="H101" s="9">
        <v>216</v>
      </c>
      <c r="I101" s="9">
        <v>34299</v>
      </c>
      <c r="J101" s="9">
        <v>34088</v>
      </c>
      <c r="K101" s="9">
        <v>233</v>
      </c>
      <c r="L101" s="19">
        <f t="shared" si="1"/>
        <v>0.14265722032712325</v>
      </c>
      <c r="M101" s="9" t="s">
        <v>23</v>
      </c>
      <c r="N101" s="11" t="s">
        <v>35</v>
      </c>
    </row>
    <row r="102" spans="1:14" x14ac:dyDescent="0.2">
      <c r="A102" s="12" t="s">
        <v>328</v>
      </c>
      <c r="B102" s="13" t="s">
        <v>31</v>
      </c>
      <c r="C102" s="14">
        <v>45743</v>
      </c>
      <c r="D102" s="13" t="s">
        <v>21</v>
      </c>
      <c r="E102" s="13" t="s">
        <v>80</v>
      </c>
      <c r="F102" s="13">
        <v>4941</v>
      </c>
      <c r="G102" s="13">
        <v>414</v>
      </c>
      <c r="H102" s="13">
        <v>266</v>
      </c>
      <c r="I102" s="13">
        <v>39528</v>
      </c>
      <c r="J102" s="13">
        <v>39154</v>
      </c>
      <c r="K102" s="13">
        <v>217</v>
      </c>
      <c r="L102" s="19">
        <f t="shared" si="1"/>
        <v>0.14220299534507186</v>
      </c>
      <c r="M102" s="13" t="s">
        <v>23</v>
      </c>
      <c r="N102" s="15" t="s">
        <v>29</v>
      </c>
    </row>
    <row r="103" spans="1:14" x14ac:dyDescent="0.2">
      <c r="A103" s="12" t="s">
        <v>89</v>
      </c>
      <c r="B103" s="13" t="s">
        <v>14</v>
      </c>
      <c r="C103" s="14">
        <v>45723</v>
      </c>
      <c r="D103" s="13" t="s">
        <v>44</v>
      </c>
      <c r="E103" s="13" t="s">
        <v>90</v>
      </c>
      <c r="F103" s="13">
        <v>4750</v>
      </c>
      <c r="G103" s="13">
        <v>151</v>
      </c>
      <c r="H103" s="13">
        <v>415</v>
      </c>
      <c r="I103" s="13">
        <v>38000</v>
      </c>
      <c r="J103" s="13">
        <v>37792</v>
      </c>
      <c r="K103" s="13">
        <v>299</v>
      </c>
      <c r="L103" s="19">
        <f t="shared" si="1"/>
        <v>0.13989473684210527</v>
      </c>
      <c r="M103" s="13" t="s">
        <v>34</v>
      </c>
      <c r="N103" s="15" t="s">
        <v>35</v>
      </c>
    </row>
    <row r="104" spans="1:14" x14ac:dyDescent="0.2">
      <c r="A104" s="8" t="s">
        <v>355</v>
      </c>
      <c r="B104" s="9" t="s">
        <v>38</v>
      </c>
      <c r="C104" s="10">
        <v>45530</v>
      </c>
      <c r="D104" s="9" t="s">
        <v>44</v>
      </c>
      <c r="E104" s="9" t="s">
        <v>49</v>
      </c>
      <c r="F104" s="9">
        <v>2581</v>
      </c>
      <c r="G104" s="9">
        <v>517</v>
      </c>
      <c r="H104" s="9">
        <v>117</v>
      </c>
      <c r="I104" s="9">
        <v>23229</v>
      </c>
      <c r="J104" s="9">
        <v>22331</v>
      </c>
      <c r="K104" s="9">
        <v>70</v>
      </c>
      <c r="L104" s="19">
        <f t="shared" si="1"/>
        <v>0.13840458048129492</v>
      </c>
      <c r="M104" s="9" t="s">
        <v>17</v>
      </c>
      <c r="N104" s="11" t="s">
        <v>29</v>
      </c>
    </row>
    <row r="105" spans="1:14" x14ac:dyDescent="0.2">
      <c r="A105" s="12" t="s">
        <v>230</v>
      </c>
      <c r="B105" s="13" t="s">
        <v>38</v>
      </c>
      <c r="C105" s="14">
        <v>45465</v>
      </c>
      <c r="D105" s="13" t="s">
        <v>21</v>
      </c>
      <c r="E105" s="13" t="s">
        <v>47</v>
      </c>
      <c r="F105" s="13">
        <v>3828</v>
      </c>
      <c r="G105" s="13">
        <v>148</v>
      </c>
      <c r="H105" s="13">
        <v>253</v>
      </c>
      <c r="I105" s="13">
        <v>30624</v>
      </c>
      <c r="J105" s="13">
        <v>30229</v>
      </c>
      <c r="K105" s="13">
        <v>235</v>
      </c>
      <c r="L105" s="19">
        <f t="shared" si="1"/>
        <v>0.13809430512016718</v>
      </c>
      <c r="M105" s="13" t="s">
        <v>34</v>
      </c>
      <c r="N105" s="15"/>
    </row>
    <row r="106" spans="1:14" x14ac:dyDescent="0.2">
      <c r="A106" s="12" t="s">
        <v>159</v>
      </c>
      <c r="B106" s="13" t="s">
        <v>27</v>
      </c>
      <c r="C106" s="14">
        <v>45739</v>
      </c>
      <c r="D106" s="13" t="s">
        <v>32</v>
      </c>
      <c r="E106" s="13" t="s">
        <v>103</v>
      </c>
      <c r="F106" s="13">
        <v>3655</v>
      </c>
      <c r="G106" s="13">
        <v>568</v>
      </c>
      <c r="H106" s="13">
        <v>286</v>
      </c>
      <c r="I106" s="13">
        <v>32895</v>
      </c>
      <c r="J106" s="13">
        <v>32015</v>
      </c>
      <c r="K106" s="13">
        <v>199</v>
      </c>
      <c r="L106" s="19">
        <f t="shared" si="1"/>
        <v>0.13707250341997265</v>
      </c>
      <c r="M106" s="13" t="s">
        <v>23</v>
      </c>
      <c r="N106" s="15" t="s">
        <v>29</v>
      </c>
    </row>
    <row r="107" spans="1:14" x14ac:dyDescent="0.2">
      <c r="A107" s="8" t="s">
        <v>251</v>
      </c>
      <c r="B107" s="9" t="s">
        <v>31</v>
      </c>
      <c r="C107" s="10">
        <v>45519</v>
      </c>
      <c r="D107" s="9" t="s">
        <v>39</v>
      </c>
      <c r="E107" s="9" t="s">
        <v>67</v>
      </c>
      <c r="F107" s="9">
        <v>914</v>
      </c>
      <c r="G107" s="9">
        <v>464</v>
      </c>
      <c r="H107" s="9">
        <v>246</v>
      </c>
      <c r="I107" s="9">
        <v>11882</v>
      </c>
      <c r="J107" s="9">
        <v>11500</v>
      </c>
      <c r="K107" s="9">
        <v>282</v>
      </c>
      <c r="L107" s="19">
        <f t="shared" si="1"/>
        <v>0.13667732704931829</v>
      </c>
      <c r="M107" s="9" t="s">
        <v>366</v>
      </c>
      <c r="N107" s="11" t="s">
        <v>35</v>
      </c>
    </row>
    <row r="108" spans="1:14" x14ac:dyDescent="0.2">
      <c r="A108" s="12" t="s">
        <v>240</v>
      </c>
      <c r="B108" s="13" t="s">
        <v>14</v>
      </c>
      <c r="C108" s="14">
        <v>45501</v>
      </c>
      <c r="D108" s="13" t="s">
        <v>44</v>
      </c>
      <c r="E108" s="13" t="s">
        <v>90</v>
      </c>
      <c r="F108" s="13">
        <v>3215</v>
      </c>
      <c r="G108" s="13">
        <v>960</v>
      </c>
      <c r="H108" s="13">
        <v>202</v>
      </c>
      <c r="I108" s="13">
        <v>32150</v>
      </c>
      <c r="J108" s="13">
        <v>31404</v>
      </c>
      <c r="K108" s="13">
        <v>251</v>
      </c>
      <c r="L108" s="19">
        <f t="shared" si="1"/>
        <v>0.13614307931570763</v>
      </c>
      <c r="M108" s="13" t="s">
        <v>34</v>
      </c>
      <c r="N108" s="15" t="s">
        <v>18</v>
      </c>
    </row>
    <row r="109" spans="1:14" x14ac:dyDescent="0.2">
      <c r="A109" s="12" t="s">
        <v>147</v>
      </c>
      <c r="B109" s="13" t="s">
        <v>14</v>
      </c>
      <c r="C109" s="14">
        <v>45586</v>
      </c>
      <c r="D109" s="13" t="s">
        <v>32</v>
      </c>
      <c r="E109" s="13" t="s">
        <v>100</v>
      </c>
      <c r="F109" s="13">
        <v>3801</v>
      </c>
      <c r="G109" s="13">
        <v>967</v>
      </c>
      <c r="H109" s="13">
        <v>401</v>
      </c>
      <c r="I109" s="13">
        <v>38010</v>
      </c>
      <c r="J109" s="13">
        <v>37625</v>
      </c>
      <c r="K109" s="13">
        <v>236</v>
      </c>
      <c r="L109" s="19">
        <f t="shared" si="1"/>
        <v>0.13599052880820836</v>
      </c>
      <c r="M109" s="13" t="s">
        <v>17</v>
      </c>
      <c r="N109" s="15" t="s">
        <v>29</v>
      </c>
    </row>
    <row r="110" spans="1:14" x14ac:dyDescent="0.2">
      <c r="A110" s="12" t="s">
        <v>143</v>
      </c>
      <c r="B110" s="13" t="s">
        <v>38</v>
      </c>
      <c r="C110" s="14">
        <v>45480</v>
      </c>
      <c r="D110" s="13" t="s">
        <v>32</v>
      </c>
      <c r="E110" s="13" t="s">
        <v>56</v>
      </c>
      <c r="F110" s="13">
        <v>302</v>
      </c>
      <c r="G110" s="13">
        <v>47</v>
      </c>
      <c r="H110" s="13">
        <v>430</v>
      </c>
      <c r="I110" s="13">
        <v>5738</v>
      </c>
      <c r="J110" s="13">
        <v>4890</v>
      </c>
      <c r="K110" s="13">
        <v>25</v>
      </c>
      <c r="L110" s="19">
        <f t="shared" si="1"/>
        <v>0.13576158940397351</v>
      </c>
      <c r="M110" s="13" t="s">
        <v>23</v>
      </c>
      <c r="N110" s="15" t="s">
        <v>35</v>
      </c>
    </row>
    <row r="111" spans="1:14" x14ac:dyDescent="0.2">
      <c r="A111" s="8" t="s">
        <v>341</v>
      </c>
      <c r="B111" s="9" t="s">
        <v>27</v>
      </c>
      <c r="C111" s="10">
        <v>45491</v>
      </c>
      <c r="D111" s="9" t="s">
        <v>21</v>
      </c>
      <c r="E111" s="9" t="s">
        <v>75</v>
      </c>
      <c r="F111" s="9">
        <v>4021</v>
      </c>
      <c r="G111" s="9">
        <v>794</v>
      </c>
      <c r="H111" s="9">
        <v>77</v>
      </c>
      <c r="I111" s="9">
        <v>36189</v>
      </c>
      <c r="J111" s="9">
        <v>35505</v>
      </c>
      <c r="K111" s="9">
        <v>174</v>
      </c>
      <c r="L111" s="19">
        <f t="shared" si="1"/>
        <v>0.13517919809886983</v>
      </c>
      <c r="M111" s="9" t="s">
        <v>34</v>
      </c>
      <c r="N111" s="11"/>
    </row>
    <row r="112" spans="1:14" x14ac:dyDescent="0.2">
      <c r="A112" s="12" t="s">
        <v>102</v>
      </c>
      <c r="B112" s="13" t="s">
        <v>27</v>
      </c>
      <c r="C112" s="14">
        <v>45476</v>
      </c>
      <c r="D112" s="13" t="s">
        <v>32</v>
      </c>
      <c r="E112" s="13" t="s">
        <v>103</v>
      </c>
      <c r="F112" s="13">
        <v>2754</v>
      </c>
      <c r="G112" s="13">
        <v>130</v>
      </c>
      <c r="H112" s="13">
        <v>90</v>
      </c>
      <c r="I112" s="13">
        <v>22032</v>
      </c>
      <c r="J112" s="13">
        <v>21288</v>
      </c>
      <c r="K112" s="13">
        <v>112</v>
      </c>
      <c r="L112" s="19">
        <f t="shared" si="1"/>
        <v>0.13498547567175018</v>
      </c>
      <c r="M112" s="13" t="s">
        <v>23</v>
      </c>
      <c r="N112" s="15" t="s">
        <v>29</v>
      </c>
    </row>
    <row r="113" spans="1:14" x14ac:dyDescent="0.2">
      <c r="A113" s="12" t="s">
        <v>187</v>
      </c>
      <c r="B113" s="13" t="s">
        <v>31</v>
      </c>
      <c r="C113" s="14">
        <v>45720</v>
      </c>
      <c r="D113" s="13" t="s">
        <v>32</v>
      </c>
      <c r="E113" s="13" t="s">
        <v>33</v>
      </c>
      <c r="F113" s="13">
        <v>1947</v>
      </c>
      <c r="G113" s="13">
        <v>842</v>
      </c>
      <c r="H113" s="13">
        <v>101</v>
      </c>
      <c r="I113" s="13">
        <v>21417</v>
      </c>
      <c r="J113" s="13">
        <v>20967</v>
      </c>
      <c r="K113" s="13">
        <v>186</v>
      </c>
      <c r="L113" s="19">
        <f t="shared" si="1"/>
        <v>0.13493953401503478</v>
      </c>
      <c r="M113" s="13" t="s">
        <v>17</v>
      </c>
      <c r="N113" s="15" t="s">
        <v>24</v>
      </c>
    </row>
    <row r="114" spans="1:14" x14ac:dyDescent="0.2">
      <c r="A114" s="8" t="s">
        <v>285</v>
      </c>
      <c r="B114" s="9" t="s">
        <v>31</v>
      </c>
      <c r="C114" s="10">
        <v>45476</v>
      </c>
      <c r="D114" s="9" t="s">
        <v>39</v>
      </c>
      <c r="E114" s="9" t="s">
        <v>67</v>
      </c>
      <c r="F114" s="9">
        <v>4799</v>
      </c>
      <c r="G114" s="9">
        <v>694</v>
      </c>
      <c r="H114" s="9">
        <v>289</v>
      </c>
      <c r="I114" s="9">
        <v>43191</v>
      </c>
      <c r="J114" s="9">
        <v>42228</v>
      </c>
      <c r="K114" s="9">
        <v>118</v>
      </c>
      <c r="L114" s="19">
        <f t="shared" si="1"/>
        <v>0.13387048227640017</v>
      </c>
      <c r="M114" s="9" t="s">
        <v>23</v>
      </c>
      <c r="N114" s="11"/>
    </row>
    <row r="115" spans="1:14" x14ac:dyDescent="0.2">
      <c r="A115" s="12" t="s">
        <v>127</v>
      </c>
      <c r="B115" s="13" t="s">
        <v>27</v>
      </c>
      <c r="C115" s="14">
        <v>45593</v>
      </c>
      <c r="D115" s="13" t="s">
        <v>15</v>
      </c>
      <c r="E115" s="13" t="s">
        <v>28</v>
      </c>
      <c r="F115" s="13">
        <v>1855</v>
      </c>
      <c r="G115" s="13">
        <v>200</v>
      </c>
      <c r="H115" s="13">
        <v>174</v>
      </c>
      <c r="I115" s="13">
        <v>16695</v>
      </c>
      <c r="J115" s="13">
        <v>16330</v>
      </c>
      <c r="K115" s="13">
        <v>123</v>
      </c>
      <c r="L115" s="19">
        <f t="shared" si="1"/>
        <v>0.13351302785265048</v>
      </c>
      <c r="M115" s="13" t="s">
        <v>23</v>
      </c>
      <c r="N115" s="15" t="s">
        <v>29</v>
      </c>
    </row>
    <row r="116" spans="1:14" x14ac:dyDescent="0.2">
      <c r="A116" s="12" t="s">
        <v>310</v>
      </c>
      <c r="B116" s="13" t="s">
        <v>14</v>
      </c>
      <c r="C116" s="14">
        <v>45671</v>
      </c>
      <c r="D116" s="13" t="s">
        <v>44</v>
      </c>
      <c r="E116" s="13" t="s">
        <v>90</v>
      </c>
      <c r="F116" s="13">
        <v>2692</v>
      </c>
      <c r="G116" s="13">
        <v>115</v>
      </c>
      <c r="H116" s="13">
        <v>64</v>
      </c>
      <c r="I116" s="13">
        <v>21536</v>
      </c>
      <c r="J116" s="13">
        <v>21120</v>
      </c>
      <c r="K116" s="13">
        <v>224</v>
      </c>
      <c r="L116" s="19">
        <f t="shared" si="1"/>
        <v>0.13331166419019316</v>
      </c>
      <c r="M116" s="13" t="s">
        <v>17</v>
      </c>
      <c r="N116" s="15" t="s">
        <v>24</v>
      </c>
    </row>
    <row r="117" spans="1:14" x14ac:dyDescent="0.2">
      <c r="A117" s="8" t="s">
        <v>186</v>
      </c>
      <c r="B117" s="9" t="s">
        <v>31</v>
      </c>
      <c r="C117" s="10">
        <v>45586</v>
      </c>
      <c r="D117" s="9" t="s">
        <v>15</v>
      </c>
      <c r="E117" s="9" t="s">
        <v>63</v>
      </c>
      <c r="F117" s="9">
        <v>4840</v>
      </c>
      <c r="G117" s="9">
        <v>658</v>
      </c>
      <c r="H117" s="9">
        <v>211</v>
      </c>
      <c r="I117" s="9">
        <v>43560</v>
      </c>
      <c r="J117" s="9">
        <v>43225</v>
      </c>
      <c r="K117" s="9">
        <v>57</v>
      </c>
      <c r="L117" s="19">
        <f t="shared" si="1"/>
        <v>0.13106060606060607</v>
      </c>
      <c r="M117" s="9" t="s">
        <v>17</v>
      </c>
      <c r="N117" s="11" t="s">
        <v>29</v>
      </c>
    </row>
    <row r="118" spans="1:14" x14ac:dyDescent="0.2">
      <c r="A118" s="12" t="s">
        <v>292</v>
      </c>
      <c r="B118" s="13" t="s">
        <v>38</v>
      </c>
      <c r="C118" s="14">
        <v>45523</v>
      </c>
      <c r="D118" s="13" t="s">
        <v>21</v>
      </c>
      <c r="E118" s="13" t="s">
        <v>47</v>
      </c>
      <c r="F118" s="13">
        <v>1257</v>
      </c>
      <c r="G118" s="13">
        <v>19</v>
      </c>
      <c r="H118" s="13">
        <v>351</v>
      </c>
      <c r="I118" s="13">
        <v>12570</v>
      </c>
      <c r="J118" s="13">
        <v>11660</v>
      </c>
      <c r="K118" s="13">
        <v>194</v>
      </c>
      <c r="L118" s="19">
        <f t="shared" si="1"/>
        <v>0.12943516308671441</v>
      </c>
      <c r="M118" s="13" t="s">
        <v>371</v>
      </c>
      <c r="N118" s="15" t="s">
        <v>24</v>
      </c>
    </row>
    <row r="119" spans="1:14" x14ac:dyDescent="0.2">
      <c r="A119" s="12" t="s">
        <v>169</v>
      </c>
      <c r="B119" s="13" t="s">
        <v>14</v>
      </c>
      <c r="C119" s="14">
        <v>45610</v>
      </c>
      <c r="D119" s="13" t="s">
        <v>32</v>
      </c>
      <c r="E119" s="13" t="s">
        <v>100</v>
      </c>
      <c r="F119" s="13">
        <v>4000</v>
      </c>
      <c r="G119" s="13">
        <v>689</v>
      </c>
      <c r="H119" s="13">
        <v>488</v>
      </c>
      <c r="I119" s="13">
        <v>40000</v>
      </c>
      <c r="J119" s="13">
        <v>39569</v>
      </c>
      <c r="K119" s="13">
        <v>44</v>
      </c>
      <c r="L119" s="19">
        <f t="shared" si="1"/>
        <v>0.12942500000000001</v>
      </c>
      <c r="M119" s="13" t="s">
        <v>17</v>
      </c>
      <c r="N119" s="15" t="s">
        <v>18</v>
      </c>
    </row>
    <row r="120" spans="1:14" x14ac:dyDescent="0.2">
      <c r="A120" s="12" t="s">
        <v>109</v>
      </c>
      <c r="B120" s="13" t="s">
        <v>38</v>
      </c>
      <c r="C120" s="14">
        <v>45644</v>
      </c>
      <c r="D120" s="13" t="s">
        <v>39</v>
      </c>
      <c r="E120" s="13" t="s">
        <v>40</v>
      </c>
      <c r="F120" s="13">
        <v>2946</v>
      </c>
      <c r="G120" s="13">
        <v>498</v>
      </c>
      <c r="H120" s="13">
        <v>367</v>
      </c>
      <c r="I120" s="13">
        <v>29460</v>
      </c>
      <c r="J120" s="13">
        <v>28527</v>
      </c>
      <c r="K120" s="13">
        <v>60</v>
      </c>
      <c r="L120" s="19">
        <f t="shared" si="1"/>
        <v>0.12936184657162253</v>
      </c>
      <c r="M120" s="13" t="s">
        <v>17</v>
      </c>
      <c r="N120" s="15" t="s">
        <v>29</v>
      </c>
    </row>
    <row r="121" spans="1:14" x14ac:dyDescent="0.2">
      <c r="A121" s="8" t="s">
        <v>160</v>
      </c>
      <c r="B121" s="9" t="s">
        <v>31</v>
      </c>
      <c r="C121" s="10">
        <v>45457</v>
      </c>
      <c r="D121" s="9" t="s">
        <v>39</v>
      </c>
      <c r="E121" s="9" t="s">
        <v>67</v>
      </c>
      <c r="F121" s="9">
        <v>498</v>
      </c>
      <c r="G121" s="9">
        <v>38</v>
      </c>
      <c r="H121" s="9">
        <v>42</v>
      </c>
      <c r="I121" s="9">
        <v>4482</v>
      </c>
      <c r="J121" s="9">
        <v>3647</v>
      </c>
      <c r="K121" s="9">
        <v>32</v>
      </c>
      <c r="L121" s="19">
        <f t="shared" si="1"/>
        <v>0.12896028558679162</v>
      </c>
      <c r="M121" s="9" t="s">
        <v>17</v>
      </c>
      <c r="N121" s="11" t="s">
        <v>18</v>
      </c>
    </row>
    <row r="122" spans="1:14" x14ac:dyDescent="0.2">
      <c r="A122" s="12" t="s">
        <v>51</v>
      </c>
      <c r="B122" s="13" t="s">
        <v>38</v>
      </c>
      <c r="C122" s="14">
        <v>45494</v>
      </c>
      <c r="D122" s="13" t="s">
        <v>15</v>
      </c>
      <c r="E122" s="13" t="s">
        <v>52</v>
      </c>
      <c r="F122" s="13">
        <v>1946</v>
      </c>
      <c r="G122" s="13">
        <v>686</v>
      </c>
      <c r="H122" s="13">
        <v>377</v>
      </c>
      <c r="I122" s="13">
        <v>23352</v>
      </c>
      <c r="J122" s="13">
        <v>22982</v>
      </c>
      <c r="K122" s="13">
        <v>213</v>
      </c>
      <c r="L122" s="19">
        <f t="shared" si="1"/>
        <v>0.12885405960945528</v>
      </c>
      <c r="M122" s="13" t="s">
        <v>17</v>
      </c>
      <c r="N122" s="15" t="s">
        <v>29</v>
      </c>
    </row>
    <row r="123" spans="1:14" x14ac:dyDescent="0.2">
      <c r="A123" s="8" t="s">
        <v>291</v>
      </c>
      <c r="B123" s="9" t="s">
        <v>38</v>
      </c>
      <c r="C123" s="10">
        <v>45648</v>
      </c>
      <c r="D123" s="9" t="s">
        <v>44</v>
      </c>
      <c r="E123" s="9" t="s">
        <v>49</v>
      </c>
      <c r="F123" s="9">
        <v>3196</v>
      </c>
      <c r="G123" s="9">
        <v>941</v>
      </c>
      <c r="H123" s="9">
        <v>376</v>
      </c>
      <c r="I123" s="9">
        <v>35156</v>
      </c>
      <c r="J123" s="9">
        <v>34444</v>
      </c>
      <c r="K123" s="9">
        <v>241</v>
      </c>
      <c r="L123" s="19">
        <f t="shared" si="1"/>
        <v>0.1283706906360223</v>
      </c>
      <c r="M123" s="9" t="s">
        <v>23</v>
      </c>
      <c r="N123" s="11" t="s">
        <v>29</v>
      </c>
    </row>
    <row r="124" spans="1:14" x14ac:dyDescent="0.2">
      <c r="A124" s="8" t="s">
        <v>82</v>
      </c>
      <c r="B124" s="9" t="s">
        <v>38</v>
      </c>
      <c r="C124" s="10">
        <v>45525</v>
      </c>
      <c r="D124" s="9" t="s">
        <v>44</v>
      </c>
      <c r="E124" s="9" t="s">
        <v>49</v>
      </c>
      <c r="F124" s="9">
        <v>1407</v>
      </c>
      <c r="G124" s="9">
        <v>400</v>
      </c>
      <c r="H124" s="9">
        <v>351</v>
      </c>
      <c r="I124" s="9">
        <v>16884</v>
      </c>
      <c r="J124" s="9">
        <v>15954</v>
      </c>
      <c r="K124" s="9">
        <v>113</v>
      </c>
      <c r="L124" s="19">
        <f t="shared" si="1"/>
        <v>0.12781331438047855</v>
      </c>
      <c r="M124" s="9" t="s">
        <v>23</v>
      </c>
      <c r="N124" s="11" t="s">
        <v>18</v>
      </c>
    </row>
    <row r="125" spans="1:14" x14ac:dyDescent="0.2">
      <c r="A125" s="12" t="s">
        <v>87</v>
      </c>
      <c r="B125" s="13" t="s">
        <v>27</v>
      </c>
      <c r="C125" s="14">
        <v>45705</v>
      </c>
      <c r="D125" s="13" t="s">
        <v>15</v>
      </c>
      <c r="E125" s="13" t="s">
        <v>28</v>
      </c>
      <c r="F125" s="13">
        <v>3138</v>
      </c>
      <c r="G125" s="13">
        <v>123</v>
      </c>
      <c r="H125" s="13">
        <v>291</v>
      </c>
      <c r="I125" s="13">
        <v>28242</v>
      </c>
      <c r="J125" s="13">
        <v>27550</v>
      </c>
      <c r="K125" s="13">
        <v>87</v>
      </c>
      <c r="L125" s="19">
        <f t="shared" si="1"/>
        <v>0.12577012959422137</v>
      </c>
      <c r="M125" s="13" t="s">
        <v>23</v>
      </c>
      <c r="N125" s="15" t="s">
        <v>35</v>
      </c>
    </row>
    <row r="126" spans="1:14" x14ac:dyDescent="0.2">
      <c r="A126" s="12" t="s">
        <v>252</v>
      </c>
      <c r="B126" s="13" t="s">
        <v>31</v>
      </c>
      <c r="C126" s="14">
        <v>45645</v>
      </c>
      <c r="D126" s="13" t="s">
        <v>21</v>
      </c>
      <c r="E126" s="13" t="s">
        <v>80</v>
      </c>
      <c r="F126" s="13">
        <v>1813</v>
      </c>
      <c r="G126" s="13">
        <v>623</v>
      </c>
      <c r="H126" s="13">
        <v>72</v>
      </c>
      <c r="I126" s="13">
        <v>19943</v>
      </c>
      <c r="J126" s="13">
        <v>18959</v>
      </c>
      <c r="K126" s="13">
        <v>85</v>
      </c>
      <c r="L126" s="19">
        <f t="shared" si="1"/>
        <v>0.12575841147269717</v>
      </c>
      <c r="M126" s="13" t="s">
        <v>34</v>
      </c>
      <c r="N126" s="15" t="s">
        <v>29</v>
      </c>
    </row>
    <row r="127" spans="1:14" x14ac:dyDescent="0.2">
      <c r="A127" s="12" t="s">
        <v>183</v>
      </c>
      <c r="B127" s="13" t="s">
        <v>14</v>
      </c>
      <c r="C127" s="14">
        <v>45667</v>
      </c>
      <c r="D127" s="13" t="s">
        <v>44</v>
      </c>
      <c r="E127" s="13" t="s">
        <v>90</v>
      </c>
      <c r="F127" s="13">
        <v>3092</v>
      </c>
      <c r="G127" s="13">
        <v>106</v>
      </c>
      <c r="H127" s="13">
        <v>291</v>
      </c>
      <c r="I127" s="13">
        <v>27828</v>
      </c>
      <c r="J127" s="13">
        <v>27217</v>
      </c>
      <c r="K127" s="13">
        <v>102</v>
      </c>
      <c r="L127" s="19">
        <f t="shared" si="1"/>
        <v>0.12537731780940059</v>
      </c>
      <c r="M127" s="13" t="s">
        <v>17</v>
      </c>
      <c r="N127" s="15"/>
    </row>
    <row r="128" spans="1:14" x14ac:dyDescent="0.2">
      <c r="A128" s="8" t="s">
        <v>225</v>
      </c>
      <c r="B128" s="9" t="s">
        <v>27</v>
      </c>
      <c r="C128" s="10">
        <v>45629</v>
      </c>
      <c r="D128" s="9" t="s">
        <v>58</v>
      </c>
      <c r="E128" s="9" t="s">
        <v>138</v>
      </c>
      <c r="F128" s="9">
        <v>3809</v>
      </c>
      <c r="G128" s="9">
        <v>273</v>
      </c>
      <c r="H128" s="9">
        <v>200</v>
      </c>
      <c r="I128" s="9">
        <v>34281</v>
      </c>
      <c r="J128" s="9">
        <v>33534</v>
      </c>
      <c r="K128" s="9">
        <v>83</v>
      </c>
      <c r="L128" s="19">
        <f t="shared" si="1"/>
        <v>0.12490884163239112</v>
      </c>
      <c r="M128" s="9" t="s">
        <v>34</v>
      </c>
      <c r="N128" s="11" t="s">
        <v>18</v>
      </c>
    </row>
    <row r="129" spans="1:14" x14ac:dyDescent="0.2">
      <c r="A129" s="8" t="s">
        <v>349</v>
      </c>
      <c r="B129" s="9" t="s">
        <v>38</v>
      </c>
      <c r="C129" s="10">
        <v>45791</v>
      </c>
      <c r="D129" s="9" t="s">
        <v>21</v>
      </c>
      <c r="E129" s="9" t="s">
        <v>47</v>
      </c>
      <c r="F129" s="9">
        <v>2634</v>
      </c>
      <c r="G129" s="9">
        <v>726</v>
      </c>
      <c r="H129" s="9">
        <v>241</v>
      </c>
      <c r="I129" s="9">
        <v>28974</v>
      </c>
      <c r="J129" s="9">
        <v>28102</v>
      </c>
      <c r="K129" s="9">
        <v>277</v>
      </c>
      <c r="L129" s="19">
        <f t="shared" si="1"/>
        <v>0.12428384068475185</v>
      </c>
      <c r="M129" s="9" t="s">
        <v>34</v>
      </c>
      <c r="N129" s="11" t="s">
        <v>18</v>
      </c>
    </row>
    <row r="130" spans="1:14" x14ac:dyDescent="0.2">
      <c r="A130" s="12" t="s">
        <v>348</v>
      </c>
      <c r="B130" s="13" t="s">
        <v>38</v>
      </c>
      <c r="C130" s="14">
        <v>45613</v>
      </c>
      <c r="D130" s="13" t="s">
        <v>21</v>
      </c>
      <c r="E130" s="13" t="s">
        <v>47</v>
      </c>
      <c r="F130" s="13">
        <v>880</v>
      </c>
      <c r="G130" s="13">
        <v>297</v>
      </c>
      <c r="H130" s="13">
        <v>345</v>
      </c>
      <c r="I130" s="13">
        <v>12320</v>
      </c>
      <c r="J130" s="13">
        <v>11978</v>
      </c>
      <c r="K130" s="13">
        <v>238</v>
      </c>
      <c r="L130" s="19">
        <f t="shared" ref="L130:L193" si="2">(F130+G130+H130)/I130</f>
        <v>0.12353896103896105</v>
      </c>
      <c r="M130" s="13" t="s">
        <v>363</v>
      </c>
      <c r="N130" s="15"/>
    </row>
    <row r="131" spans="1:14" x14ac:dyDescent="0.2">
      <c r="A131" s="12" t="s">
        <v>268</v>
      </c>
      <c r="B131" s="13" t="s">
        <v>27</v>
      </c>
      <c r="C131" s="14">
        <v>45719</v>
      </c>
      <c r="D131" s="13" t="s">
        <v>58</v>
      </c>
      <c r="E131" s="13" t="s">
        <v>138</v>
      </c>
      <c r="F131" s="13">
        <v>3874</v>
      </c>
      <c r="G131" s="13">
        <v>884</v>
      </c>
      <c r="H131" s="13">
        <v>19</v>
      </c>
      <c r="I131" s="13">
        <v>38740</v>
      </c>
      <c r="J131" s="13">
        <v>38552</v>
      </c>
      <c r="K131" s="13">
        <v>219</v>
      </c>
      <c r="L131" s="19">
        <f t="shared" si="2"/>
        <v>0.123309241094476</v>
      </c>
      <c r="M131" s="13" t="s">
        <v>23</v>
      </c>
      <c r="N131" s="15" t="s">
        <v>24</v>
      </c>
    </row>
    <row r="132" spans="1:14" x14ac:dyDescent="0.2">
      <c r="A132" s="12" t="s">
        <v>165</v>
      </c>
      <c r="B132" s="13" t="s">
        <v>31</v>
      </c>
      <c r="C132" s="14">
        <v>45502</v>
      </c>
      <c r="D132" s="13" t="s">
        <v>15</v>
      </c>
      <c r="E132" s="13" t="s">
        <v>63</v>
      </c>
      <c r="F132" s="13">
        <v>3523</v>
      </c>
      <c r="G132" s="13">
        <v>753</v>
      </c>
      <c r="H132" s="13">
        <v>482</v>
      </c>
      <c r="I132" s="13">
        <v>38753</v>
      </c>
      <c r="J132" s="13">
        <v>38579</v>
      </c>
      <c r="K132" s="13">
        <v>270</v>
      </c>
      <c r="L132" s="19">
        <f t="shared" si="2"/>
        <v>0.12277759141227776</v>
      </c>
      <c r="M132" s="13" t="s">
        <v>34</v>
      </c>
      <c r="N132" s="15" t="s">
        <v>24</v>
      </c>
    </row>
    <row r="133" spans="1:14" x14ac:dyDescent="0.2">
      <c r="A133" s="8" t="s">
        <v>301</v>
      </c>
      <c r="B133" s="9" t="s">
        <v>38</v>
      </c>
      <c r="C133" s="10">
        <v>45669</v>
      </c>
      <c r="D133" s="9" t="s">
        <v>15</v>
      </c>
      <c r="E133" s="9" t="s">
        <v>52</v>
      </c>
      <c r="F133" s="9">
        <v>4134</v>
      </c>
      <c r="G133" s="9">
        <v>824</v>
      </c>
      <c r="H133" s="9">
        <v>99</v>
      </c>
      <c r="I133" s="9">
        <v>41340</v>
      </c>
      <c r="J133" s="9">
        <v>41050</v>
      </c>
      <c r="K133" s="9">
        <v>177</v>
      </c>
      <c r="L133" s="19">
        <f t="shared" si="2"/>
        <v>0.12232704402515723</v>
      </c>
      <c r="M133" s="9" t="s">
        <v>34</v>
      </c>
      <c r="N133" s="11" t="s">
        <v>18</v>
      </c>
    </row>
    <row r="134" spans="1:14" x14ac:dyDescent="0.2">
      <c r="A134" s="8" t="s">
        <v>128</v>
      </c>
      <c r="B134" s="9" t="s">
        <v>31</v>
      </c>
      <c r="C134" s="10">
        <v>45505</v>
      </c>
      <c r="D134" s="9" t="s">
        <v>15</v>
      </c>
      <c r="E134" s="9" t="s">
        <v>63</v>
      </c>
      <c r="F134" s="9">
        <v>1674</v>
      </c>
      <c r="G134" s="9">
        <v>929</v>
      </c>
      <c r="H134" s="9">
        <v>37</v>
      </c>
      <c r="I134" s="9">
        <v>21762</v>
      </c>
      <c r="J134" s="9">
        <v>20998</v>
      </c>
      <c r="K134" s="9">
        <v>255</v>
      </c>
      <c r="L134" s="19">
        <f t="shared" si="2"/>
        <v>0.12131237937689551</v>
      </c>
      <c r="M134" s="9" t="s">
        <v>23</v>
      </c>
      <c r="N134" s="11" t="s">
        <v>35</v>
      </c>
    </row>
    <row r="135" spans="1:14" x14ac:dyDescent="0.2">
      <c r="A135" s="8" t="s">
        <v>311</v>
      </c>
      <c r="B135" s="9" t="s">
        <v>38</v>
      </c>
      <c r="C135" s="10">
        <v>45750</v>
      </c>
      <c r="D135" s="9" t="s">
        <v>32</v>
      </c>
      <c r="E135" s="9" t="s">
        <v>56</v>
      </c>
      <c r="F135" s="9">
        <v>3767</v>
      </c>
      <c r="G135" s="9">
        <v>514</v>
      </c>
      <c r="H135" s="9">
        <v>238</v>
      </c>
      <c r="I135" s="9">
        <v>37670</v>
      </c>
      <c r="J135" s="9">
        <v>36807</v>
      </c>
      <c r="K135" s="9">
        <v>226</v>
      </c>
      <c r="L135" s="19">
        <f t="shared" si="2"/>
        <v>0.11996283514733209</v>
      </c>
      <c r="M135" s="9" t="s">
        <v>17</v>
      </c>
      <c r="N135" s="11" t="s">
        <v>35</v>
      </c>
    </row>
    <row r="136" spans="1:14" x14ac:dyDescent="0.2">
      <c r="A136" s="8" t="s">
        <v>124</v>
      </c>
      <c r="B136" s="9" t="s">
        <v>27</v>
      </c>
      <c r="C136" s="10">
        <v>45537</v>
      </c>
      <c r="D136" s="9" t="s">
        <v>39</v>
      </c>
      <c r="E136" s="9" t="s">
        <v>54</v>
      </c>
      <c r="F136" s="9">
        <v>2551</v>
      </c>
      <c r="G136" s="9">
        <v>915</v>
      </c>
      <c r="H136" s="9">
        <v>205</v>
      </c>
      <c r="I136" s="9">
        <v>30612</v>
      </c>
      <c r="J136" s="9">
        <v>30360</v>
      </c>
      <c r="K136" s="9">
        <v>227</v>
      </c>
      <c r="L136" s="19">
        <f t="shared" si="2"/>
        <v>0.1199202926956749</v>
      </c>
      <c r="M136" s="9" t="s">
        <v>23</v>
      </c>
      <c r="N136" s="11" t="s">
        <v>24</v>
      </c>
    </row>
    <row r="137" spans="1:14" x14ac:dyDescent="0.2">
      <c r="A137" s="8" t="s">
        <v>118</v>
      </c>
      <c r="B137" s="9" t="s">
        <v>31</v>
      </c>
      <c r="C137" s="10">
        <v>45744</v>
      </c>
      <c r="D137" s="9" t="s">
        <v>32</v>
      </c>
      <c r="E137" s="9" t="s">
        <v>33</v>
      </c>
      <c r="F137" s="9">
        <v>1881</v>
      </c>
      <c r="G137" s="9">
        <v>501</v>
      </c>
      <c r="H137" s="9">
        <v>99</v>
      </c>
      <c r="I137" s="9">
        <v>20691</v>
      </c>
      <c r="J137" s="9">
        <v>19987</v>
      </c>
      <c r="K137" s="9">
        <v>289</v>
      </c>
      <c r="L137" s="19">
        <f t="shared" si="2"/>
        <v>0.11990720603160794</v>
      </c>
      <c r="M137" s="9" t="s">
        <v>34</v>
      </c>
      <c r="N137" s="11"/>
    </row>
    <row r="138" spans="1:14" x14ac:dyDescent="0.2">
      <c r="A138" s="8" t="s">
        <v>303</v>
      </c>
      <c r="B138" s="9" t="s">
        <v>38</v>
      </c>
      <c r="C138" s="10">
        <v>45531</v>
      </c>
      <c r="D138" s="9" t="s">
        <v>15</v>
      </c>
      <c r="E138" s="9" t="s">
        <v>52</v>
      </c>
      <c r="F138" s="9">
        <v>3960</v>
      </c>
      <c r="G138" s="9">
        <v>266</v>
      </c>
      <c r="H138" s="9">
        <v>8</v>
      </c>
      <c r="I138" s="9">
        <v>35640</v>
      </c>
      <c r="J138" s="9">
        <v>34850</v>
      </c>
      <c r="K138" s="9">
        <v>208</v>
      </c>
      <c r="L138" s="19">
        <f t="shared" si="2"/>
        <v>0.11879910213243547</v>
      </c>
      <c r="M138" s="9" t="s">
        <v>372</v>
      </c>
      <c r="N138" s="11"/>
    </row>
    <row r="139" spans="1:14" x14ac:dyDescent="0.2">
      <c r="A139" s="8" t="s">
        <v>84</v>
      </c>
      <c r="B139" s="9" t="s">
        <v>31</v>
      </c>
      <c r="C139" s="10">
        <v>45626</v>
      </c>
      <c r="D139" s="9" t="s">
        <v>58</v>
      </c>
      <c r="E139" s="9" t="s">
        <v>65</v>
      </c>
      <c r="F139" s="9">
        <v>3775</v>
      </c>
      <c r="G139" s="9">
        <v>16</v>
      </c>
      <c r="H139" s="9">
        <v>239</v>
      </c>
      <c r="I139" s="9">
        <v>33975</v>
      </c>
      <c r="J139" s="9">
        <v>33310</v>
      </c>
      <c r="K139" s="9">
        <v>271</v>
      </c>
      <c r="L139" s="19">
        <f t="shared" si="2"/>
        <v>0.11861662987490802</v>
      </c>
      <c r="M139" s="9" t="s">
        <v>17</v>
      </c>
      <c r="N139" s="11" t="s">
        <v>24</v>
      </c>
    </row>
    <row r="140" spans="1:14" x14ac:dyDescent="0.2">
      <c r="A140" s="8" t="s">
        <v>172</v>
      </c>
      <c r="B140" s="9" t="s">
        <v>14</v>
      </c>
      <c r="C140" s="10">
        <v>45600</v>
      </c>
      <c r="D140" s="9" t="s">
        <v>44</v>
      </c>
      <c r="E140" s="9" t="s">
        <v>90</v>
      </c>
      <c r="F140" s="9">
        <v>1606</v>
      </c>
      <c r="G140" s="9">
        <v>451</v>
      </c>
      <c r="H140" s="9">
        <v>405</v>
      </c>
      <c r="I140" s="9">
        <v>20878</v>
      </c>
      <c r="J140" s="9">
        <v>20190</v>
      </c>
      <c r="K140" s="9">
        <v>219</v>
      </c>
      <c r="L140" s="19">
        <f t="shared" si="2"/>
        <v>0.11792317271769326</v>
      </c>
      <c r="M140" s="9" t="s">
        <v>34</v>
      </c>
      <c r="N140" s="11" t="s">
        <v>35</v>
      </c>
    </row>
    <row r="141" spans="1:14" x14ac:dyDescent="0.2">
      <c r="A141" s="8" t="s">
        <v>307</v>
      </c>
      <c r="B141" s="9" t="s">
        <v>31</v>
      </c>
      <c r="C141" s="10">
        <v>45743</v>
      </c>
      <c r="D141" s="9" t="s">
        <v>39</v>
      </c>
      <c r="E141" s="9" t="s">
        <v>67</v>
      </c>
      <c r="F141" s="9">
        <v>1377</v>
      </c>
      <c r="G141" s="9">
        <v>796</v>
      </c>
      <c r="H141" s="9">
        <v>387</v>
      </c>
      <c r="I141" s="9">
        <v>22032</v>
      </c>
      <c r="J141" s="9">
        <v>21869</v>
      </c>
      <c r="K141" s="9">
        <v>189</v>
      </c>
      <c r="L141" s="19">
        <f t="shared" si="2"/>
        <v>0.11619462599854757</v>
      </c>
      <c r="M141" s="9" t="s">
        <v>17</v>
      </c>
      <c r="N141" s="11"/>
    </row>
    <row r="142" spans="1:14" x14ac:dyDescent="0.2">
      <c r="A142" s="8" t="s">
        <v>50</v>
      </c>
      <c r="B142" s="9" t="s">
        <v>31</v>
      </c>
      <c r="C142" s="10">
        <v>45690</v>
      </c>
      <c r="D142" s="9" t="s">
        <v>32</v>
      </c>
      <c r="E142" s="9" t="s">
        <v>33</v>
      </c>
      <c r="F142" s="9">
        <v>1792</v>
      </c>
      <c r="G142" s="9">
        <v>614</v>
      </c>
      <c r="H142" s="9">
        <v>497</v>
      </c>
      <c r="I142" s="9">
        <v>25088</v>
      </c>
      <c r="J142" s="9">
        <v>24675</v>
      </c>
      <c r="K142" s="9">
        <v>65</v>
      </c>
      <c r="L142" s="19">
        <f t="shared" si="2"/>
        <v>0.11571269132653061</v>
      </c>
      <c r="M142" s="9" t="s">
        <v>17</v>
      </c>
      <c r="N142" s="11" t="s">
        <v>35</v>
      </c>
    </row>
    <row r="143" spans="1:14" x14ac:dyDescent="0.2">
      <c r="A143" s="8" t="s">
        <v>217</v>
      </c>
      <c r="B143" s="9" t="s">
        <v>14</v>
      </c>
      <c r="C143" s="10">
        <v>45707</v>
      </c>
      <c r="D143" s="9" t="s">
        <v>21</v>
      </c>
      <c r="E143" s="9" t="s">
        <v>22</v>
      </c>
      <c r="F143" s="9">
        <v>4671</v>
      </c>
      <c r="G143" s="9">
        <v>876</v>
      </c>
      <c r="H143" s="9">
        <v>366</v>
      </c>
      <c r="I143" s="9">
        <v>51381</v>
      </c>
      <c r="J143" s="9">
        <v>50565</v>
      </c>
      <c r="K143" s="9">
        <v>245</v>
      </c>
      <c r="L143" s="19">
        <f t="shared" si="2"/>
        <v>0.11508145034156594</v>
      </c>
      <c r="M143" s="9" t="s">
        <v>23</v>
      </c>
      <c r="N143" s="11" t="s">
        <v>35</v>
      </c>
    </row>
    <row r="144" spans="1:14" x14ac:dyDescent="0.2">
      <c r="A144" s="8" t="s">
        <v>211</v>
      </c>
      <c r="B144" s="9" t="s">
        <v>27</v>
      </c>
      <c r="C144" s="10">
        <v>45647</v>
      </c>
      <c r="D144" s="9" t="s">
        <v>44</v>
      </c>
      <c r="E144" s="9" t="s">
        <v>45</v>
      </c>
      <c r="F144" s="9">
        <v>2283</v>
      </c>
      <c r="G144" s="9">
        <v>210</v>
      </c>
      <c r="H144" s="9">
        <v>130</v>
      </c>
      <c r="I144" s="9">
        <v>22830</v>
      </c>
      <c r="J144" s="9">
        <v>22617</v>
      </c>
      <c r="K144" s="9">
        <v>143</v>
      </c>
      <c r="L144" s="19">
        <f t="shared" si="2"/>
        <v>0.11489268506351293</v>
      </c>
      <c r="M144" s="9" t="s">
        <v>17</v>
      </c>
      <c r="N144" s="11" t="s">
        <v>24</v>
      </c>
    </row>
    <row r="145" spans="1:14" x14ac:dyDescent="0.2">
      <c r="A145" s="12" t="s">
        <v>340</v>
      </c>
      <c r="B145" s="13" t="s">
        <v>14</v>
      </c>
      <c r="C145" s="14">
        <v>45552</v>
      </c>
      <c r="D145" s="13" t="s">
        <v>21</v>
      </c>
      <c r="E145" s="13" t="s">
        <v>22</v>
      </c>
      <c r="F145" s="13">
        <v>571</v>
      </c>
      <c r="G145" s="13">
        <v>190</v>
      </c>
      <c r="H145" s="13">
        <v>352</v>
      </c>
      <c r="I145" s="13">
        <v>9707</v>
      </c>
      <c r="J145" s="13">
        <v>9418</v>
      </c>
      <c r="K145" s="13">
        <v>231</v>
      </c>
      <c r="L145" s="19">
        <f t="shared" si="2"/>
        <v>0.11465952405480581</v>
      </c>
      <c r="M145" s="13" t="s">
        <v>23</v>
      </c>
      <c r="N145" s="15" t="s">
        <v>35</v>
      </c>
    </row>
    <row r="146" spans="1:14" x14ac:dyDescent="0.2">
      <c r="A146" s="8" t="s">
        <v>168</v>
      </c>
      <c r="B146" s="9" t="s">
        <v>14</v>
      </c>
      <c r="C146" s="10">
        <v>45567</v>
      </c>
      <c r="D146" s="9" t="s">
        <v>39</v>
      </c>
      <c r="E146" s="9" t="s">
        <v>42</v>
      </c>
      <c r="F146" s="9">
        <v>4419</v>
      </c>
      <c r="G146" s="9">
        <v>236</v>
      </c>
      <c r="H146" s="9">
        <v>369</v>
      </c>
      <c r="I146" s="9">
        <v>44190</v>
      </c>
      <c r="J146" s="9">
        <v>43582</v>
      </c>
      <c r="K146" s="9">
        <v>10</v>
      </c>
      <c r="L146" s="19">
        <f t="shared" si="2"/>
        <v>0.11369088028965829</v>
      </c>
      <c r="M146" s="9" t="s">
        <v>34</v>
      </c>
      <c r="N146" s="11" t="s">
        <v>18</v>
      </c>
    </row>
    <row r="147" spans="1:14" x14ac:dyDescent="0.2">
      <c r="A147" s="12" t="s">
        <v>214</v>
      </c>
      <c r="B147" s="13" t="s">
        <v>31</v>
      </c>
      <c r="C147" s="14">
        <v>45515</v>
      </c>
      <c r="D147" s="13" t="s">
        <v>32</v>
      </c>
      <c r="E147" s="13" t="s">
        <v>33</v>
      </c>
      <c r="F147" s="13">
        <v>1762</v>
      </c>
      <c r="G147" s="13">
        <v>405</v>
      </c>
      <c r="H147" s="13">
        <v>423</v>
      </c>
      <c r="I147" s="13">
        <v>22906</v>
      </c>
      <c r="J147" s="13">
        <v>21925</v>
      </c>
      <c r="K147" s="13">
        <v>25</v>
      </c>
      <c r="L147" s="19">
        <f t="shared" si="2"/>
        <v>0.11307081114118571</v>
      </c>
      <c r="M147" s="13" t="s">
        <v>23</v>
      </c>
      <c r="N147" s="15" t="s">
        <v>18</v>
      </c>
    </row>
    <row r="148" spans="1:14" x14ac:dyDescent="0.2">
      <c r="A148" s="12" t="s">
        <v>153</v>
      </c>
      <c r="B148" s="13" t="s">
        <v>14</v>
      </c>
      <c r="C148" s="14">
        <v>45453</v>
      </c>
      <c r="D148" s="13" t="s">
        <v>32</v>
      </c>
      <c r="E148" s="13" t="s">
        <v>100</v>
      </c>
      <c r="F148" s="13">
        <v>1575</v>
      </c>
      <c r="G148" s="13">
        <v>771</v>
      </c>
      <c r="H148" s="13">
        <v>486</v>
      </c>
      <c r="I148" s="13">
        <v>25200</v>
      </c>
      <c r="J148" s="13">
        <v>24826</v>
      </c>
      <c r="K148" s="13">
        <v>17</v>
      </c>
      <c r="L148" s="19">
        <f t="shared" si="2"/>
        <v>0.11238095238095239</v>
      </c>
      <c r="M148" s="13" t="s">
        <v>17</v>
      </c>
      <c r="N148" s="15" t="s">
        <v>35</v>
      </c>
    </row>
    <row r="149" spans="1:14" x14ac:dyDescent="0.2">
      <c r="A149" s="8" t="s">
        <v>283</v>
      </c>
      <c r="B149" s="9" t="s">
        <v>31</v>
      </c>
      <c r="C149" s="10">
        <v>45455</v>
      </c>
      <c r="D149" s="9" t="s">
        <v>21</v>
      </c>
      <c r="E149" s="9" t="s">
        <v>80</v>
      </c>
      <c r="F149" s="9">
        <v>246</v>
      </c>
      <c r="G149" s="9">
        <v>149</v>
      </c>
      <c r="H149" s="9">
        <v>130</v>
      </c>
      <c r="I149" s="9">
        <v>4674</v>
      </c>
      <c r="J149" s="9">
        <v>4390</v>
      </c>
      <c r="K149" s="9">
        <v>217</v>
      </c>
      <c r="L149" s="19">
        <f t="shared" si="2"/>
        <v>0.11232349165596919</v>
      </c>
      <c r="M149" s="9" t="s">
        <v>17</v>
      </c>
      <c r="N149" s="11" t="s">
        <v>29</v>
      </c>
    </row>
    <row r="150" spans="1:14" x14ac:dyDescent="0.2">
      <c r="A150" s="12" t="s">
        <v>278</v>
      </c>
      <c r="B150" s="13" t="s">
        <v>38</v>
      </c>
      <c r="C150" s="14">
        <v>45573</v>
      </c>
      <c r="D150" s="13" t="s">
        <v>15</v>
      </c>
      <c r="E150" s="13" t="s">
        <v>52</v>
      </c>
      <c r="F150" s="13">
        <v>1814</v>
      </c>
      <c r="G150" s="13">
        <v>653</v>
      </c>
      <c r="H150" s="13">
        <v>363</v>
      </c>
      <c r="I150" s="13">
        <v>25396</v>
      </c>
      <c r="J150" s="13">
        <v>25286</v>
      </c>
      <c r="K150" s="13">
        <v>39</v>
      </c>
      <c r="L150" s="19">
        <f t="shared" si="2"/>
        <v>0.11143487163332809</v>
      </c>
      <c r="M150" s="13" t="s">
        <v>370</v>
      </c>
      <c r="N150" s="15" t="s">
        <v>18</v>
      </c>
    </row>
    <row r="151" spans="1:14" x14ac:dyDescent="0.2">
      <c r="A151" s="12" t="s">
        <v>334</v>
      </c>
      <c r="B151" s="13" t="s">
        <v>14</v>
      </c>
      <c r="C151" s="14">
        <v>45622</v>
      </c>
      <c r="D151" s="13" t="s">
        <v>21</v>
      </c>
      <c r="E151" s="13" t="s">
        <v>22</v>
      </c>
      <c r="F151" s="13">
        <v>4516</v>
      </c>
      <c r="G151" s="13">
        <v>836</v>
      </c>
      <c r="H151" s="13">
        <v>169</v>
      </c>
      <c r="I151" s="13">
        <v>49676</v>
      </c>
      <c r="J151" s="13">
        <v>49257</v>
      </c>
      <c r="K151" s="13">
        <v>282</v>
      </c>
      <c r="L151" s="19">
        <f t="shared" si="2"/>
        <v>0.11114018842096787</v>
      </c>
      <c r="M151" s="13" t="s">
        <v>34</v>
      </c>
      <c r="N151" s="15" t="s">
        <v>35</v>
      </c>
    </row>
    <row r="152" spans="1:14" x14ac:dyDescent="0.2">
      <c r="A152" s="8" t="s">
        <v>207</v>
      </c>
      <c r="B152" s="9" t="s">
        <v>31</v>
      </c>
      <c r="C152" s="10">
        <v>45499</v>
      </c>
      <c r="D152" s="9" t="s">
        <v>44</v>
      </c>
      <c r="E152" s="9" t="s">
        <v>136</v>
      </c>
      <c r="F152" s="9">
        <v>3559</v>
      </c>
      <c r="G152" s="9">
        <v>59</v>
      </c>
      <c r="H152" s="9">
        <v>289</v>
      </c>
      <c r="I152" s="9">
        <v>35590</v>
      </c>
      <c r="J152" s="9">
        <v>35105</v>
      </c>
      <c r="K152" s="9">
        <v>122</v>
      </c>
      <c r="L152" s="19">
        <f t="shared" si="2"/>
        <v>0.10977802753582468</v>
      </c>
      <c r="M152" s="9" t="s">
        <v>34</v>
      </c>
      <c r="N152" s="11" t="s">
        <v>18</v>
      </c>
    </row>
    <row r="153" spans="1:14" x14ac:dyDescent="0.2">
      <c r="A153" s="12" t="s">
        <v>212</v>
      </c>
      <c r="B153" s="13" t="s">
        <v>38</v>
      </c>
      <c r="C153" s="14">
        <v>45587</v>
      </c>
      <c r="D153" s="13" t="s">
        <v>39</v>
      </c>
      <c r="E153" s="13" t="s">
        <v>40</v>
      </c>
      <c r="F153" s="13">
        <v>3352</v>
      </c>
      <c r="G153" s="13">
        <v>941</v>
      </c>
      <c r="H153" s="13">
        <v>482</v>
      </c>
      <c r="I153" s="13">
        <v>43576</v>
      </c>
      <c r="J153" s="13">
        <v>43338</v>
      </c>
      <c r="K153" s="13">
        <v>240</v>
      </c>
      <c r="L153" s="19">
        <f t="shared" si="2"/>
        <v>0.1095786671562328</v>
      </c>
      <c r="M153" s="13" t="s">
        <v>17</v>
      </c>
      <c r="N153" s="15" t="s">
        <v>24</v>
      </c>
    </row>
    <row r="154" spans="1:14" x14ac:dyDescent="0.2">
      <c r="A154" s="8" t="s">
        <v>213</v>
      </c>
      <c r="B154" s="9" t="s">
        <v>27</v>
      </c>
      <c r="C154" s="10">
        <v>45496</v>
      </c>
      <c r="D154" s="9" t="s">
        <v>32</v>
      </c>
      <c r="E154" s="9" t="s">
        <v>103</v>
      </c>
      <c r="F154" s="9">
        <v>4775</v>
      </c>
      <c r="G154" s="9">
        <v>173</v>
      </c>
      <c r="H154" s="9">
        <v>206</v>
      </c>
      <c r="I154" s="9">
        <v>47750</v>
      </c>
      <c r="J154" s="9">
        <v>47544</v>
      </c>
      <c r="K154" s="9">
        <v>187</v>
      </c>
      <c r="L154" s="19">
        <f t="shared" si="2"/>
        <v>0.10793717277486911</v>
      </c>
      <c r="M154" s="9" t="s">
        <v>17</v>
      </c>
      <c r="N154" s="11" t="s">
        <v>24</v>
      </c>
    </row>
    <row r="155" spans="1:14" x14ac:dyDescent="0.2">
      <c r="A155" s="12" t="s">
        <v>262</v>
      </c>
      <c r="B155" s="13" t="s">
        <v>14</v>
      </c>
      <c r="C155" s="14">
        <v>45467</v>
      </c>
      <c r="D155" s="13" t="s">
        <v>21</v>
      </c>
      <c r="E155" s="13" t="s">
        <v>22</v>
      </c>
      <c r="F155" s="13">
        <v>941</v>
      </c>
      <c r="G155" s="13">
        <v>121</v>
      </c>
      <c r="H155" s="13">
        <v>458</v>
      </c>
      <c r="I155" s="13">
        <v>14115</v>
      </c>
      <c r="J155" s="13">
        <v>13838</v>
      </c>
      <c r="K155" s="13">
        <v>87</v>
      </c>
      <c r="L155" s="19">
        <f t="shared" si="2"/>
        <v>0.10768685795253277</v>
      </c>
      <c r="M155" s="13" t="s">
        <v>34</v>
      </c>
      <c r="N155" s="15" t="s">
        <v>18</v>
      </c>
    </row>
    <row r="156" spans="1:14" x14ac:dyDescent="0.2">
      <c r="A156" s="12" t="s">
        <v>338</v>
      </c>
      <c r="B156" s="13" t="s">
        <v>31</v>
      </c>
      <c r="C156" s="14">
        <v>45568</v>
      </c>
      <c r="D156" s="13" t="s">
        <v>58</v>
      </c>
      <c r="E156" s="13" t="s">
        <v>65</v>
      </c>
      <c r="F156" s="13">
        <v>1488</v>
      </c>
      <c r="G156" s="13">
        <v>417</v>
      </c>
      <c r="H156" s="13">
        <v>168</v>
      </c>
      <c r="I156" s="13">
        <v>19344</v>
      </c>
      <c r="J156" s="13">
        <v>18395</v>
      </c>
      <c r="K156" s="13">
        <v>30</v>
      </c>
      <c r="L156" s="19">
        <f t="shared" si="2"/>
        <v>0.1071650124069479</v>
      </c>
      <c r="M156" s="13" t="s">
        <v>17</v>
      </c>
      <c r="N156" s="15" t="s">
        <v>29</v>
      </c>
    </row>
    <row r="157" spans="1:14" x14ac:dyDescent="0.2">
      <c r="A157" s="8" t="s">
        <v>101</v>
      </c>
      <c r="B157" s="9" t="s">
        <v>14</v>
      </c>
      <c r="C157" s="10">
        <v>45453</v>
      </c>
      <c r="D157" s="9" t="s">
        <v>32</v>
      </c>
      <c r="E157" s="9" t="s">
        <v>100</v>
      </c>
      <c r="F157" s="9">
        <v>2164</v>
      </c>
      <c r="G157" s="9">
        <v>549</v>
      </c>
      <c r="H157" s="9">
        <v>274</v>
      </c>
      <c r="I157" s="9">
        <v>28132</v>
      </c>
      <c r="J157" s="9">
        <v>27361</v>
      </c>
      <c r="K157" s="9">
        <v>177</v>
      </c>
      <c r="L157" s="19">
        <f t="shared" si="2"/>
        <v>0.10617801791554102</v>
      </c>
      <c r="M157" s="9" t="s">
        <v>23</v>
      </c>
      <c r="N157" s="11" t="s">
        <v>35</v>
      </c>
    </row>
    <row r="158" spans="1:14" x14ac:dyDescent="0.2">
      <c r="A158" s="8" t="s">
        <v>261</v>
      </c>
      <c r="B158" s="9" t="s">
        <v>14</v>
      </c>
      <c r="C158" s="10">
        <v>45771</v>
      </c>
      <c r="D158" s="9" t="s">
        <v>58</v>
      </c>
      <c r="E158" s="9" t="s">
        <v>97</v>
      </c>
      <c r="F158" s="9">
        <v>3820</v>
      </c>
      <c r="G158" s="9">
        <v>697</v>
      </c>
      <c r="H158" s="9">
        <v>268</v>
      </c>
      <c r="I158" s="9">
        <v>45840</v>
      </c>
      <c r="J158" s="9">
        <v>45631</v>
      </c>
      <c r="K158" s="9">
        <v>171</v>
      </c>
      <c r="L158" s="19">
        <f t="shared" si="2"/>
        <v>0.1043848167539267</v>
      </c>
      <c r="M158" s="9" t="s">
        <v>369</v>
      </c>
      <c r="N158" s="11" t="s">
        <v>35</v>
      </c>
    </row>
    <row r="159" spans="1:14" x14ac:dyDescent="0.2">
      <c r="A159" s="12" t="s">
        <v>43</v>
      </c>
      <c r="B159" s="13" t="s">
        <v>27</v>
      </c>
      <c r="C159" s="14">
        <v>45486</v>
      </c>
      <c r="D159" s="13" t="s">
        <v>44</v>
      </c>
      <c r="E159" s="13" t="s">
        <v>45</v>
      </c>
      <c r="F159" s="13">
        <v>3929</v>
      </c>
      <c r="G159" s="13">
        <v>262</v>
      </c>
      <c r="H159" s="13">
        <v>278</v>
      </c>
      <c r="I159" s="13">
        <v>43219</v>
      </c>
      <c r="J159" s="13">
        <v>42841</v>
      </c>
      <c r="K159" s="13">
        <v>39</v>
      </c>
      <c r="L159" s="19">
        <f t="shared" si="2"/>
        <v>0.10340359564080613</v>
      </c>
      <c r="M159" s="13" t="s">
        <v>34</v>
      </c>
      <c r="N159" s="15" t="s">
        <v>35</v>
      </c>
    </row>
    <row r="160" spans="1:14" x14ac:dyDescent="0.2">
      <c r="A160" s="12" t="s">
        <v>151</v>
      </c>
      <c r="B160" s="13" t="s">
        <v>14</v>
      </c>
      <c r="C160" s="14">
        <v>45545</v>
      </c>
      <c r="D160" s="13" t="s">
        <v>44</v>
      </c>
      <c r="E160" s="13" t="s">
        <v>90</v>
      </c>
      <c r="F160" s="13">
        <v>1238</v>
      </c>
      <c r="G160" s="13">
        <v>366</v>
      </c>
      <c r="H160" s="13">
        <v>444</v>
      </c>
      <c r="I160" s="13">
        <v>19808</v>
      </c>
      <c r="J160" s="13">
        <v>19334</v>
      </c>
      <c r="K160" s="13">
        <v>123</v>
      </c>
      <c r="L160" s="19">
        <f t="shared" si="2"/>
        <v>0.10339256865912763</v>
      </c>
      <c r="M160" s="13" t="s">
        <v>17</v>
      </c>
      <c r="N160" s="15"/>
    </row>
    <row r="161" spans="1:14" x14ac:dyDescent="0.2">
      <c r="A161" s="12" t="s">
        <v>62</v>
      </c>
      <c r="B161" s="13" t="s">
        <v>31</v>
      </c>
      <c r="C161" s="14">
        <v>45523</v>
      </c>
      <c r="D161" s="13" t="s">
        <v>15</v>
      </c>
      <c r="E161" s="13" t="s">
        <v>63</v>
      </c>
      <c r="F161" s="13">
        <v>3000</v>
      </c>
      <c r="G161" s="13">
        <v>382</v>
      </c>
      <c r="H161" s="13">
        <v>325</v>
      </c>
      <c r="I161" s="13">
        <v>36000</v>
      </c>
      <c r="J161" s="13">
        <v>35819</v>
      </c>
      <c r="K161" s="13">
        <v>19</v>
      </c>
      <c r="L161" s="19">
        <f t="shared" si="2"/>
        <v>0.10297222222222223</v>
      </c>
      <c r="M161" s="13" t="s">
        <v>17</v>
      </c>
      <c r="N161" s="15" t="s">
        <v>18</v>
      </c>
    </row>
    <row r="162" spans="1:14" x14ac:dyDescent="0.2">
      <c r="A162" s="12" t="s">
        <v>238</v>
      </c>
      <c r="B162" s="13" t="s">
        <v>38</v>
      </c>
      <c r="C162" s="14">
        <v>45504</v>
      </c>
      <c r="D162" s="13" t="s">
        <v>44</v>
      </c>
      <c r="E162" s="13" t="s">
        <v>49</v>
      </c>
      <c r="F162" s="13">
        <v>4689</v>
      </c>
      <c r="G162" s="13">
        <v>134</v>
      </c>
      <c r="H162" s="13">
        <v>403</v>
      </c>
      <c r="I162" s="13">
        <v>51579</v>
      </c>
      <c r="J162" s="13">
        <v>50924</v>
      </c>
      <c r="K162" s="13">
        <v>173</v>
      </c>
      <c r="L162" s="19">
        <f t="shared" si="2"/>
        <v>0.10132030477519921</v>
      </c>
      <c r="M162" s="13" t="s">
        <v>23</v>
      </c>
      <c r="N162" s="15" t="s">
        <v>35</v>
      </c>
    </row>
    <row r="163" spans="1:14" x14ac:dyDescent="0.2">
      <c r="A163" s="12" t="s">
        <v>322</v>
      </c>
      <c r="B163" s="13" t="s">
        <v>38</v>
      </c>
      <c r="C163" s="14">
        <v>45621</v>
      </c>
      <c r="D163" s="13" t="s">
        <v>32</v>
      </c>
      <c r="E163" s="13" t="s">
        <v>56</v>
      </c>
      <c r="F163" s="13">
        <v>4182</v>
      </c>
      <c r="G163" s="13">
        <v>640</v>
      </c>
      <c r="H163" s="13">
        <v>240</v>
      </c>
      <c r="I163" s="13">
        <v>50184</v>
      </c>
      <c r="J163" s="13">
        <v>49351</v>
      </c>
      <c r="K163" s="13">
        <v>10</v>
      </c>
      <c r="L163" s="19">
        <f t="shared" si="2"/>
        <v>0.10086880280567512</v>
      </c>
      <c r="M163" s="13" t="s">
        <v>23</v>
      </c>
      <c r="N163" s="15" t="s">
        <v>29</v>
      </c>
    </row>
    <row r="164" spans="1:14" x14ac:dyDescent="0.2">
      <c r="A164" s="8" t="s">
        <v>64</v>
      </c>
      <c r="B164" s="9" t="s">
        <v>31</v>
      </c>
      <c r="C164" s="10">
        <v>45466</v>
      </c>
      <c r="D164" s="9" t="s">
        <v>58</v>
      </c>
      <c r="E164" s="9" t="s">
        <v>65</v>
      </c>
      <c r="F164" s="9">
        <v>1071</v>
      </c>
      <c r="G164" s="9">
        <v>519</v>
      </c>
      <c r="H164" s="9">
        <v>22</v>
      </c>
      <c r="I164" s="9">
        <v>16065</v>
      </c>
      <c r="J164" s="9">
        <v>15865</v>
      </c>
      <c r="K164" s="9">
        <v>103</v>
      </c>
      <c r="L164" s="19">
        <f t="shared" si="2"/>
        <v>0.10034235916588857</v>
      </c>
      <c r="M164" s="9" t="s">
        <v>23</v>
      </c>
      <c r="N164" s="11" t="s">
        <v>35</v>
      </c>
    </row>
    <row r="165" spans="1:14" x14ac:dyDescent="0.2">
      <c r="A165" s="12" t="s">
        <v>163</v>
      </c>
      <c r="B165" s="13" t="s">
        <v>14</v>
      </c>
      <c r="C165" s="14">
        <v>45741</v>
      </c>
      <c r="D165" s="13" t="s">
        <v>58</v>
      </c>
      <c r="E165" s="13" t="s">
        <v>97</v>
      </c>
      <c r="F165" s="13">
        <v>4050</v>
      </c>
      <c r="G165" s="13">
        <v>871</v>
      </c>
      <c r="H165" s="13">
        <v>347</v>
      </c>
      <c r="I165" s="13">
        <v>52650</v>
      </c>
      <c r="J165" s="13">
        <v>51755</v>
      </c>
      <c r="K165" s="13">
        <v>209</v>
      </c>
      <c r="L165" s="19">
        <f t="shared" si="2"/>
        <v>0.10005698005698006</v>
      </c>
      <c r="M165" s="13" t="s">
        <v>23</v>
      </c>
      <c r="N165" s="15" t="s">
        <v>24</v>
      </c>
    </row>
    <row r="166" spans="1:14" x14ac:dyDescent="0.2">
      <c r="A166" s="12" t="s">
        <v>181</v>
      </c>
      <c r="B166" s="13" t="s">
        <v>31</v>
      </c>
      <c r="C166" s="14">
        <v>45744</v>
      </c>
      <c r="D166" s="13" t="s">
        <v>39</v>
      </c>
      <c r="E166" s="13" t="s">
        <v>67</v>
      </c>
      <c r="F166" s="13">
        <v>4158</v>
      </c>
      <c r="G166" s="13">
        <v>167</v>
      </c>
      <c r="H166" s="13">
        <v>241</v>
      </c>
      <c r="I166" s="13">
        <v>45738</v>
      </c>
      <c r="J166" s="13">
        <v>45183</v>
      </c>
      <c r="K166" s="13">
        <v>142</v>
      </c>
      <c r="L166" s="19">
        <f t="shared" si="2"/>
        <v>9.9829463465827106E-2</v>
      </c>
      <c r="M166" s="13" t="s">
        <v>17</v>
      </c>
      <c r="N166" s="15"/>
    </row>
    <row r="167" spans="1:14" x14ac:dyDescent="0.2">
      <c r="A167" s="8" t="s">
        <v>158</v>
      </c>
      <c r="B167" s="9" t="s">
        <v>38</v>
      </c>
      <c r="C167" s="10">
        <v>45454</v>
      </c>
      <c r="D167" s="9" t="s">
        <v>44</v>
      </c>
      <c r="E167" s="9" t="s">
        <v>49</v>
      </c>
      <c r="F167" s="9">
        <v>3689</v>
      </c>
      <c r="G167" s="9">
        <v>48</v>
      </c>
      <c r="H167" s="9">
        <v>306</v>
      </c>
      <c r="I167" s="9">
        <v>40579</v>
      </c>
      <c r="J167" s="9">
        <v>39588</v>
      </c>
      <c r="K167" s="9">
        <v>212</v>
      </c>
      <c r="L167" s="19">
        <f t="shared" si="2"/>
        <v>9.9632815002833983E-2</v>
      </c>
      <c r="M167" s="9" t="s">
        <v>34</v>
      </c>
      <c r="N167" s="11" t="s">
        <v>24</v>
      </c>
    </row>
    <row r="168" spans="1:14" x14ac:dyDescent="0.2">
      <c r="A168" s="8" t="s">
        <v>247</v>
      </c>
      <c r="B168" s="9" t="s">
        <v>27</v>
      </c>
      <c r="C168" s="10">
        <v>45629</v>
      </c>
      <c r="D168" s="9" t="s">
        <v>32</v>
      </c>
      <c r="E168" s="9" t="s">
        <v>103</v>
      </c>
      <c r="F168" s="9">
        <v>4285</v>
      </c>
      <c r="G168" s="9">
        <v>886</v>
      </c>
      <c r="H168" s="9">
        <v>376</v>
      </c>
      <c r="I168" s="9">
        <v>55705</v>
      </c>
      <c r="J168" s="9">
        <v>55556</v>
      </c>
      <c r="K168" s="9">
        <v>51</v>
      </c>
      <c r="L168" s="19">
        <f t="shared" si="2"/>
        <v>9.9578134817341346E-2</v>
      </c>
      <c r="M168" s="9" t="s">
        <v>17</v>
      </c>
      <c r="N168" s="11" t="s">
        <v>29</v>
      </c>
    </row>
    <row r="169" spans="1:14" x14ac:dyDescent="0.2">
      <c r="A169" s="8" t="s">
        <v>249</v>
      </c>
      <c r="B169" s="9" t="s">
        <v>14</v>
      </c>
      <c r="C169" s="10">
        <v>45546</v>
      </c>
      <c r="D169" s="9" t="s">
        <v>44</v>
      </c>
      <c r="E169" s="9" t="s">
        <v>90</v>
      </c>
      <c r="F169" s="9">
        <v>4858</v>
      </c>
      <c r="G169" s="9">
        <v>317</v>
      </c>
      <c r="H169" s="9">
        <v>129</v>
      </c>
      <c r="I169" s="9">
        <v>53438</v>
      </c>
      <c r="J169" s="9">
        <v>52687</v>
      </c>
      <c r="K169" s="9">
        <v>223</v>
      </c>
      <c r="L169" s="19">
        <f t="shared" si="2"/>
        <v>9.9255211647142488E-2</v>
      </c>
      <c r="M169" s="9" t="s">
        <v>34</v>
      </c>
      <c r="N169" s="11" t="s">
        <v>29</v>
      </c>
    </row>
    <row r="170" spans="1:14" x14ac:dyDescent="0.2">
      <c r="A170" s="8" t="s">
        <v>223</v>
      </c>
      <c r="B170" s="9" t="s">
        <v>31</v>
      </c>
      <c r="C170" s="10">
        <v>45624</v>
      </c>
      <c r="D170" s="9" t="s">
        <v>21</v>
      </c>
      <c r="E170" s="9" t="s">
        <v>80</v>
      </c>
      <c r="F170" s="9">
        <v>4771</v>
      </c>
      <c r="G170" s="9">
        <v>818</v>
      </c>
      <c r="H170" s="9">
        <v>56</v>
      </c>
      <c r="I170" s="9">
        <v>57252</v>
      </c>
      <c r="J170" s="9">
        <v>56378</v>
      </c>
      <c r="K170" s="9">
        <v>150</v>
      </c>
      <c r="L170" s="19">
        <f t="shared" si="2"/>
        <v>9.859917557465242E-2</v>
      </c>
      <c r="M170" s="9" t="s">
        <v>17</v>
      </c>
      <c r="N170" s="11"/>
    </row>
    <row r="171" spans="1:14" x14ac:dyDescent="0.2">
      <c r="A171" s="12" t="s">
        <v>94</v>
      </c>
      <c r="B171" s="13" t="s">
        <v>14</v>
      </c>
      <c r="C171" s="14">
        <v>45718</v>
      </c>
      <c r="D171" s="13" t="s">
        <v>44</v>
      </c>
      <c r="E171" s="13" t="s">
        <v>90</v>
      </c>
      <c r="F171" s="13">
        <v>2358</v>
      </c>
      <c r="G171" s="13">
        <v>784</v>
      </c>
      <c r="H171" s="13">
        <v>344</v>
      </c>
      <c r="I171" s="13">
        <v>35370</v>
      </c>
      <c r="J171" s="13">
        <v>34475</v>
      </c>
      <c r="K171" s="13">
        <v>216</v>
      </c>
      <c r="L171" s="19">
        <f t="shared" si="2"/>
        <v>9.8558100084817649E-2</v>
      </c>
      <c r="M171" s="13" t="s">
        <v>23</v>
      </c>
      <c r="N171" s="15"/>
    </row>
    <row r="172" spans="1:14" x14ac:dyDescent="0.2">
      <c r="A172" s="8" t="s">
        <v>227</v>
      </c>
      <c r="B172" s="9" t="s">
        <v>27</v>
      </c>
      <c r="C172" s="10">
        <v>45657</v>
      </c>
      <c r="D172" s="9" t="s">
        <v>58</v>
      </c>
      <c r="E172" s="9" t="s">
        <v>138</v>
      </c>
      <c r="F172" s="9">
        <v>1018</v>
      </c>
      <c r="G172" s="9">
        <v>447</v>
      </c>
      <c r="H172" s="9">
        <v>332</v>
      </c>
      <c r="I172" s="9">
        <v>18324</v>
      </c>
      <c r="J172" s="9">
        <v>18164</v>
      </c>
      <c r="K172" s="9">
        <v>38</v>
      </c>
      <c r="L172" s="19">
        <f t="shared" si="2"/>
        <v>9.8068107400130972E-2</v>
      </c>
      <c r="M172" s="9" t="s">
        <v>17</v>
      </c>
      <c r="N172" s="11" t="s">
        <v>24</v>
      </c>
    </row>
    <row r="173" spans="1:14" x14ac:dyDescent="0.2">
      <c r="A173" s="8" t="s">
        <v>329</v>
      </c>
      <c r="B173" s="9" t="s">
        <v>27</v>
      </c>
      <c r="C173" s="10">
        <v>45577</v>
      </c>
      <c r="D173" s="9" t="s">
        <v>32</v>
      </c>
      <c r="E173" s="9" t="s">
        <v>103</v>
      </c>
      <c r="F173" s="9">
        <v>3641</v>
      </c>
      <c r="G173" s="9">
        <v>226</v>
      </c>
      <c r="H173" s="9">
        <v>46</v>
      </c>
      <c r="I173" s="9">
        <v>40051</v>
      </c>
      <c r="J173" s="9">
        <v>39319</v>
      </c>
      <c r="K173" s="9">
        <v>296</v>
      </c>
      <c r="L173" s="19">
        <f t="shared" si="2"/>
        <v>9.7700431949264685E-2</v>
      </c>
      <c r="M173" s="9" t="s">
        <v>34</v>
      </c>
      <c r="N173" s="11" t="s">
        <v>35</v>
      </c>
    </row>
    <row r="174" spans="1:14" x14ac:dyDescent="0.2">
      <c r="A174" s="8" t="s">
        <v>299</v>
      </c>
      <c r="B174" s="9" t="s">
        <v>14</v>
      </c>
      <c r="C174" s="10">
        <v>45722</v>
      </c>
      <c r="D174" s="9" t="s">
        <v>44</v>
      </c>
      <c r="E174" s="9" t="s">
        <v>90</v>
      </c>
      <c r="F174" s="9">
        <v>3592</v>
      </c>
      <c r="G174" s="9">
        <v>911</v>
      </c>
      <c r="H174" s="9">
        <v>375</v>
      </c>
      <c r="I174" s="9">
        <v>50288</v>
      </c>
      <c r="J174" s="9">
        <v>49490</v>
      </c>
      <c r="K174" s="9">
        <v>32</v>
      </c>
      <c r="L174" s="19">
        <f t="shared" si="2"/>
        <v>9.7001272669424113E-2</v>
      </c>
      <c r="M174" s="9" t="s">
        <v>17</v>
      </c>
      <c r="N174" s="11" t="s">
        <v>35</v>
      </c>
    </row>
    <row r="175" spans="1:14" x14ac:dyDescent="0.2">
      <c r="A175" s="8" t="s">
        <v>241</v>
      </c>
      <c r="B175" s="9" t="s">
        <v>31</v>
      </c>
      <c r="C175" s="10">
        <v>45668</v>
      </c>
      <c r="D175" s="9" t="s">
        <v>39</v>
      </c>
      <c r="E175" s="9" t="s">
        <v>67</v>
      </c>
      <c r="F175" s="9">
        <v>4523</v>
      </c>
      <c r="G175" s="9">
        <v>61</v>
      </c>
      <c r="H175" s="9">
        <v>157</v>
      </c>
      <c r="I175" s="9">
        <v>49753</v>
      </c>
      <c r="J175" s="9">
        <v>49329</v>
      </c>
      <c r="K175" s="9">
        <v>71</v>
      </c>
      <c r="L175" s="19">
        <f t="shared" si="2"/>
        <v>9.5290736237010829E-2</v>
      </c>
      <c r="M175" s="9" t="s">
        <v>34</v>
      </c>
      <c r="N175" s="11"/>
    </row>
    <row r="176" spans="1:14" x14ac:dyDescent="0.2">
      <c r="A176" s="8" t="s">
        <v>134</v>
      </c>
      <c r="B176" s="9" t="s">
        <v>31</v>
      </c>
      <c r="C176" s="10">
        <v>45584</v>
      </c>
      <c r="D176" s="9" t="s">
        <v>32</v>
      </c>
      <c r="E176" s="9" t="s">
        <v>33</v>
      </c>
      <c r="F176" s="9">
        <v>1816</v>
      </c>
      <c r="G176" s="9">
        <v>29</v>
      </c>
      <c r="H176" s="9">
        <v>41</v>
      </c>
      <c r="I176" s="9">
        <v>19976</v>
      </c>
      <c r="J176" s="9">
        <v>19262</v>
      </c>
      <c r="K176" s="9">
        <v>283</v>
      </c>
      <c r="L176" s="19">
        <f t="shared" si="2"/>
        <v>9.4413295955146179E-2</v>
      </c>
      <c r="M176" s="9" t="s">
        <v>23</v>
      </c>
      <c r="N176" s="11" t="s">
        <v>29</v>
      </c>
    </row>
    <row r="177" spans="1:14" x14ac:dyDescent="0.2">
      <c r="A177" s="8" t="s">
        <v>61</v>
      </c>
      <c r="B177" s="9" t="s">
        <v>38</v>
      </c>
      <c r="C177" s="10">
        <v>45782</v>
      </c>
      <c r="D177" s="9" t="s">
        <v>21</v>
      </c>
      <c r="E177" s="9" t="s">
        <v>47</v>
      </c>
      <c r="F177" s="9">
        <v>4441</v>
      </c>
      <c r="G177" s="9">
        <v>511</v>
      </c>
      <c r="H177" s="9">
        <v>70</v>
      </c>
      <c r="I177" s="9">
        <v>53292</v>
      </c>
      <c r="J177" s="9">
        <v>53082</v>
      </c>
      <c r="K177" s="9">
        <v>159</v>
      </c>
      <c r="L177" s="19">
        <f t="shared" si="2"/>
        <v>9.4235532537716729E-2</v>
      </c>
      <c r="M177" s="9" t="s">
        <v>34</v>
      </c>
      <c r="N177" s="11" t="s">
        <v>35</v>
      </c>
    </row>
    <row r="178" spans="1:14" x14ac:dyDescent="0.2">
      <c r="A178" s="8" t="s">
        <v>194</v>
      </c>
      <c r="B178" s="9" t="s">
        <v>27</v>
      </c>
      <c r="C178" s="10">
        <v>45594</v>
      </c>
      <c r="D178" s="9" t="s">
        <v>21</v>
      </c>
      <c r="E178" s="9" t="s">
        <v>75</v>
      </c>
      <c r="F178" s="9">
        <v>2746</v>
      </c>
      <c r="G178" s="9">
        <v>156</v>
      </c>
      <c r="H178" s="9">
        <v>203</v>
      </c>
      <c r="I178" s="9">
        <v>32952</v>
      </c>
      <c r="J178" s="9">
        <v>32147</v>
      </c>
      <c r="K178" s="9">
        <v>147</v>
      </c>
      <c r="L178" s="19">
        <f t="shared" si="2"/>
        <v>9.422796795338674E-2</v>
      </c>
      <c r="M178" s="9" t="s">
        <v>34</v>
      </c>
      <c r="N178" s="11" t="s">
        <v>18</v>
      </c>
    </row>
    <row r="179" spans="1:14" x14ac:dyDescent="0.2">
      <c r="A179" s="8" t="s">
        <v>122</v>
      </c>
      <c r="B179" s="9" t="s">
        <v>14</v>
      </c>
      <c r="C179" s="10">
        <v>45724</v>
      </c>
      <c r="D179" s="9" t="s">
        <v>21</v>
      </c>
      <c r="E179" s="9" t="s">
        <v>22</v>
      </c>
      <c r="F179" s="9">
        <v>1292</v>
      </c>
      <c r="G179" s="9">
        <v>626</v>
      </c>
      <c r="H179" s="9">
        <v>496</v>
      </c>
      <c r="I179" s="9">
        <v>25840</v>
      </c>
      <c r="J179" s="9">
        <v>24916</v>
      </c>
      <c r="K179" s="9">
        <v>149</v>
      </c>
      <c r="L179" s="19">
        <f t="shared" si="2"/>
        <v>9.3421052631578946E-2</v>
      </c>
      <c r="M179" s="9" t="s">
        <v>17</v>
      </c>
      <c r="N179" s="11" t="s">
        <v>29</v>
      </c>
    </row>
    <row r="180" spans="1:14" x14ac:dyDescent="0.2">
      <c r="A180" s="8" t="s">
        <v>112</v>
      </c>
      <c r="B180" s="9" t="s">
        <v>31</v>
      </c>
      <c r="C180" s="10">
        <v>45465</v>
      </c>
      <c r="D180" s="9" t="s">
        <v>21</v>
      </c>
      <c r="E180" s="9" t="s">
        <v>80</v>
      </c>
      <c r="F180" s="9">
        <v>2180</v>
      </c>
      <c r="G180" s="9">
        <v>263</v>
      </c>
      <c r="H180" s="9">
        <v>387</v>
      </c>
      <c r="I180" s="9">
        <v>30520</v>
      </c>
      <c r="J180" s="9">
        <v>30059</v>
      </c>
      <c r="K180" s="9">
        <v>174</v>
      </c>
      <c r="L180" s="19">
        <f t="shared" si="2"/>
        <v>9.2726081258191345E-2</v>
      </c>
      <c r="M180" s="9" t="s">
        <v>34</v>
      </c>
      <c r="N180" s="11"/>
    </row>
    <row r="181" spans="1:14" x14ac:dyDescent="0.2">
      <c r="A181" s="12" t="s">
        <v>155</v>
      </c>
      <c r="B181" s="13" t="s">
        <v>27</v>
      </c>
      <c r="C181" s="14">
        <v>45698</v>
      </c>
      <c r="D181" s="13" t="s">
        <v>58</v>
      </c>
      <c r="E181" s="13" t="s">
        <v>138</v>
      </c>
      <c r="F181" s="13">
        <v>1766</v>
      </c>
      <c r="G181" s="13">
        <v>92</v>
      </c>
      <c r="H181" s="13">
        <v>424</v>
      </c>
      <c r="I181" s="13">
        <v>24724</v>
      </c>
      <c r="J181" s="13">
        <v>24333</v>
      </c>
      <c r="K181" s="13">
        <v>52</v>
      </c>
      <c r="L181" s="19">
        <f t="shared" si="2"/>
        <v>9.2298980747451867E-2</v>
      </c>
      <c r="M181" s="13" t="s">
        <v>34</v>
      </c>
      <c r="N181" s="15"/>
    </row>
    <row r="182" spans="1:14" x14ac:dyDescent="0.2">
      <c r="A182" s="8" t="s">
        <v>108</v>
      </c>
      <c r="B182" s="9" t="s">
        <v>38</v>
      </c>
      <c r="C182" s="10">
        <v>45460</v>
      </c>
      <c r="D182" s="9" t="s">
        <v>44</v>
      </c>
      <c r="E182" s="9" t="s">
        <v>49</v>
      </c>
      <c r="F182" s="9">
        <v>1226</v>
      </c>
      <c r="G182" s="9">
        <v>119</v>
      </c>
      <c r="H182" s="9">
        <v>7</v>
      </c>
      <c r="I182" s="9">
        <v>14712</v>
      </c>
      <c r="J182" s="9">
        <v>14049</v>
      </c>
      <c r="K182" s="9">
        <v>123</v>
      </c>
      <c r="L182" s="19">
        <f t="shared" si="2"/>
        <v>9.1897770527460579E-2</v>
      </c>
      <c r="M182" s="9" t="s">
        <v>34</v>
      </c>
      <c r="N182" s="11" t="s">
        <v>35</v>
      </c>
    </row>
    <row r="183" spans="1:14" x14ac:dyDescent="0.2">
      <c r="A183" s="8" t="s">
        <v>233</v>
      </c>
      <c r="B183" s="9" t="s">
        <v>31</v>
      </c>
      <c r="C183" s="10">
        <v>45483</v>
      </c>
      <c r="D183" s="9" t="s">
        <v>39</v>
      </c>
      <c r="E183" s="9" t="s">
        <v>67</v>
      </c>
      <c r="F183" s="9">
        <v>3099</v>
      </c>
      <c r="G183" s="9">
        <v>694</v>
      </c>
      <c r="H183" s="9">
        <v>171</v>
      </c>
      <c r="I183" s="9">
        <v>43386</v>
      </c>
      <c r="J183" s="9">
        <v>42921</v>
      </c>
      <c r="K183" s="9">
        <v>52</v>
      </c>
      <c r="L183" s="19">
        <f t="shared" si="2"/>
        <v>9.1365878393951966E-2</v>
      </c>
      <c r="M183" s="9" t="s">
        <v>23</v>
      </c>
      <c r="N183" s="11" t="s">
        <v>29</v>
      </c>
    </row>
    <row r="184" spans="1:14" x14ac:dyDescent="0.2">
      <c r="A184" s="12" t="s">
        <v>216</v>
      </c>
      <c r="B184" s="13" t="s">
        <v>14</v>
      </c>
      <c r="C184" s="14">
        <v>45528</v>
      </c>
      <c r="D184" s="13" t="s">
        <v>58</v>
      </c>
      <c r="E184" s="13" t="s">
        <v>97</v>
      </c>
      <c r="F184" s="13">
        <v>1082</v>
      </c>
      <c r="G184" s="13">
        <v>209</v>
      </c>
      <c r="H184" s="13">
        <v>484</v>
      </c>
      <c r="I184" s="13">
        <v>19476</v>
      </c>
      <c r="J184" s="13">
        <v>18654</v>
      </c>
      <c r="K184" s="13">
        <v>20</v>
      </c>
      <c r="L184" s="19">
        <f t="shared" si="2"/>
        <v>9.1137810638734856E-2</v>
      </c>
      <c r="M184" s="13" t="s">
        <v>23</v>
      </c>
      <c r="N184" s="15"/>
    </row>
    <row r="185" spans="1:14" x14ac:dyDescent="0.2">
      <c r="A185" s="8" t="s">
        <v>13</v>
      </c>
      <c r="B185" s="9" t="s">
        <v>14</v>
      </c>
      <c r="C185" s="10">
        <v>45649</v>
      </c>
      <c r="D185" s="9" t="s">
        <v>15</v>
      </c>
      <c r="E185" s="9" t="s">
        <v>16</v>
      </c>
      <c r="F185" s="9">
        <v>1461</v>
      </c>
      <c r="G185" s="9">
        <v>184</v>
      </c>
      <c r="H185" s="9">
        <v>344</v>
      </c>
      <c r="I185" s="9">
        <v>21915</v>
      </c>
      <c r="J185" s="9">
        <v>21675</v>
      </c>
      <c r="K185" s="9">
        <v>15</v>
      </c>
      <c r="L185" s="19">
        <f t="shared" si="2"/>
        <v>9.0759753593429152E-2</v>
      </c>
      <c r="M185" s="9" t="s">
        <v>360</v>
      </c>
      <c r="N185" s="11" t="s">
        <v>18</v>
      </c>
    </row>
    <row r="186" spans="1:14" x14ac:dyDescent="0.2">
      <c r="A186" s="8" t="s">
        <v>257</v>
      </c>
      <c r="B186" s="9" t="s">
        <v>14</v>
      </c>
      <c r="C186" s="10">
        <v>45672</v>
      </c>
      <c r="D186" s="9" t="s">
        <v>15</v>
      </c>
      <c r="E186" s="9" t="s">
        <v>16</v>
      </c>
      <c r="F186" s="9">
        <v>802</v>
      </c>
      <c r="G186" s="9">
        <v>262</v>
      </c>
      <c r="H186" s="9">
        <v>244</v>
      </c>
      <c r="I186" s="9">
        <v>14436</v>
      </c>
      <c r="J186" s="9">
        <v>14280</v>
      </c>
      <c r="K186" s="9">
        <v>49</v>
      </c>
      <c r="L186" s="19">
        <f t="shared" si="2"/>
        <v>9.0606816292601824E-2</v>
      </c>
      <c r="M186" s="9" t="s">
        <v>34</v>
      </c>
      <c r="N186" s="11" t="s">
        <v>18</v>
      </c>
    </row>
    <row r="187" spans="1:14" x14ac:dyDescent="0.2">
      <c r="A187" s="12" t="s">
        <v>236</v>
      </c>
      <c r="B187" s="13" t="s">
        <v>27</v>
      </c>
      <c r="C187" s="14">
        <v>45629</v>
      </c>
      <c r="D187" s="13" t="s">
        <v>21</v>
      </c>
      <c r="E187" s="13" t="s">
        <v>75</v>
      </c>
      <c r="F187" s="13">
        <v>3711</v>
      </c>
      <c r="G187" s="13">
        <v>352</v>
      </c>
      <c r="H187" s="13">
        <v>290</v>
      </c>
      <c r="I187" s="13">
        <v>48243</v>
      </c>
      <c r="J187" s="13">
        <v>47579</v>
      </c>
      <c r="K187" s="13">
        <v>11</v>
      </c>
      <c r="L187" s="19">
        <f t="shared" si="2"/>
        <v>9.023070704558174E-2</v>
      </c>
      <c r="M187" s="13" t="s">
        <v>23</v>
      </c>
      <c r="N187" s="15" t="s">
        <v>18</v>
      </c>
    </row>
    <row r="188" spans="1:14" x14ac:dyDescent="0.2">
      <c r="A188" s="12" t="s">
        <v>73</v>
      </c>
      <c r="B188" s="13" t="s">
        <v>27</v>
      </c>
      <c r="C188" s="14">
        <v>45752</v>
      </c>
      <c r="D188" s="13" t="s">
        <v>15</v>
      </c>
      <c r="E188" s="13" t="s">
        <v>28</v>
      </c>
      <c r="F188" s="13">
        <v>3009</v>
      </c>
      <c r="G188" s="13">
        <v>413</v>
      </c>
      <c r="H188" s="13">
        <v>358</v>
      </c>
      <c r="I188" s="13">
        <v>42126</v>
      </c>
      <c r="J188" s="13">
        <v>41309</v>
      </c>
      <c r="K188" s="13">
        <v>211</v>
      </c>
      <c r="L188" s="19">
        <f t="shared" si="2"/>
        <v>8.9730807577268201E-2</v>
      </c>
      <c r="M188" s="13" t="s">
        <v>17</v>
      </c>
      <c r="N188" s="15" t="s">
        <v>24</v>
      </c>
    </row>
    <row r="189" spans="1:14" x14ac:dyDescent="0.2">
      <c r="A189" s="12" t="s">
        <v>185</v>
      </c>
      <c r="B189" s="13" t="s">
        <v>27</v>
      </c>
      <c r="C189" s="14">
        <v>45564</v>
      </c>
      <c r="D189" s="13" t="s">
        <v>15</v>
      </c>
      <c r="E189" s="13" t="s">
        <v>28</v>
      </c>
      <c r="F189" s="13">
        <v>2936</v>
      </c>
      <c r="G189" s="13">
        <v>439</v>
      </c>
      <c r="H189" s="13">
        <v>44</v>
      </c>
      <c r="I189" s="13">
        <v>38168</v>
      </c>
      <c r="J189" s="13">
        <v>37571</v>
      </c>
      <c r="K189" s="13">
        <v>22</v>
      </c>
      <c r="L189" s="19">
        <f t="shared" si="2"/>
        <v>8.9577656675749323E-2</v>
      </c>
      <c r="M189" s="13" t="s">
        <v>34</v>
      </c>
      <c r="N189" s="15" t="s">
        <v>35</v>
      </c>
    </row>
    <row r="190" spans="1:14" x14ac:dyDescent="0.2">
      <c r="A190" s="8" t="s">
        <v>132</v>
      </c>
      <c r="B190" s="9" t="s">
        <v>31</v>
      </c>
      <c r="C190" s="10">
        <v>45574</v>
      </c>
      <c r="D190" s="9" t="s">
        <v>39</v>
      </c>
      <c r="E190" s="9" t="s">
        <v>67</v>
      </c>
      <c r="F190" s="9">
        <v>3068</v>
      </c>
      <c r="G190" s="9">
        <v>137</v>
      </c>
      <c r="H190" s="9">
        <v>329</v>
      </c>
      <c r="I190" s="9">
        <v>39884</v>
      </c>
      <c r="J190" s="9">
        <v>39404</v>
      </c>
      <c r="K190" s="9">
        <v>266</v>
      </c>
      <c r="L190" s="19">
        <f t="shared" si="2"/>
        <v>8.860696018453515E-2</v>
      </c>
      <c r="M190" s="9" t="s">
        <v>34</v>
      </c>
      <c r="N190" s="11" t="s">
        <v>24</v>
      </c>
    </row>
    <row r="191" spans="1:14" x14ac:dyDescent="0.2">
      <c r="A191" s="12" t="s">
        <v>125</v>
      </c>
      <c r="B191" s="13" t="s">
        <v>27</v>
      </c>
      <c r="C191" s="14">
        <v>45719</v>
      </c>
      <c r="D191" s="13" t="s">
        <v>15</v>
      </c>
      <c r="E191" s="13" t="s">
        <v>28</v>
      </c>
      <c r="F191" s="13">
        <v>296</v>
      </c>
      <c r="G191" s="13">
        <v>60</v>
      </c>
      <c r="H191" s="13">
        <v>141</v>
      </c>
      <c r="I191" s="13">
        <v>5624</v>
      </c>
      <c r="J191" s="13">
        <v>5239</v>
      </c>
      <c r="K191" s="13">
        <v>88</v>
      </c>
      <c r="L191" s="19">
        <f t="shared" si="2"/>
        <v>8.837126600284495E-2</v>
      </c>
      <c r="M191" s="13" t="s">
        <v>34</v>
      </c>
      <c r="N191" s="15" t="s">
        <v>24</v>
      </c>
    </row>
    <row r="192" spans="1:14" x14ac:dyDescent="0.2">
      <c r="A192" s="8" t="s">
        <v>46</v>
      </c>
      <c r="B192" s="9" t="s">
        <v>38</v>
      </c>
      <c r="C192" s="10">
        <v>45534</v>
      </c>
      <c r="D192" s="9" t="s">
        <v>21</v>
      </c>
      <c r="E192" s="9" t="s">
        <v>47</v>
      </c>
      <c r="F192" s="9">
        <v>3784</v>
      </c>
      <c r="G192" s="9">
        <v>808</v>
      </c>
      <c r="H192" s="9">
        <v>404</v>
      </c>
      <c r="I192" s="9">
        <v>56760</v>
      </c>
      <c r="J192" s="9">
        <v>56343</v>
      </c>
      <c r="K192" s="9">
        <v>131</v>
      </c>
      <c r="L192" s="19">
        <f t="shared" si="2"/>
        <v>8.8019732205778717E-2</v>
      </c>
      <c r="M192" s="9" t="s">
        <v>23</v>
      </c>
      <c r="N192" s="11" t="s">
        <v>24</v>
      </c>
    </row>
    <row r="193" spans="1:14" x14ac:dyDescent="0.2">
      <c r="A193" s="12" t="s">
        <v>316</v>
      </c>
      <c r="B193" s="13" t="s">
        <v>31</v>
      </c>
      <c r="C193" s="14">
        <v>45700</v>
      </c>
      <c r="D193" s="13" t="s">
        <v>32</v>
      </c>
      <c r="E193" s="13" t="s">
        <v>33</v>
      </c>
      <c r="F193" s="13">
        <v>4332</v>
      </c>
      <c r="G193" s="13">
        <v>771</v>
      </c>
      <c r="H193" s="13">
        <v>219</v>
      </c>
      <c r="I193" s="13">
        <v>60648</v>
      </c>
      <c r="J193" s="13">
        <v>60397</v>
      </c>
      <c r="K193" s="13">
        <v>10</v>
      </c>
      <c r="L193" s="19">
        <f t="shared" si="2"/>
        <v>8.7752275425405618E-2</v>
      </c>
      <c r="M193" s="13" t="s">
        <v>374</v>
      </c>
      <c r="N193" s="15" t="s">
        <v>29</v>
      </c>
    </row>
    <row r="194" spans="1:14" x14ac:dyDescent="0.2">
      <c r="A194" s="8" t="s">
        <v>305</v>
      </c>
      <c r="B194" s="9" t="s">
        <v>14</v>
      </c>
      <c r="C194" s="10">
        <v>45491</v>
      </c>
      <c r="D194" s="9" t="s">
        <v>44</v>
      </c>
      <c r="E194" s="9" t="s">
        <v>90</v>
      </c>
      <c r="F194" s="9">
        <v>827</v>
      </c>
      <c r="G194" s="9">
        <v>77</v>
      </c>
      <c r="H194" s="9">
        <v>402</v>
      </c>
      <c r="I194" s="9">
        <v>14886</v>
      </c>
      <c r="J194" s="9">
        <v>14129</v>
      </c>
      <c r="K194" s="9">
        <v>254</v>
      </c>
      <c r="L194" s="19">
        <f t="shared" ref="L194:L257" si="3">(F194+G194+H194)/I194</f>
        <v>8.7733440816874911E-2</v>
      </c>
      <c r="M194" s="9" t="s">
        <v>34</v>
      </c>
      <c r="N194" s="11" t="s">
        <v>24</v>
      </c>
    </row>
    <row r="195" spans="1:14" x14ac:dyDescent="0.2">
      <c r="A195" s="8" t="s">
        <v>152</v>
      </c>
      <c r="B195" s="9" t="s">
        <v>31</v>
      </c>
      <c r="C195" s="10">
        <v>45517</v>
      </c>
      <c r="D195" s="9" t="s">
        <v>44</v>
      </c>
      <c r="E195" s="9" t="s">
        <v>136</v>
      </c>
      <c r="F195" s="9">
        <v>4739</v>
      </c>
      <c r="G195" s="9">
        <v>527</v>
      </c>
      <c r="H195" s="9">
        <v>135</v>
      </c>
      <c r="I195" s="9">
        <v>61607</v>
      </c>
      <c r="J195" s="9">
        <v>61333</v>
      </c>
      <c r="K195" s="9">
        <v>36</v>
      </c>
      <c r="L195" s="19">
        <f t="shared" si="3"/>
        <v>8.7668609086629767E-2</v>
      </c>
      <c r="M195" s="9" t="s">
        <v>363</v>
      </c>
      <c r="N195" s="11" t="s">
        <v>24</v>
      </c>
    </row>
    <row r="196" spans="1:14" x14ac:dyDescent="0.2">
      <c r="A196" s="8" t="s">
        <v>309</v>
      </c>
      <c r="B196" s="9" t="s">
        <v>14</v>
      </c>
      <c r="C196" s="10">
        <v>45507</v>
      </c>
      <c r="D196" s="9" t="s">
        <v>15</v>
      </c>
      <c r="E196" s="9" t="s">
        <v>16</v>
      </c>
      <c r="F196" s="9">
        <v>3791</v>
      </c>
      <c r="G196" s="9">
        <v>593</v>
      </c>
      <c r="H196" s="9">
        <v>228</v>
      </c>
      <c r="I196" s="9">
        <v>53074</v>
      </c>
      <c r="J196" s="9">
        <v>52613</v>
      </c>
      <c r="K196" s="9">
        <v>205</v>
      </c>
      <c r="L196" s="19">
        <f t="shared" si="3"/>
        <v>8.6897539284772202E-2</v>
      </c>
      <c r="M196" s="9" t="s">
        <v>34</v>
      </c>
      <c r="N196" s="11"/>
    </row>
    <row r="197" spans="1:14" x14ac:dyDescent="0.2">
      <c r="A197" s="12" t="s">
        <v>139</v>
      </c>
      <c r="B197" s="13" t="s">
        <v>38</v>
      </c>
      <c r="C197" s="14">
        <v>45635</v>
      </c>
      <c r="D197" s="13" t="s">
        <v>44</v>
      </c>
      <c r="E197" s="13" t="s">
        <v>49</v>
      </c>
      <c r="F197" s="13">
        <v>1841</v>
      </c>
      <c r="G197" s="13">
        <v>851</v>
      </c>
      <c r="H197" s="13">
        <v>342</v>
      </c>
      <c r="I197" s="13">
        <v>34979</v>
      </c>
      <c r="J197" s="13">
        <v>34154</v>
      </c>
      <c r="K197" s="13">
        <v>255</v>
      </c>
      <c r="L197" s="19">
        <f t="shared" si="3"/>
        <v>8.6737756939878216E-2</v>
      </c>
      <c r="M197" s="13" t="s">
        <v>17</v>
      </c>
      <c r="N197" s="15" t="s">
        <v>35</v>
      </c>
    </row>
    <row r="198" spans="1:14" x14ac:dyDescent="0.2">
      <c r="A198" s="12" t="s">
        <v>218</v>
      </c>
      <c r="B198" s="13" t="s">
        <v>38</v>
      </c>
      <c r="C198" s="14">
        <v>45748</v>
      </c>
      <c r="D198" s="13" t="s">
        <v>32</v>
      </c>
      <c r="E198" s="13" t="s">
        <v>56</v>
      </c>
      <c r="F198" s="13">
        <v>3430</v>
      </c>
      <c r="G198" s="13">
        <v>566</v>
      </c>
      <c r="H198" s="13">
        <v>164</v>
      </c>
      <c r="I198" s="13">
        <v>48020</v>
      </c>
      <c r="J198" s="13">
        <v>47305</v>
      </c>
      <c r="K198" s="13">
        <v>120</v>
      </c>
      <c r="L198" s="19">
        <f t="shared" si="3"/>
        <v>8.6630570595585168E-2</v>
      </c>
      <c r="M198" s="13" t="s">
        <v>17</v>
      </c>
      <c r="N198" s="15"/>
    </row>
    <row r="199" spans="1:14" x14ac:dyDescent="0.2">
      <c r="A199" s="12" t="s">
        <v>264</v>
      </c>
      <c r="B199" s="13" t="s">
        <v>27</v>
      </c>
      <c r="C199" s="14">
        <v>45467</v>
      </c>
      <c r="D199" s="13" t="s">
        <v>58</v>
      </c>
      <c r="E199" s="13" t="s">
        <v>138</v>
      </c>
      <c r="F199" s="13">
        <v>2949</v>
      </c>
      <c r="G199" s="13">
        <v>476</v>
      </c>
      <c r="H199" s="13">
        <v>403</v>
      </c>
      <c r="I199" s="13">
        <v>44235</v>
      </c>
      <c r="J199" s="13">
        <v>43705</v>
      </c>
      <c r="K199" s="13">
        <v>135</v>
      </c>
      <c r="L199" s="19">
        <f t="shared" si="3"/>
        <v>8.6537809426924378E-2</v>
      </c>
      <c r="M199" s="13" t="s">
        <v>23</v>
      </c>
      <c r="N199" s="15" t="s">
        <v>24</v>
      </c>
    </row>
    <row r="200" spans="1:14" x14ac:dyDescent="0.2">
      <c r="A200" s="12" t="s">
        <v>296</v>
      </c>
      <c r="B200" s="13" t="s">
        <v>14</v>
      </c>
      <c r="C200" s="14">
        <v>45530</v>
      </c>
      <c r="D200" s="13" t="s">
        <v>39</v>
      </c>
      <c r="E200" s="13" t="s">
        <v>42</v>
      </c>
      <c r="F200" s="13">
        <v>929</v>
      </c>
      <c r="G200" s="13">
        <v>192</v>
      </c>
      <c r="H200" s="13">
        <v>322</v>
      </c>
      <c r="I200" s="13">
        <v>16722</v>
      </c>
      <c r="J200" s="13">
        <v>15996</v>
      </c>
      <c r="K200" s="13">
        <v>145</v>
      </c>
      <c r="L200" s="19">
        <f t="shared" si="3"/>
        <v>8.6293505561535699E-2</v>
      </c>
      <c r="M200" s="13" t="s">
        <v>365</v>
      </c>
      <c r="N200" s="15" t="s">
        <v>29</v>
      </c>
    </row>
    <row r="201" spans="1:14" x14ac:dyDescent="0.2">
      <c r="A201" s="8" t="s">
        <v>287</v>
      </c>
      <c r="B201" s="9" t="s">
        <v>31</v>
      </c>
      <c r="C201" s="10">
        <v>45778</v>
      </c>
      <c r="D201" s="9" t="s">
        <v>21</v>
      </c>
      <c r="E201" s="9" t="s">
        <v>80</v>
      </c>
      <c r="F201" s="9">
        <v>1430</v>
      </c>
      <c r="G201" s="9">
        <v>376</v>
      </c>
      <c r="H201" s="9">
        <v>33</v>
      </c>
      <c r="I201" s="9">
        <v>21450</v>
      </c>
      <c r="J201" s="9">
        <v>20509</v>
      </c>
      <c r="K201" s="9">
        <v>251</v>
      </c>
      <c r="L201" s="19">
        <f t="shared" si="3"/>
        <v>8.5734265734265735E-2</v>
      </c>
      <c r="M201" s="9" t="s">
        <v>17</v>
      </c>
      <c r="N201" s="11" t="s">
        <v>18</v>
      </c>
    </row>
    <row r="202" spans="1:14" x14ac:dyDescent="0.2">
      <c r="A202" s="12" t="s">
        <v>161</v>
      </c>
      <c r="B202" s="13" t="s">
        <v>31</v>
      </c>
      <c r="C202" s="14">
        <v>45692</v>
      </c>
      <c r="D202" s="13" t="s">
        <v>44</v>
      </c>
      <c r="E202" s="13" t="s">
        <v>136</v>
      </c>
      <c r="F202" s="13">
        <v>4619</v>
      </c>
      <c r="G202" s="13">
        <v>821</v>
      </c>
      <c r="H202" s="13">
        <v>499</v>
      </c>
      <c r="I202" s="13">
        <v>69285</v>
      </c>
      <c r="J202" s="13">
        <v>69141</v>
      </c>
      <c r="K202" s="13">
        <v>298</v>
      </c>
      <c r="L202" s="19">
        <f t="shared" si="3"/>
        <v>8.5718409468138843E-2</v>
      </c>
      <c r="M202" s="13" t="s">
        <v>23</v>
      </c>
      <c r="N202" s="15" t="s">
        <v>35</v>
      </c>
    </row>
    <row r="203" spans="1:14" x14ac:dyDescent="0.2">
      <c r="A203" s="12" t="s">
        <v>135</v>
      </c>
      <c r="B203" s="13" t="s">
        <v>31</v>
      </c>
      <c r="C203" s="14">
        <v>45497</v>
      </c>
      <c r="D203" s="13" t="s">
        <v>44</v>
      </c>
      <c r="E203" s="13" t="s">
        <v>136</v>
      </c>
      <c r="F203" s="13">
        <v>725</v>
      </c>
      <c r="G203" s="13">
        <v>88</v>
      </c>
      <c r="H203" s="13">
        <v>428</v>
      </c>
      <c r="I203" s="13">
        <v>14500</v>
      </c>
      <c r="J203" s="13">
        <v>13637</v>
      </c>
      <c r="K203" s="13">
        <v>200</v>
      </c>
      <c r="L203" s="19">
        <f t="shared" si="3"/>
        <v>8.558620689655172E-2</v>
      </c>
      <c r="M203" s="13" t="s">
        <v>366</v>
      </c>
      <c r="N203" s="15" t="s">
        <v>29</v>
      </c>
    </row>
    <row r="204" spans="1:14" x14ac:dyDescent="0.2">
      <c r="A204" s="8" t="s">
        <v>255</v>
      </c>
      <c r="B204" s="9" t="s">
        <v>27</v>
      </c>
      <c r="C204" s="10">
        <v>45626</v>
      </c>
      <c r="D204" s="9" t="s">
        <v>39</v>
      </c>
      <c r="E204" s="9" t="s">
        <v>54</v>
      </c>
      <c r="F204" s="9">
        <v>2509</v>
      </c>
      <c r="G204" s="9">
        <v>324</v>
      </c>
      <c r="H204" s="9">
        <v>171</v>
      </c>
      <c r="I204" s="9">
        <v>35126</v>
      </c>
      <c r="J204" s="9">
        <v>34685</v>
      </c>
      <c r="K204" s="9">
        <v>277</v>
      </c>
      <c r="L204" s="19">
        <f t="shared" si="3"/>
        <v>8.5520696919660646E-2</v>
      </c>
      <c r="M204" s="9" t="s">
        <v>23</v>
      </c>
      <c r="N204" s="11" t="s">
        <v>24</v>
      </c>
    </row>
    <row r="205" spans="1:14" x14ac:dyDescent="0.2">
      <c r="A205" s="12" t="s">
        <v>244</v>
      </c>
      <c r="B205" s="13" t="s">
        <v>27</v>
      </c>
      <c r="C205" s="14">
        <v>45449</v>
      </c>
      <c r="D205" s="13" t="s">
        <v>15</v>
      </c>
      <c r="E205" s="13" t="s">
        <v>28</v>
      </c>
      <c r="F205" s="13">
        <v>2728</v>
      </c>
      <c r="G205" s="13">
        <v>533</v>
      </c>
      <c r="H205" s="13">
        <v>215</v>
      </c>
      <c r="I205" s="13">
        <v>40920</v>
      </c>
      <c r="J205" s="13">
        <v>40816</v>
      </c>
      <c r="K205" s="13">
        <v>137</v>
      </c>
      <c r="L205" s="19">
        <f t="shared" si="3"/>
        <v>8.4946236559139784E-2</v>
      </c>
      <c r="M205" s="13" t="s">
        <v>17</v>
      </c>
      <c r="N205" s="15" t="s">
        <v>24</v>
      </c>
    </row>
    <row r="206" spans="1:14" x14ac:dyDescent="0.2">
      <c r="A206" s="12" t="s">
        <v>242</v>
      </c>
      <c r="B206" s="13" t="s">
        <v>38</v>
      </c>
      <c r="C206" s="14">
        <v>45528</v>
      </c>
      <c r="D206" s="13" t="s">
        <v>39</v>
      </c>
      <c r="E206" s="13" t="s">
        <v>40</v>
      </c>
      <c r="F206" s="13">
        <v>4292</v>
      </c>
      <c r="G206" s="13">
        <v>51</v>
      </c>
      <c r="H206" s="13">
        <v>392</v>
      </c>
      <c r="I206" s="13">
        <v>55796</v>
      </c>
      <c r="J206" s="13">
        <v>54826</v>
      </c>
      <c r="K206" s="13">
        <v>264</v>
      </c>
      <c r="L206" s="19">
        <f t="shared" si="3"/>
        <v>8.4862714173059003E-2</v>
      </c>
      <c r="M206" s="13" t="s">
        <v>34</v>
      </c>
      <c r="N206" s="15" t="s">
        <v>29</v>
      </c>
    </row>
    <row r="207" spans="1:14" x14ac:dyDescent="0.2">
      <c r="A207" s="12" t="s">
        <v>250</v>
      </c>
      <c r="B207" s="13" t="s">
        <v>27</v>
      </c>
      <c r="C207" s="14">
        <v>45567</v>
      </c>
      <c r="D207" s="13" t="s">
        <v>32</v>
      </c>
      <c r="E207" s="13" t="s">
        <v>103</v>
      </c>
      <c r="F207" s="13">
        <v>4350</v>
      </c>
      <c r="G207" s="13">
        <v>771</v>
      </c>
      <c r="H207" s="13">
        <v>7</v>
      </c>
      <c r="I207" s="13">
        <v>60900</v>
      </c>
      <c r="J207" s="13">
        <v>60592</v>
      </c>
      <c r="K207" s="13">
        <v>195</v>
      </c>
      <c r="L207" s="19">
        <f t="shared" si="3"/>
        <v>8.4203612479474554E-2</v>
      </c>
      <c r="M207" s="13" t="s">
        <v>34</v>
      </c>
      <c r="N207" s="15" t="s">
        <v>18</v>
      </c>
    </row>
    <row r="208" spans="1:14" x14ac:dyDescent="0.2">
      <c r="A208" s="12" t="s">
        <v>324</v>
      </c>
      <c r="B208" s="13" t="s">
        <v>31</v>
      </c>
      <c r="C208" s="14">
        <v>45760</v>
      </c>
      <c r="D208" s="13" t="s">
        <v>15</v>
      </c>
      <c r="E208" s="13" t="s">
        <v>63</v>
      </c>
      <c r="F208" s="13">
        <v>4579</v>
      </c>
      <c r="G208" s="13">
        <v>125</v>
      </c>
      <c r="H208" s="13">
        <v>300</v>
      </c>
      <c r="I208" s="13">
        <v>59527</v>
      </c>
      <c r="J208" s="13">
        <v>59400</v>
      </c>
      <c r="K208" s="13">
        <v>269</v>
      </c>
      <c r="L208" s="19">
        <f t="shared" si="3"/>
        <v>8.4062694239588759E-2</v>
      </c>
      <c r="M208" s="13" t="s">
        <v>34</v>
      </c>
      <c r="N208" s="15" t="s">
        <v>18</v>
      </c>
    </row>
    <row r="209" spans="1:14" x14ac:dyDescent="0.2">
      <c r="A209" s="12" t="s">
        <v>346</v>
      </c>
      <c r="B209" s="13" t="s">
        <v>31</v>
      </c>
      <c r="C209" s="14">
        <v>45646</v>
      </c>
      <c r="D209" s="13" t="s">
        <v>39</v>
      </c>
      <c r="E209" s="13" t="s">
        <v>67</v>
      </c>
      <c r="F209" s="13">
        <v>2107</v>
      </c>
      <c r="G209" s="13">
        <v>550</v>
      </c>
      <c r="H209" s="13">
        <v>349</v>
      </c>
      <c r="I209" s="13">
        <v>35819</v>
      </c>
      <c r="J209" s="13">
        <v>35340</v>
      </c>
      <c r="K209" s="13">
        <v>191</v>
      </c>
      <c r="L209" s="19">
        <f t="shared" si="3"/>
        <v>8.3921940869371006E-2</v>
      </c>
      <c r="M209" s="13" t="s">
        <v>34</v>
      </c>
      <c r="N209" s="15" t="s">
        <v>35</v>
      </c>
    </row>
    <row r="210" spans="1:14" x14ac:dyDescent="0.2">
      <c r="A210" s="8" t="s">
        <v>243</v>
      </c>
      <c r="B210" s="9" t="s">
        <v>14</v>
      </c>
      <c r="C210" s="10">
        <v>45648</v>
      </c>
      <c r="D210" s="9" t="s">
        <v>15</v>
      </c>
      <c r="E210" s="9" t="s">
        <v>16</v>
      </c>
      <c r="F210" s="9">
        <v>1644</v>
      </c>
      <c r="G210" s="9">
        <v>546</v>
      </c>
      <c r="H210" s="9">
        <v>150</v>
      </c>
      <c r="I210" s="9">
        <v>27948</v>
      </c>
      <c r="J210" s="9">
        <v>27184</v>
      </c>
      <c r="K210" s="9">
        <v>300</v>
      </c>
      <c r="L210" s="19">
        <f t="shared" si="3"/>
        <v>8.3726921425504502E-2</v>
      </c>
      <c r="M210" s="9" t="s">
        <v>34</v>
      </c>
      <c r="N210" s="11" t="s">
        <v>29</v>
      </c>
    </row>
    <row r="211" spans="1:14" x14ac:dyDescent="0.2">
      <c r="A211" s="12" t="s">
        <v>356</v>
      </c>
      <c r="B211" s="13" t="s">
        <v>14</v>
      </c>
      <c r="C211" s="14">
        <v>45535</v>
      </c>
      <c r="D211" s="13" t="s">
        <v>39</v>
      </c>
      <c r="E211" s="13" t="s">
        <v>42</v>
      </c>
      <c r="F211" s="13">
        <v>4494</v>
      </c>
      <c r="G211" s="13">
        <v>717</v>
      </c>
      <c r="H211" s="13">
        <v>45</v>
      </c>
      <c r="I211" s="13">
        <v>62916</v>
      </c>
      <c r="J211" s="13">
        <v>62688</v>
      </c>
      <c r="K211" s="13">
        <v>191</v>
      </c>
      <c r="L211" s="19">
        <f t="shared" si="3"/>
        <v>8.3539958039290485E-2</v>
      </c>
      <c r="M211" s="13" t="s">
        <v>374</v>
      </c>
      <c r="N211" s="15" t="s">
        <v>18</v>
      </c>
    </row>
    <row r="212" spans="1:14" x14ac:dyDescent="0.2">
      <c r="A212" s="12" t="s">
        <v>336</v>
      </c>
      <c r="B212" s="13" t="s">
        <v>27</v>
      </c>
      <c r="C212" s="14">
        <v>45586</v>
      </c>
      <c r="D212" s="13" t="s">
        <v>58</v>
      </c>
      <c r="E212" s="13" t="s">
        <v>138</v>
      </c>
      <c r="F212" s="13">
        <v>4275</v>
      </c>
      <c r="G212" s="13">
        <v>680</v>
      </c>
      <c r="H212" s="13">
        <v>385</v>
      </c>
      <c r="I212" s="13">
        <v>64125</v>
      </c>
      <c r="J212" s="13">
        <v>63650</v>
      </c>
      <c r="K212" s="13">
        <v>104</v>
      </c>
      <c r="L212" s="19">
        <f t="shared" si="3"/>
        <v>8.3274853801169585E-2</v>
      </c>
      <c r="M212" s="13" t="s">
        <v>365</v>
      </c>
      <c r="N212" s="15" t="s">
        <v>35</v>
      </c>
    </row>
    <row r="213" spans="1:14" x14ac:dyDescent="0.2">
      <c r="A213" s="8" t="s">
        <v>317</v>
      </c>
      <c r="B213" s="9" t="s">
        <v>31</v>
      </c>
      <c r="C213" s="10">
        <v>45592</v>
      </c>
      <c r="D213" s="9" t="s">
        <v>44</v>
      </c>
      <c r="E213" s="9" t="s">
        <v>136</v>
      </c>
      <c r="F213" s="9">
        <v>4853</v>
      </c>
      <c r="G213" s="9">
        <v>837</v>
      </c>
      <c r="H213" s="9">
        <v>340</v>
      </c>
      <c r="I213" s="9">
        <v>72795</v>
      </c>
      <c r="J213" s="9">
        <v>72237</v>
      </c>
      <c r="K213" s="9">
        <v>170</v>
      </c>
      <c r="L213" s="19">
        <f t="shared" si="3"/>
        <v>8.2835359571399134E-2</v>
      </c>
      <c r="M213" s="9" t="s">
        <v>34</v>
      </c>
      <c r="N213" s="11" t="s">
        <v>18</v>
      </c>
    </row>
    <row r="214" spans="1:14" x14ac:dyDescent="0.2">
      <c r="A214" s="8" t="s">
        <v>265</v>
      </c>
      <c r="B214" s="9" t="s">
        <v>14</v>
      </c>
      <c r="C214" s="10">
        <v>45735</v>
      </c>
      <c r="D214" s="9" t="s">
        <v>58</v>
      </c>
      <c r="E214" s="9" t="s">
        <v>97</v>
      </c>
      <c r="F214" s="9">
        <v>3160</v>
      </c>
      <c r="G214" s="9">
        <v>204</v>
      </c>
      <c r="H214" s="9">
        <v>297</v>
      </c>
      <c r="I214" s="9">
        <v>44240</v>
      </c>
      <c r="J214" s="9">
        <v>43666</v>
      </c>
      <c r="K214" s="9">
        <v>49</v>
      </c>
      <c r="L214" s="19">
        <f t="shared" si="3"/>
        <v>8.2753164556962022E-2</v>
      </c>
      <c r="M214" s="9" t="s">
        <v>360</v>
      </c>
      <c r="N214" s="11" t="s">
        <v>35</v>
      </c>
    </row>
    <row r="215" spans="1:14" x14ac:dyDescent="0.2">
      <c r="A215" s="8" t="s">
        <v>269</v>
      </c>
      <c r="B215" s="9" t="s">
        <v>38</v>
      </c>
      <c r="C215" s="10">
        <v>45778</v>
      </c>
      <c r="D215" s="9" t="s">
        <v>39</v>
      </c>
      <c r="E215" s="9" t="s">
        <v>40</v>
      </c>
      <c r="F215" s="9">
        <v>2696</v>
      </c>
      <c r="G215" s="9">
        <v>628</v>
      </c>
      <c r="H215" s="9">
        <v>443</v>
      </c>
      <c r="I215" s="9">
        <v>45832</v>
      </c>
      <c r="J215" s="9">
        <v>45632</v>
      </c>
      <c r="K215" s="9">
        <v>248</v>
      </c>
      <c r="L215" s="19">
        <f t="shared" si="3"/>
        <v>8.21914819340199E-2</v>
      </c>
      <c r="M215" s="9" t="s">
        <v>34</v>
      </c>
      <c r="N215" s="11" t="s">
        <v>35</v>
      </c>
    </row>
    <row r="216" spans="1:14" x14ac:dyDescent="0.2">
      <c r="A216" s="12" t="s">
        <v>258</v>
      </c>
      <c r="B216" s="13" t="s">
        <v>38</v>
      </c>
      <c r="C216" s="14">
        <v>45445</v>
      </c>
      <c r="D216" s="13" t="s">
        <v>44</v>
      </c>
      <c r="E216" s="13" t="s">
        <v>49</v>
      </c>
      <c r="F216" s="13">
        <v>1871</v>
      </c>
      <c r="G216" s="13">
        <v>252</v>
      </c>
      <c r="H216" s="13">
        <v>335</v>
      </c>
      <c r="I216" s="13">
        <v>29936</v>
      </c>
      <c r="J216" s="13">
        <v>29576</v>
      </c>
      <c r="K216" s="13">
        <v>288</v>
      </c>
      <c r="L216" s="19">
        <f t="shared" si="3"/>
        <v>8.2108498129342594E-2</v>
      </c>
      <c r="M216" s="13" t="s">
        <v>34</v>
      </c>
      <c r="N216" s="15" t="s">
        <v>29</v>
      </c>
    </row>
    <row r="217" spans="1:14" x14ac:dyDescent="0.2">
      <c r="A217" s="12" t="s">
        <v>131</v>
      </c>
      <c r="B217" s="13" t="s">
        <v>14</v>
      </c>
      <c r="C217" s="14">
        <v>45460</v>
      </c>
      <c r="D217" s="13" t="s">
        <v>44</v>
      </c>
      <c r="E217" s="13" t="s">
        <v>90</v>
      </c>
      <c r="F217" s="13">
        <v>954</v>
      </c>
      <c r="G217" s="13">
        <v>324</v>
      </c>
      <c r="H217" s="13">
        <v>288</v>
      </c>
      <c r="I217" s="13">
        <v>19080</v>
      </c>
      <c r="J217" s="13">
        <v>18859</v>
      </c>
      <c r="K217" s="13">
        <v>21</v>
      </c>
      <c r="L217" s="19">
        <f t="shared" si="3"/>
        <v>8.2075471698113203E-2</v>
      </c>
      <c r="M217" s="13" t="s">
        <v>17</v>
      </c>
      <c r="N217" s="15" t="s">
        <v>35</v>
      </c>
    </row>
    <row r="218" spans="1:14" x14ac:dyDescent="0.2">
      <c r="A218" s="12" t="s">
        <v>117</v>
      </c>
      <c r="B218" s="13" t="s">
        <v>38</v>
      </c>
      <c r="C218" s="14">
        <v>45521</v>
      </c>
      <c r="D218" s="13" t="s">
        <v>44</v>
      </c>
      <c r="E218" s="13" t="s">
        <v>49</v>
      </c>
      <c r="F218" s="13">
        <v>2878</v>
      </c>
      <c r="G218" s="13">
        <v>248</v>
      </c>
      <c r="H218" s="13">
        <v>416</v>
      </c>
      <c r="I218" s="13">
        <v>43170</v>
      </c>
      <c r="J218" s="13">
        <v>42667</v>
      </c>
      <c r="K218" s="13">
        <v>75</v>
      </c>
      <c r="L218" s="19">
        <f t="shared" si="3"/>
        <v>8.2047718322909427E-2</v>
      </c>
      <c r="M218" s="13" t="s">
        <v>17</v>
      </c>
      <c r="N218" s="15" t="s">
        <v>29</v>
      </c>
    </row>
    <row r="219" spans="1:14" x14ac:dyDescent="0.2">
      <c r="A219" s="12" t="s">
        <v>284</v>
      </c>
      <c r="B219" s="13" t="s">
        <v>31</v>
      </c>
      <c r="C219" s="14">
        <v>45474</v>
      </c>
      <c r="D219" s="13" t="s">
        <v>32</v>
      </c>
      <c r="E219" s="13" t="s">
        <v>33</v>
      </c>
      <c r="F219" s="13">
        <v>4808</v>
      </c>
      <c r="G219" s="13">
        <v>772</v>
      </c>
      <c r="H219" s="13">
        <v>320</v>
      </c>
      <c r="I219" s="13">
        <v>72120</v>
      </c>
      <c r="J219" s="13">
        <v>71696</v>
      </c>
      <c r="K219" s="13">
        <v>195</v>
      </c>
      <c r="L219" s="19">
        <f t="shared" si="3"/>
        <v>8.1808097615085965E-2</v>
      </c>
      <c r="M219" s="13" t="s">
        <v>34</v>
      </c>
      <c r="N219" s="15" t="s">
        <v>18</v>
      </c>
    </row>
    <row r="220" spans="1:14" x14ac:dyDescent="0.2">
      <c r="A220" s="12" t="s">
        <v>129</v>
      </c>
      <c r="B220" s="13" t="s">
        <v>14</v>
      </c>
      <c r="C220" s="14">
        <v>45603</v>
      </c>
      <c r="D220" s="13" t="s">
        <v>32</v>
      </c>
      <c r="E220" s="13" t="s">
        <v>100</v>
      </c>
      <c r="F220" s="13">
        <v>1121</v>
      </c>
      <c r="G220" s="13">
        <v>135</v>
      </c>
      <c r="H220" s="13">
        <v>18</v>
      </c>
      <c r="I220" s="13">
        <v>15694</v>
      </c>
      <c r="J220" s="13">
        <v>14957</v>
      </c>
      <c r="K220" s="13">
        <v>99</v>
      </c>
      <c r="L220" s="19">
        <f t="shared" si="3"/>
        <v>8.1177520071364848E-2</v>
      </c>
      <c r="M220" s="13" t="s">
        <v>23</v>
      </c>
      <c r="N220" s="15" t="s">
        <v>35</v>
      </c>
    </row>
    <row r="221" spans="1:14" x14ac:dyDescent="0.2">
      <c r="A221" s="8" t="s">
        <v>110</v>
      </c>
      <c r="B221" s="9" t="s">
        <v>14</v>
      </c>
      <c r="C221" s="10">
        <v>45586</v>
      </c>
      <c r="D221" s="9" t="s">
        <v>58</v>
      </c>
      <c r="E221" s="9" t="s">
        <v>97</v>
      </c>
      <c r="F221" s="9">
        <v>2825</v>
      </c>
      <c r="G221" s="9">
        <v>535</v>
      </c>
      <c r="H221" s="9">
        <v>295</v>
      </c>
      <c r="I221" s="9">
        <v>45200</v>
      </c>
      <c r="J221" s="9">
        <v>44739</v>
      </c>
      <c r="K221" s="9">
        <v>169</v>
      </c>
      <c r="L221" s="19">
        <f t="shared" si="3"/>
        <v>8.0862831858407078E-2</v>
      </c>
      <c r="M221" s="9" t="s">
        <v>23</v>
      </c>
      <c r="N221" s="11" t="s">
        <v>18</v>
      </c>
    </row>
    <row r="222" spans="1:14" x14ac:dyDescent="0.2">
      <c r="A222" s="12" t="s">
        <v>177</v>
      </c>
      <c r="B222" s="13" t="s">
        <v>31</v>
      </c>
      <c r="C222" s="14">
        <v>45567</v>
      </c>
      <c r="D222" s="13" t="s">
        <v>21</v>
      </c>
      <c r="E222" s="13" t="s">
        <v>80</v>
      </c>
      <c r="F222" s="13">
        <v>3432</v>
      </c>
      <c r="G222" s="13">
        <v>869</v>
      </c>
      <c r="H222" s="13">
        <v>123</v>
      </c>
      <c r="I222" s="13">
        <v>54912</v>
      </c>
      <c r="J222" s="13">
        <v>53916</v>
      </c>
      <c r="K222" s="13">
        <v>264</v>
      </c>
      <c r="L222" s="19">
        <f t="shared" si="3"/>
        <v>8.0565268065268064E-2</v>
      </c>
      <c r="M222" s="13" t="s">
        <v>34</v>
      </c>
      <c r="N222" s="15" t="s">
        <v>24</v>
      </c>
    </row>
    <row r="223" spans="1:14" x14ac:dyDescent="0.2">
      <c r="A223" s="12" t="s">
        <v>69</v>
      </c>
      <c r="B223" s="13" t="s">
        <v>38</v>
      </c>
      <c r="C223" s="14">
        <v>45715</v>
      </c>
      <c r="D223" s="13" t="s">
        <v>21</v>
      </c>
      <c r="E223" s="13" t="s">
        <v>47</v>
      </c>
      <c r="F223" s="13">
        <v>1570</v>
      </c>
      <c r="G223" s="13">
        <v>187</v>
      </c>
      <c r="H223" s="13">
        <v>260</v>
      </c>
      <c r="I223" s="13">
        <v>25120</v>
      </c>
      <c r="J223" s="13">
        <v>24613</v>
      </c>
      <c r="K223" s="13">
        <v>133</v>
      </c>
      <c r="L223" s="19">
        <f t="shared" si="3"/>
        <v>8.0294585987261149E-2</v>
      </c>
      <c r="M223" s="13" t="s">
        <v>23</v>
      </c>
      <c r="N223" s="15" t="s">
        <v>35</v>
      </c>
    </row>
    <row r="224" spans="1:14" x14ac:dyDescent="0.2">
      <c r="A224" s="12" t="s">
        <v>173</v>
      </c>
      <c r="B224" s="13" t="s">
        <v>38</v>
      </c>
      <c r="C224" s="14">
        <v>45600</v>
      </c>
      <c r="D224" s="13" t="s">
        <v>44</v>
      </c>
      <c r="E224" s="13" t="s">
        <v>49</v>
      </c>
      <c r="F224" s="13">
        <v>4551</v>
      </c>
      <c r="G224" s="13">
        <v>714</v>
      </c>
      <c r="H224" s="13">
        <v>207</v>
      </c>
      <c r="I224" s="13">
        <v>68265</v>
      </c>
      <c r="J224" s="13">
        <v>67754</v>
      </c>
      <c r="K224" s="13">
        <v>57</v>
      </c>
      <c r="L224" s="19">
        <f t="shared" si="3"/>
        <v>8.0158206987475278E-2</v>
      </c>
      <c r="M224" s="13" t="s">
        <v>17</v>
      </c>
      <c r="N224" s="15" t="s">
        <v>29</v>
      </c>
    </row>
    <row r="225" spans="1:14" x14ac:dyDescent="0.2">
      <c r="A225" s="8" t="s">
        <v>313</v>
      </c>
      <c r="B225" s="9" t="s">
        <v>38</v>
      </c>
      <c r="C225" s="10">
        <v>45753</v>
      </c>
      <c r="D225" s="9" t="s">
        <v>44</v>
      </c>
      <c r="E225" s="9" t="s">
        <v>49</v>
      </c>
      <c r="F225" s="9">
        <v>3090</v>
      </c>
      <c r="G225" s="9">
        <v>697</v>
      </c>
      <c r="H225" s="9">
        <v>164</v>
      </c>
      <c r="I225" s="9">
        <v>49440</v>
      </c>
      <c r="J225" s="9">
        <v>48524</v>
      </c>
      <c r="K225" s="9">
        <v>25</v>
      </c>
      <c r="L225" s="19">
        <f t="shared" si="3"/>
        <v>7.9915048543689318E-2</v>
      </c>
      <c r="M225" s="9" t="s">
        <v>373</v>
      </c>
      <c r="N225" s="11" t="s">
        <v>24</v>
      </c>
    </row>
    <row r="226" spans="1:14" x14ac:dyDescent="0.2">
      <c r="A226" s="8" t="s">
        <v>146</v>
      </c>
      <c r="B226" s="9" t="s">
        <v>38</v>
      </c>
      <c r="C226" s="10">
        <v>45740</v>
      </c>
      <c r="D226" s="9" t="s">
        <v>44</v>
      </c>
      <c r="E226" s="9" t="s">
        <v>49</v>
      </c>
      <c r="F226" s="9">
        <v>1263</v>
      </c>
      <c r="G226" s="9">
        <v>397</v>
      </c>
      <c r="H226" s="9">
        <v>357</v>
      </c>
      <c r="I226" s="9">
        <v>25260</v>
      </c>
      <c r="J226" s="9">
        <v>24615</v>
      </c>
      <c r="K226" s="9">
        <v>137</v>
      </c>
      <c r="L226" s="19">
        <f t="shared" si="3"/>
        <v>7.984956452889945E-2</v>
      </c>
      <c r="M226" s="9" t="s">
        <v>34</v>
      </c>
      <c r="N226" s="11" t="s">
        <v>35</v>
      </c>
    </row>
    <row r="227" spans="1:14" x14ac:dyDescent="0.2">
      <c r="A227" s="12" t="s">
        <v>330</v>
      </c>
      <c r="B227" s="13" t="s">
        <v>14</v>
      </c>
      <c r="C227" s="14">
        <v>45658</v>
      </c>
      <c r="D227" s="13" t="s">
        <v>39</v>
      </c>
      <c r="E227" s="13" t="s">
        <v>42</v>
      </c>
      <c r="F227" s="13">
        <v>3535</v>
      </c>
      <c r="G227" s="13">
        <v>494</v>
      </c>
      <c r="H227" s="13">
        <v>152</v>
      </c>
      <c r="I227" s="13">
        <v>53025</v>
      </c>
      <c r="J227" s="13">
        <v>52791</v>
      </c>
      <c r="K227" s="13">
        <v>44</v>
      </c>
      <c r="L227" s="19">
        <f t="shared" si="3"/>
        <v>7.8849599245638849E-2</v>
      </c>
      <c r="M227" s="13" t="s">
        <v>23</v>
      </c>
      <c r="N227" s="15" t="s">
        <v>35</v>
      </c>
    </row>
    <row r="228" spans="1:14" x14ac:dyDescent="0.2">
      <c r="A228" s="8" t="s">
        <v>104</v>
      </c>
      <c r="B228" s="9" t="s">
        <v>38</v>
      </c>
      <c r="C228" s="10">
        <v>45456</v>
      </c>
      <c r="D228" s="9" t="s">
        <v>39</v>
      </c>
      <c r="E228" s="9" t="s">
        <v>40</v>
      </c>
      <c r="F228" s="9">
        <v>2200</v>
      </c>
      <c r="G228" s="9">
        <v>504</v>
      </c>
      <c r="H228" s="9">
        <v>239</v>
      </c>
      <c r="I228" s="9">
        <v>37400</v>
      </c>
      <c r="J228" s="9">
        <v>36938</v>
      </c>
      <c r="K228" s="9">
        <v>225</v>
      </c>
      <c r="L228" s="19">
        <f t="shared" si="3"/>
        <v>7.8689839572192513E-2</v>
      </c>
      <c r="M228" s="9" t="s">
        <v>17</v>
      </c>
      <c r="N228" s="11" t="s">
        <v>24</v>
      </c>
    </row>
    <row r="229" spans="1:14" x14ac:dyDescent="0.2">
      <c r="A229" s="12" t="s">
        <v>133</v>
      </c>
      <c r="B229" s="13" t="s">
        <v>31</v>
      </c>
      <c r="C229" s="14">
        <v>45456</v>
      </c>
      <c r="D229" s="13" t="s">
        <v>32</v>
      </c>
      <c r="E229" s="13" t="s">
        <v>33</v>
      </c>
      <c r="F229" s="13">
        <v>2103</v>
      </c>
      <c r="G229" s="13">
        <v>892</v>
      </c>
      <c r="H229" s="13">
        <v>103</v>
      </c>
      <c r="I229" s="13">
        <v>39957</v>
      </c>
      <c r="J229" s="13">
        <v>39466</v>
      </c>
      <c r="K229" s="13">
        <v>28</v>
      </c>
      <c r="L229" s="19">
        <f t="shared" si="3"/>
        <v>7.7533348349475686E-2</v>
      </c>
      <c r="M229" s="13" t="s">
        <v>17</v>
      </c>
      <c r="N229" s="15"/>
    </row>
    <row r="230" spans="1:14" x14ac:dyDescent="0.2">
      <c r="A230" s="12" t="s">
        <v>286</v>
      </c>
      <c r="B230" s="13" t="s">
        <v>38</v>
      </c>
      <c r="C230" s="14">
        <v>45488</v>
      </c>
      <c r="D230" s="13" t="s">
        <v>15</v>
      </c>
      <c r="E230" s="13" t="s">
        <v>52</v>
      </c>
      <c r="F230" s="13">
        <v>3663</v>
      </c>
      <c r="G230" s="13">
        <v>17</v>
      </c>
      <c r="H230" s="13">
        <v>295</v>
      </c>
      <c r="I230" s="13">
        <v>51282</v>
      </c>
      <c r="J230" s="13">
        <v>50567</v>
      </c>
      <c r="K230" s="13">
        <v>84</v>
      </c>
      <c r="L230" s="19">
        <f t="shared" si="3"/>
        <v>7.7512577512577507E-2</v>
      </c>
      <c r="M230" s="13" t="s">
        <v>34</v>
      </c>
      <c r="N230" s="15" t="s">
        <v>29</v>
      </c>
    </row>
    <row r="231" spans="1:14" x14ac:dyDescent="0.2">
      <c r="A231" s="8" t="s">
        <v>205</v>
      </c>
      <c r="B231" s="9" t="s">
        <v>14</v>
      </c>
      <c r="C231" s="10">
        <v>45459</v>
      </c>
      <c r="D231" s="9" t="s">
        <v>58</v>
      </c>
      <c r="E231" s="9" t="s">
        <v>97</v>
      </c>
      <c r="F231" s="9">
        <v>1702</v>
      </c>
      <c r="G231" s="9">
        <v>750</v>
      </c>
      <c r="H231" s="9">
        <v>179</v>
      </c>
      <c r="I231" s="9">
        <v>34040</v>
      </c>
      <c r="J231" s="9">
        <v>33174</v>
      </c>
      <c r="K231" s="9">
        <v>76</v>
      </c>
      <c r="L231" s="19">
        <f t="shared" si="3"/>
        <v>7.7291421856639245E-2</v>
      </c>
      <c r="M231" s="9" t="s">
        <v>34</v>
      </c>
      <c r="N231" s="11" t="s">
        <v>18</v>
      </c>
    </row>
    <row r="232" spans="1:14" x14ac:dyDescent="0.2">
      <c r="A232" s="8" t="s">
        <v>68</v>
      </c>
      <c r="B232" s="9" t="s">
        <v>31</v>
      </c>
      <c r="C232" s="10">
        <v>45661</v>
      </c>
      <c r="D232" s="9" t="s">
        <v>15</v>
      </c>
      <c r="E232" s="9" t="s">
        <v>63</v>
      </c>
      <c r="F232" s="9">
        <v>4838</v>
      </c>
      <c r="G232" s="9">
        <v>640</v>
      </c>
      <c r="H232" s="9">
        <v>128</v>
      </c>
      <c r="I232" s="9">
        <v>72570</v>
      </c>
      <c r="J232" s="9">
        <v>72396</v>
      </c>
      <c r="K232" s="9">
        <v>83</v>
      </c>
      <c r="L232" s="19">
        <f t="shared" si="3"/>
        <v>7.7249552156538517E-2</v>
      </c>
      <c r="M232" s="9" t="s">
        <v>17</v>
      </c>
      <c r="N232" s="11" t="s">
        <v>35</v>
      </c>
    </row>
    <row r="233" spans="1:14" x14ac:dyDescent="0.2">
      <c r="A233" s="8" t="s">
        <v>70</v>
      </c>
      <c r="B233" s="9" t="s">
        <v>38</v>
      </c>
      <c r="C233" s="10">
        <v>45602</v>
      </c>
      <c r="D233" s="9" t="s">
        <v>58</v>
      </c>
      <c r="E233" s="9" t="s">
        <v>59</v>
      </c>
      <c r="F233" s="9">
        <v>1606</v>
      </c>
      <c r="G233" s="9">
        <v>547</v>
      </c>
      <c r="H233" s="9">
        <v>316</v>
      </c>
      <c r="I233" s="9">
        <v>32120</v>
      </c>
      <c r="J233" s="9">
        <v>31736</v>
      </c>
      <c r="K233" s="9">
        <v>225</v>
      </c>
      <c r="L233" s="19">
        <f t="shared" si="3"/>
        <v>7.6867995018679955E-2</v>
      </c>
      <c r="M233" s="9" t="s">
        <v>363</v>
      </c>
      <c r="N233" s="11" t="s">
        <v>24</v>
      </c>
    </row>
    <row r="234" spans="1:14" x14ac:dyDescent="0.2">
      <c r="A234" s="12" t="s">
        <v>85</v>
      </c>
      <c r="B234" s="13" t="s">
        <v>31</v>
      </c>
      <c r="C234" s="14">
        <v>45766</v>
      </c>
      <c r="D234" s="13" t="s">
        <v>32</v>
      </c>
      <c r="E234" s="13" t="s">
        <v>33</v>
      </c>
      <c r="F234" s="13">
        <v>4518</v>
      </c>
      <c r="G234" s="13">
        <v>285</v>
      </c>
      <c r="H234" s="13">
        <v>383</v>
      </c>
      <c r="I234" s="13">
        <v>67770</v>
      </c>
      <c r="J234" s="13">
        <v>67621</v>
      </c>
      <c r="K234" s="13">
        <v>31</v>
      </c>
      <c r="L234" s="19">
        <f t="shared" si="3"/>
        <v>7.6523535487678915E-2</v>
      </c>
      <c r="M234" s="13" t="s">
        <v>34</v>
      </c>
      <c r="N234" s="15" t="s">
        <v>24</v>
      </c>
    </row>
    <row r="235" spans="1:14" x14ac:dyDescent="0.2">
      <c r="A235" s="12" t="s">
        <v>20</v>
      </c>
      <c r="B235" s="13" t="s">
        <v>14</v>
      </c>
      <c r="C235" s="14">
        <v>45750</v>
      </c>
      <c r="D235" s="13" t="s">
        <v>21</v>
      </c>
      <c r="E235" s="13" t="s">
        <v>22</v>
      </c>
      <c r="F235" s="13">
        <v>4054</v>
      </c>
      <c r="G235" s="13">
        <v>389</v>
      </c>
      <c r="H235" s="13">
        <v>493</v>
      </c>
      <c r="I235" s="13">
        <v>64864</v>
      </c>
      <c r="J235" s="13">
        <v>64383</v>
      </c>
      <c r="K235" s="13">
        <v>117</v>
      </c>
      <c r="L235" s="19">
        <f t="shared" si="3"/>
        <v>7.6097681302417369E-2</v>
      </c>
      <c r="M235" s="13" t="s">
        <v>361</v>
      </c>
      <c r="N235" s="15" t="s">
        <v>24</v>
      </c>
    </row>
    <row r="236" spans="1:14" x14ac:dyDescent="0.2">
      <c r="A236" s="12" t="s">
        <v>290</v>
      </c>
      <c r="B236" s="13" t="s">
        <v>38</v>
      </c>
      <c r="C236" s="14">
        <v>45444</v>
      </c>
      <c r="D236" s="13" t="s">
        <v>21</v>
      </c>
      <c r="E236" s="13" t="s">
        <v>47</v>
      </c>
      <c r="F236" s="13">
        <v>1272</v>
      </c>
      <c r="G236" s="13">
        <v>465</v>
      </c>
      <c r="H236" s="13">
        <v>99</v>
      </c>
      <c r="I236" s="13">
        <v>24168</v>
      </c>
      <c r="J236" s="13">
        <v>23719</v>
      </c>
      <c r="K236" s="13">
        <v>42</v>
      </c>
      <c r="L236" s="19">
        <f t="shared" si="3"/>
        <v>7.5968222442899705E-2</v>
      </c>
      <c r="M236" s="13" t="s">
        <v>23</v>
      </c>
      <c r="N236" s="15"/>
    </row>
    <row r="237" spans="1:14" x14ac:dyDescent="0.2">
      <c r="A237" s="8" t="s">
        <v>53</v>
      </c>
      <c r="B237" s="9" t="s">
        <v>27</v>
      </c>
      <c r="C237" s="10">
        <v>45614</v>
      </c>
      <c r="D237" s="9" t="s">
        <v>39</v>
      </c>
      <c r="E237" s="9" t="s">
        <v>54</v>
      </c>
      <c r="F237" s="9">
        <v>1171</v>
      </c>
      <c r="G237" s="9">
        <v>286</v>
      </c>
      <c r="H237" s="9">
        <v>231</v>
      </c>
      <c r="I237" s="9">
        <v>22249</v>
      </c>
      <c r="J237" s="9">
        <v>21282</v>
      </c>
      <c r="K237" s="9">
        <v>114</v>
      </c>
      <c r="L237" s="19">
        <f t="shared" si="3"/>
        <v>7.5868578363072495E-2</v>
      </c>
      <c r="M237" s="9" t="s">
        <v>34</v>
      </c>
      <c r="N237" s="11" t="s">
        <v>18</v>
      </c>
    </row>
    <row r="238" spans="1:14" x14ac:dyDescent="0.2">
      <c r="A238" s="12" t="s">
        <v>60</v>
      </c>
      <c r="B238" s="13" t="s">
        <v>38</v>
      </c>
      <c r="C238" s="14">
        <v>45530</v>
      </c>
      <c r="D238" s="13" t="s">
        <v>21</v>
      </c>
      <c r="E238" s="13" t="s">
        <v>47</v>
      </c>
      <c r="F238" s="13">
        <v>3452</v>
      </c>
      <c r="G238" s="13">
        <v>377</v>
      </c>
      <c r="H238" s="13">
        <v>360</v>
      </c>
      <c r="I238" s="13">
        <v>55232</v>
      </c>
      <c r="J238" s="13">
        <v>55075</v>
      </c>
      <c r="K238" s="13">
        <v>87</v>
      </c>
      <c r="L238" s="19">
        <f t="shared" si="3"/>
        <v>7.5843713789107758E-2</v>
      </c>
      <c r="M238" s="13" t="s">
        <v>17</v>
      </c>
      <c r="N238" s="15" t="s">
        <v>29</v>
      </c>
    </row>
    <row r="239" spans="1:14" x14ac:dyDescent="0.2">
      <c r="A239" s="8" t="s">
        <v>235</v>
      </c>
      <c r="B239" s="9" t="s">
        <v>38</v>
      </c>
      <c r="C239" s="10">
        <v>45488</v>
      </c>
      <c r="D239" s="9" t="s">
        <v>39</v>
      </c>
      <c r="E239" s="9" t="s">
        <v>40</v>
      </c>
      <c r="F239" s="9">
        <v>3796</v>
      </c>
      <c r="G239" s="9">
        <v>667</v>
      </c>
      <c r="H239" s="9">
        <v>395</v>
      </c>
      <c r="I239" s="9">
        <v>64532</v>
      </c>
      <c r="J239" s="9">
        <v>63550</v>
      </c>
      <c r="K239" s="9">
        <v>292</v>
      </c>
      <c r="L239" s="19">
        <f t="shared" si="3"/>
        <v>7.5280481001673588E-2</v>
      </c>
      <c r="M239" s="9" t="s">
        <v>23</v>
      </c>
      <c r="N239" s="11"/>
    </row>
    <row r="240" spans="1:14" x14ac:dyDescent="0.2">
      <c r="A240" s="8" t="s">
        <v>95</v>
      </c>
      <c r="B240" s="9" t="s">
        <v>38</v>
      </c>
      <c r="C240" s="10">
        <v>45597</v>
      </c>
      <c r="D240" s="9" t="s">
        <v>58</v>
      </c>
      <c r="E240" s="9" t="s">
        <v>59</v>
      </c>
      <c r="F240" s="9">
        <v>3371</v>
      </c>
      <c r="G240" s="9">
        <v>106</v>
      </c>
      <c r="H240" s="9">
        <v>327</v>
      </c>
      <c r="I240" s="9">
        <v>50565</v>
      </c>
      <c r="J240" s="9">
        <v>49816</v>
      </c>
      <c r="K240" s="9">
        <v>176</v>
      </c>
      <c r="L240" s="19">
        <f t="shared" si="3"/>
        <v>7.5229902106199939E-2</v>
      </c>
      <c r="M240" s="9" t="s">
        <v>17</v>
      </c>
      <c r="N240" s="11" t="s">
        <v>18</v>
      </c>
    </row>
    <row r="241" spans="1:14" x14ac:dyDescent="0.2">
      <c r="A241" s="12" t="s">
        <v>224</v>
      </c>
      <c r="B241" s="13" t="s">
        <v>38</v>
      </c>
      <c r="C241" s="14">
        <v>45608</v>
      </c>
      <c r="D241" s="13" t="s">
        <v>21</v>
      </c>
      <c r="E241" s="13" t="s">
        <v>47</v>
      </c>
      <c r="F241" s="13">
        <v>2418</v>
      </c>
      <c r="G241" s="13">
        <v>754</v>
      </c>
      <c r="H241" s="13">
        <v>54</v>
      </c>
      <c r="I241" s="13">
        <v>43524</v>
      </c>
      <c r="J241" s="13">
        <v>42743</v>
      </c>
      <c r="K241" s="13">
        <v>182</v>
      </c>
      <c r="L241" s="19">
        <f t="shared" si="3"/>
        <v>7.412002573292896E-2</v>
      </c>
      <c r="M241" s="13" t="s">
        <v>34</v>
      </c>
      <c r="N241" s="15" t="s">
        <v>18</v>
      </c>
    </row>
    <row r="242" spans="1:14" x14ac:dyDescent="0.2">
      <c r="A242" s="8" t="s">
        <v>166</v>
      </c>
      <c r="B242" s="9" t="s">
        <v>27</v>
      </c>
      <c r="C242" s="10">
        <v>45619</v>
      </c>
      <c r="D242" s="9" t="s">
        <v>44</v>
      </c>
      <c r="E242" s="9" t="s">
        <v>45</v>
      </c>
      <c r="F242" s="9">
        <v>2719</v>
      </c>
      <c r="G242" s="9">
        <v>17</v>
      </c>
      <c r="H242" s="9">
        <v>285</v>
      </c>
      <c r="I242" s="9">
        <v>40785</v>
      </c>
      <c r="J242" s="9">
        <v>40281</v>
      </c>
      <c r="K242" s="9">
        <v>40</v>
      </c>
      <c r="L242" s="19">
        <f t="shared" si="3"/>
        <v>7.4071349760941527E-2</v>
      </c>
      <c r="M242" s="9" t="s">
        <v>23</v>
      </c>
      <c r="N242" s="11" t="s">
        <v>24</v>
      </c>
    </row>
    <row r="243" spans="1:14" x14ac:dyDescent="0.2">
      <c r="A243" s="8" t="s">
        <v>156</v>
      </c>
      <c r="B243" s="9" t="s">
        <v>27</v>
      </c>
      <c r="C243" s="10">
        <v>45583</v>
      </c>
      <c r="D243" s="9" t="s">
        <v>58</v>
      </c>
      <c r="E243" s="9" t="s">
        <v>138</v>
      </c>
      <c r="F243" s="9">
        <v>4450</v>
      </c>
      <c r="G243" s="9">
        <v>983</v>
      </c>
      <c r="H243" s="9">
        <v>143</v>
      </c>
      <c r="I243" s="9">
        <v>75650</v>
      </c>
      <c r="J243" s="9">
        <v>75008</v>
      </c>
      <c r="K243" s="9">
        <v>12</v>
      </c>
      <c r="L243" s="19">
        <f t="shared" si="3"/>
        <v>7.3707865168539333E-2</v>
      </c>
      <c r="M243" s="9" t="s">
        <v>17</v>
      </c>
      <c r="N243" s="11" t="s">
        <v>29</v>
      </c>
    </row>
    <row r="244" spans="1:14" x14ac:dyDescent="0.2">
      <c r="A244" s="12" t="s">
        <v>99</v>
      </c>
      <c r="B244" s="13" t="s">
        <v>14</v>
      </c>
      <c r="C244" s="14">
        <v>45727</v>
      </c>
      <c r="D244" s="13" t="s">
        <v>32</v>
      </c>
      <c r="E244" s="13" t="s">
        <v>100</v>
      </c>
      <c r="F244" s="13">
        <v>1950</v>
      </c>
      <c r="G244" s="13">
        <v>295</v>
      </c>
      <c r="H244" s="13">
        <v>478</v>
      </c>
      <c r="I244" s="13">
        <v>37050</v>
      </c>
      <c r="J244" s="13">
        <v>36272</v>
      </c>
      <c r="K244" s="13">
        <v>119</v>
      </c>
      <c r="L244" s="19">
        <f t="shared" si="3"/>
        <v>7.349527665317139E-2</v>
      </c>
      <c r="M244" s="13" t="s">
        <v>23</v>
      </c>
      <c r="N244" s="15"/>
    </row>
    <row r="245" spans="1:14" x14ac:dyDescent="0.2">
      <c r="A245" s="12" t="s">
        <v>306</v>
      </c>
      <c r="B245" s="13" t="s">
        <v>38</v>
      </c>
      <c r="C245" s="14">
        <v>45465</v>
      </c>
      <c r="D245" s="13" t="s">
        <v>15</v>
      </c>
      <c r="E245" s="13" t="s">
        <v>52</v>
      </c>
      <c r="F245" s="13">
        <v>3813</v>
      </c>
      <c r="G245" s="13">
        <v>935</v>
      </c>
      <c r="H245" s="13">
        <v>274</v>
      </c>
      <c r="I245" s="13">
        <v>68634</v>
      </c>
      <c r="J245" s="13">
        <v>68488</v>
      </c>
      <c r="K245" s="13">
        <v>251</v>
      </c>
      <c r="L245" s="19">
        <f t="shared" si="3"/>
        <v>7.3170731707317069E-2</v>
      </c>
      <c r="M245" s="13" t="s">
        <v>17</v>
      </c>
      <c r="N245" s="15"/>
    </row>
    <row r="246" spans="1:14" x14ac:dyDescent="0.2">
      <c r="A246" s="8" t="s">
        <v>345</v>
      </c>
      <c r="B246" s="9" t="s">
        <v>38</v>
      </c>
      <c r="C246" s="10">
        <v>45624</v>
      </c>
      <c r="D246" s="9" t="s">
        <v>39</v>
      </c>
      <c r="E246" s="9" t="s">
        <v>40</v>
      </c>
      <c r="F246" s="9">
        <v>2751</v>
      </c>
      <c r="G246" s="9">
        <v>33</v>
      </c>
      <c r="H246" s="9">
        <v>430</v>
      </c>
      <c r="I246" s="9">
        <v>44016</v>
      </c>
      <c r="J246" s="9">
        <v>43415</v>
      </c>
      <c r="K246" s="9">
        <v>129</v>
      </c>
      <c r="L246" s="19">
        <f t="shared" si="3"/>
        <v>7.3018902217375503E-2</v>
      </c>
      <c r="M246" s="9" t="s">
        <v>17</v>
      </c>
      <c r="N246" s="11"/>
    </row>
    <row r="247" spans="1:14" x14ac:dyDescent="0.2">
      <c r="A247" s="8" t="s">
        <v>289</v>
      </c>
      <c r="B247" s="9" t="s">
        <v>38</v>
      </c>
      <c r="C247" s="10">
        <v>45724</v>
      </c>
      <c r="D247" s="9" t="s">
        <v>44</v>
      </c>
      <c r="E247" s="9" t="s">
        <v>49</v>
      </c>
      <c r="F247" s="9">
        <v>2382</v>
      </c>
      <c r="G247" s="9">
        <v>265</v>
      </c>
      <c r="H247" s="9">
        <v>134</v>
      </c>
      <c r="I247" s="9">
        <v>38112</v>
      </c>
      <c r="J247" s="9">
        <v>37437</v>
      </c>
      <c r="K247" s="9">
        <v>249</v>
      </c>
      <c r="L247" s="19">
        <f t="shared" si="3"/>
        <v>7.2969143576826198E-2</v>
      </c>
      <c r="M247" s="9" t="s">
        <v>17</v>
      </c>
      <c r="N247" s="11" t="s">
        <v>35</v>
      </c>
    </row>
    <row r="248" spans="1:14" x14ac:dyDescent="0.2">
      <c r="A248" s="12" t="s">
        <v>228</v>
      </c>
      <c r="B248" s="13" t="s">
        <v>38</v>
      </c>
      <c r="C248" s="14">
        <v>45518</v>
      </c>
      <c r="D248" s="13" t="s">
        <v>39</v>
      </c>
      <c r="E248" s="13" t="s">
        <v>40</v>
      </c>
      <c r="F248" s="13">
        <v>3073</v>
      </c>
      <c r="G248" s="13">
        <v>553</v>
      </c>
      <c r="H248" s="13">
        <v>174</v>
      </c>
      <c r="I248" s="13">
        <v>52241</v>
      </c>
      <c r="J248" s="13">
        <v>51605</v>
      </c>
      <c r="K248" s="13">
        <v>246</v>
      </c>
      <c r="L248" s="19">
        <f t="shared" si="3"/>
        <v>7.2739802071170159E-2</v>
      </c>
      <c r="M248" s="13" t="s">
        <v>34</v>
      </c>
      <c r="N248" s="15" t="s">
        <v>29</v>
      </c>
    </row>
    <row r="249" spans="1:14" x14ac:dyDescent="0.2">
      <c r="A249" s="12" t="s">
        <v>294</v>
      </c>
      <c r="B249" s="13" t="s">
        <v>14</v>
      </c>
      <c r="C249" s="14">
        <v>45489</v>
      </c>
      <c r="D249" s="13" t="s">
        <v>21</v>
      </c>
      <c r="E249" s="13" t="s">
        <v>22</v>
      </c>
      <c r="F249" s="13">
        <v>4725</v>
      </c>
      <c r="G249" s="13">
        <v>400</v>
      </c>
      <c r="H249" s="13">
        <v>362</v>
      </c>
      <c r="I249" s="13">
        <v>75600</v>
      </c>
      <c r="J249" s="13">
        <v>74927</v>
      </c>
      <c r="K249" s="13">
        <v>43</v>
      </c>
      <c r="L249" s="19">
        <f t="shared" si="3"/>
        <v>7.2579365079365077E-2</v>
      </c>
      <c r="M249" s="13" t="s">
        <v>17</v>
      </c>
      <c r="N249" s="15" t="s">
        <v>35</v>
      </c>
    </row>
    <row r="250" spans="1:14" x14ac:dyDescent="0.2">
      <c r="A250" s="8" t="s">
        <v>245</v>
      </c>
      <c r="B250" s="9" t="s">
        <v>38</v>
      </c>
      <c r="C250" s="10">
        <v>45740</v>
      </c>
      <c r="D250" s="9" t="s">
        <v>15</v>
      </c>
      <c r="E250" s="9" t="s">
        <v>52</v>
      </c>
      <c r="F250" s="9">
        <v>3360</v>
      </c>
      <c r="G250" s="9">
        <v>525</v>
      </c>
      <c r="H250" s="9">
        <v>500</v>
      </c>
      <c r="I250" s="9">
        <v>60480</v>
      </c>
      <c r="J250" s="9">
        <v>59610</v>
      </c>
      <c r="K250" s="9">
        <v>192</v>
      </c>
      <c r="L250" s="19">
        <f t="shared" si="3"/>
        <v>7.2503306878306875E-2</v>
      </c>
      <c r="M250" s="9" t="s">
        <v>23</v>
      </c>
      <c r="N250" s="11" t="s">
        <v>18</v>
      </c>
    </row>
    <row r="251" spans="1:14" x14ac:dyDescent="0.2">
      <c r="A251" s="8" t="s">
        <v>88</v>
      </c>
      <c r="B251" s="9" t="s">
        <v>38</v>
      </c>
      <c r="C251" s="10">
        <v>45621</v>
      </c>
      <c r="D251" s="9" t="s">
        <v>44</v>
      </c>
      <c r="E251" s="9" t="s">
        <v>49</v>
      </c>
      <c r="F251" s="9">
        <v>3564</v>
      </c>
      <c r="G251" s="9">
        <v>629</v>
      </c>
      <c r="H251" s="9">
        <v>177</v>
      </c>
      <c r="I251" s="9">
        <v>60588</v>
      </c>
      <c r="J251" s="9">
        <v>59627</v>
      </c>
      <c r="K251" s="9">
        <v>92</v>
      </c>
      <c r="L251" s="19">
        <f t="shared" si="3"/>
        <v>7.2126493695121141E-2</v>
      </c>
      <c r="M251" s="9" t="s">
        <v>23</v>
      </c>
      <c r="N251" s="11"/>
    </row>
    <row r="252" spans="1:14" x14ac:dyDescent="0.2">
      <c r="A252" s="8" t="s">
        <v>271</v>
      </c>
      <c r="B252" s="9" t="s">
        <v>38</v>
      </c>
      <c r="C252" s="10">
        <v>45783</v>
      </c>
      <c r="D252" s="9" t="s">
        <v>44</v>
      </c>
      <c r="E252" s="9" t="s">
        <v>49</v>
      </c>
      <c r="F252" s="9">
        <v>4872</v>
      </c>
      <c r="G252" s="9">
        <v>925</v>
      </c>
      <c r="H252" s="9">
        <v>176</v>
      </c>
      <c r="I252" s="9">
        <v>82824</v>
      </c>
      <c r="J252" s="9">
        <v>82543</v>
      </c>
      <c r="K252" s="9">
        <v>89</v>
      </c>
      <c r="L252" s="19">
        <f t="shared" si="3"/>
        <v>7.2116777745580993E-2</v>
      </c>
      <c r="M252" s="9" t="s">
        <v>34</v>
      </c>
      <c r="N252" s="11" t="s">
        <v>24</v>
      </c>
    </row>
    <row r="253" spans="1:14" x14ac:dyDescent="0.2">
      <c r="A253" s="12" t="s">
        <v>71</v>
      </c>
      <c r="B253" s="13" t="s">
        <v>38</v>
      </c>
      <c r="C253" s="14">
        <v>45680</v>
      </c>
      <c r="D253" s="13" t="s">
        <v>58</v>
      </c>
      <c r="E253" s="13" t="s">
        <v>59</v>
      </c>
      <c r="F253" s="13">
        <v>3961</v>
      </c>
      <c r="G253" s="13">
        <v>761</v>
      </c>
      <c r="H253" s="13">
        <v>131</v>
      </c>
      <c r="I253" s="13">
        <v>67337</v>
      </c>
      <c r="J253" s="13">
        <v>66615</v>
      </c>
      <c r="K253" s="13">
        <v>161</v>
      </c>
      <c r="L253" s="19">
        <f t="shared" si="3"/>
        <v>7.2070332803659209E-2</v>
      </c>
      <c r="M253" s="13" t="s">
        <v>17</v>
      </c>
      <c r="N253" s="15" t="s">
        <v>29</v>
      </c>
    </row>
    <row r="254" spans="1:14" x14ac:dyDescent="0.2">
      <c r="A254" s="8" t="s">
        <v>154</v>
      </c>
      <c r="B254" s="9" t="s">
        <v>27</v>
      </c>
      <c r="C254" s="10">
        <v>45475</v>
      </c>
      <c r="D254" s="9" t="s">
        <v>39</v>
      </c>
      <c r="E254" s="9" t="s">
        <v>54</v>
      </c>
      <c r="F254" s="9">
        <v>4171</v>
      </c>
      <c r="G254" s="9">
        <v>548</v>
      </c>
      <c r="H254" s="9">
        <v>86</v>
      </c>
      <c r="I254" s="9">
        <v>66736</v>
      </c>
      <c r="J254" s="9">
        <v>66634</v>
      </c>
      <c r="K254" s="9">
        <v>173</v>
      </c>
      <c r="L254" s="19">
        <f t="shared" si="3"/>
        <v>7.2000119875329657E-2</v>
      </c>
      <c r="M254" s="9" t="s">
        <v>17</v>
      </c>
      <c r="N254" s="11" t="s">
        <v>29</v>
      </c>
    </row>
    <row r="255" spans="1:14" x14ac:dyDescent="0.2">
      <c r="A255" s="12" t="s">
        <v>48</v>
      </c>
      <c r="B255" s="13" t="s">
        <v>38</v>
      </c>
      <c r="C255" s="14">
        <v>45727</v>
      </c>
      <c r="D255" s="13" t="s">
        <v>44</v>
      </c>
      <c r="E255" s="13" t="s">
        <v>49</v>
      </c>
      <c r="F255" s="13">
        <v>4241</v>
      </c>
      <c r="G255" s="13">
        <v>902</v>
      </c>
      <c r="H255" s="13">
        <v>47</v>
      </c>
      <c r="I255" s="13">
        <v>72097</v>
      </c>
      <c r="J255" s="13">
        <v>71598</v>
      </c>
      <c r="K255" s="13">
        <v>167</v>
      </c>
      <c r="L255" s="19">
        <f t="shared" si="3"/>
        <v>7.198635172059864E-2</v>
      </c>
      <c r="M255" s="13" t="s">
        <v>23</v>
      </c>
      <c r="N255" s="15" t="s">
        <v>24</v>
      </c>
    </row>
    <row r="256" spans="1:14" x14ac:dyDescent="0.2">
      <c r="A256" s="8" t="s">
        <v>347</v>
      </c>
      <c r="B256" s="9" t="s">
        <v>38</v>
      </c>
      <c r="C256" s="10">
        <v>45602</v>
      </c>
      <c r="D256" s="9" t="s">
        <v>58</v>
      </c>
      <c r="E256" s="9" t="s">
        <v>59</v>
      </c>
      <c r="F256" s="9">
        <v>4663</v>
      </c>
      <c r="G256" s="9">
        <v>145</v>
      </c>
      <c r="H256" s="9">
        <v>225</v>
      </c>
      <c r="I256" s="9">
        <v>69945</v>
      </c>
      <c r="J256" s="9">
        <v>69596</v>
      </c>
      <c r="K256" s="9">
        <v>35</v>
      </c>
      <c r="L256" s="19">
        <f t="shared" si="3"/>
        <v>7.1956537279290869E-2</v>
      </c>
      <c r="M256" s="9" t="s">
        <v>34</v>
      </c>
      <c r="N256" s="11" t="s">
        <v>35</v>
      </c>
    </row>
    <row r="257" spans="1:14" x14ac:dyDescent="0.2">
      <c r="A257" s="8" t="s">
        <v>188</v>
      </c>
      <c r="B257" s="9" t="s">
        <v>38</v>
      </c>
      <c r="C257" s="10">
        <v>45694</v>
      </c>
      <c r="D257" s="9" t="s">
        <v>44</v>
      </c>
      <c r="E257" s="9" t="s">
        <v>49</v>
      </c>
      <c r="F257" s="9">
        <v>2072</v>
      </c>
      <c r="G257" s="9">
        <v>532</v>
      </c>
      <c r="H257" s="9">
        <v>71</v>
      </c>
      <c r="I257" s="9">
        <v>37296</v>
      </c>
      <c r="J257" s="9">
        <v>36467</v>
      </c>
      <c r="K257" s="9">
        <v>25</v>
      </c>
      <c r="L257" s="19">
        <f t="shared" si="3"/>
        <v>7.172350922350923E-2</v>
      </c>
      <c r="M257" s="9" t="s">
        <v>23</v>
      </c>
      <c r="N257" s="11" t="s">
        <v>35</v>
      </c>
    </row>
    <row r="258" spans="1:14" x14ac:dyDescent="0.2">
      <c r="A258" s="8" t="s">
        <v>74</v>
      </c>
      <c r="B258" s="9" t="s">
        <v>27</v>
      </c>
      <c r="C258" s="10">
        <v>45552</v>
      </c>
      <c r="D258" s="9" t="s">
        <v>21</v>
      </c>
      <c r="E258" s="9" t="s">
        <v>75</v>
      </c>
      <c r="F258" s="9">
        <v>2076</v>
      </c>
      <c r="G258" s="9">
        <v>195</v>
      </c>
      <c r="H258" s="9">
        <v>104</v>
      </c>
      <c r="I258" s="9">
        <v>33216</v>
      </c>
      <c r="J258" s="9">
        <v>32244</v>
      </c>
      <c r="K258" s="9">
        <v>51</v>
      </c>
      <c r="L258" s="19">
        <f t="shared" ref="L258:L301" si="4">(F258+G258+H258)/I258</f>
        <v>7.1501685934489398E-2</v>
      </c>
      <c r="M258" s="9" t="s">
        <v>17</v>
      </c>
      <c r="N258" s="11" t="s">
        <v>35</v>
      </c>
    </row>
    <row r="259" spans="1:14" x14ac:dyDescent="0.2">
      <c r="A259" s="12" t="s">
        <v>189</v>
      </c>
      <c r="B259" s="13" t="s">
        <v>14</v>
      </c>
      <c r="C259" s="14">
        <v>45771</v>
      </c>
      <c r="D259" s="13" t="s">
        <v>15</v>
      </c>
      <c r="E259" s="13" t="s">
        <v>16</v>
      </c>
      <c r="F259" s="13">
        <v>3731</v>
      </c>
      <c r="G259" s="13">
        <v>115</v>
      </c>
      <c r="H259" s="13">
        <v>135</v>
      </c>
      <c r="I259" s="13">
        <v>55965</v>
      </c>
      <c r="J259" s="13">
        <v>55436</v>
      </c>
      <c r="K259" s="13">
        <v>103</v>
      </c>
      <c r="L259" s="19">
        <f t="shared" si="4"/>
        <v>7.1133744304476013E-2</v>
      </c>
      <c r="M259" s="13" t="s">
        <v>23</v>
      </c>
      <c r="N259" s="15" t="s">
        <v>18</v>
      </c>
    </row>
    <row r="260" spans="1:14" x14ac:dyDescent="0.2">
      <c r="A260" s="12" t="s">
        <v>145</v>
      </c>
      <c r="B260" s="13" t="s">
        <v>31</v>
      </c>
      <c r="C260" s="14">
        <v>45446</v>
      </c>
      <c r="D260" s="13" t="s">
        <v>44</v>
      </c>
      <c r="E260" s="13" t="s">
        <v>136</v>
      </c>
      <c r="F260" s="13">
        <v>3861</v>
      </c>
      <c r="G260" s="13">
        <v>960</v>
      </c>
      <c r="H260" s="13">
        <v>101</v>
      </c>
      <c r="I260" s="13">
        <v>69498</v>
      </c>
      <c r="J260" s="13">
        <v>68817</v>
      </c>
      <c r="K260" s="13">
        <v>297</v>
      </c>
      <c r="L260" s="19">
        <f t="shared" si="4"/>
        <v>7.0822181933293038E-2</v>
      </c>
      <c r="M260" s="13" t="s">
        <v>23</v>
      </c>
      <c r="N260" s="15" t="s">
        <v>35</v>
      </c>
    </row>
    <row r="261" spans="1:14" x14ac:dyDescent="0.2">
      <c r="A261" s="12" t="s">
        <v>83</v>
      </c>
      <c r="B261" s="13" t="s">
        <v>38</v>
      </c>
      <c r="C261" s="14">
        <v>45742</v>
      </c>
      <c r="D261" s="13" t="s">
        <v>21</v>
      </c>
      <c r="E261" s="13" t="s">
        <v>47</v>
      </c>
      <c r="F261" s="13">
        <v>1652</v>
      </c>
      <c r="G261" s="13">
        <v>89</v>
      </c>
      <c r="H261" s="13">
        <v>357</v>
      </c>
      <c r="I261" s="13">
        <v>29736</v>
      </c>
      <c r="J261" s="13">
        <v>28771</v>
      </c>
      <c r="K261" s="13">
        <v>215</v>
      </c>
      <c r="L261" s="19">
        <f t="shared" si="4"/>
        <v>7.055421038471886E-2</v>
      </c>
      <c r="M261" s="13" t="s">
        <v>23</v>
      </c>
      <c r="N261" s="15" t="s">
        <v>29</v>
      </c>
    </row>
    <row r="262" spans="1:14" x14ac:dyDescent="0.2">
      <c r="A262" s="8" t="s">
        <v>41</v>
      </c>
      <c r="B262" s="9" t="s">
        <v>14</v>
      </c>
      <c r="C262" s="10">
        <v>45467</v>
      </c>
      <c r="D262" s="9" t="s">
        <v>39</v>
      </c>
      <c r="E262" s="9" t="s">
        <v>42</v>
      </c>
      <c r="F262" s="9">
        <v>3860</v>
      </c>
      <c r="G262" s="9">
        <v>201</v>
      </c>
      <c r="H262" s="9">
        <v>279</v>
      </c>
      <c r="I262" s="9">
        <v>61760</v>
      </c>
      <c r="J262" s="9">
        <v>61660</v>
      </c>
      <c r="K262" s="9">
        <v>235</v>
      </c>
      <c r="L262" s="19">
        <f t="shared" si="4"/>
        <v>7.0272020725388601E-2</v>
      </c>
      <c r="M262" s="9" t="s">
        <v>23</v>
      </c>
      <c r="N262" s="11" t="s">
        <v>24</v>
      </c>
    </row>
    <row r="263" spans="1:14" x14ac:dyDescent="0.2">
      <c r="A263" s="12" t="s">
        <v>198</v>
      </c>
      <c r="B263" s="13" t="s">
        <v>27</v>
      </c>
      <c r="C263" s="14">
        <v>45741</v>
      </c>
      <c r="D263" s="13" t="s">
        <v>32</v>
      </c>
      <c r="E263" s="13" t="s">
        <v>103</v>
      </c>
      <c r="F263" s="13">
        <v>2070</v>
      </c>
      <c r="G263" s="13">
        <v>275</v>
      </c>
      <c r="H263" s="13">
        <v>386</v>
      </c>
      <c r="I263" s="13">
        <v>39330</v>
      </c>
      <c r="J263" s="13">
        <v>38627</v>
      </c>
      <c r="K263" s="13">
        <v>114</v>
      </c>
      <c r="L263" s="19">
        <f t="shared" si="4"/>
        <v>6.9438087973557078E-2</v>
      </c>
      <c r="M263" s="13" t="s">
        <v>17</v>
      </c>
      <c r="N263" s="15" t="s">
        <v>35</v>
      </c>
    </row>
    <row r="264" spans="1:14" x14ac:dyDescent="0.2">
      <c r="A264" s="8" t="s">
        <v>182</v>
      </c>
      <c r="B264" s="9" t="s">
        <v>38</v>
      </c>
      <c r="C264" s="10">
        <v>45684</v>
      </c>
      <c r="D264" s="9" t="s">
        <v>15</v>
      </c>
      <c r="E264" s="9" t="s">
        <v>52</v>
      </c>
      <c r="F264" s="9">
        <v>3452</v>
      </c>
      <c r="G264" s="9">
        <v>652</v>
      </c>
      <c r="H264" s="9">
        <v>442</v>
      </c>
      <c r="I264" s="9">
        <v>65588</v>
      </c>
      <c r="J264" s="9">
        <v>65049</v>
      </c>
      <c r="K264" s="9">
        <v>158</v>
      </c>
      <c r="L264" s="19">
        <f t="shared" si="4"/>
        <v>6.9311459413307311E-2</v>
      </c>
      <c r="M264" s="9" t="s">
        <v>17</v>
      </c>
      <c r="N264" s="11" t="s">
        <v>29</v>
      </c>
    </row>
    <row r="265" spans="1:14" x14ac:dyDescent="0.2">
      <c r="A265" s="12" t="s">
        <v>226</v>
      </c>
      <c r="B265" s="13" t="s">
        <v>14</v>
      </c>
      <c r="C265" s="14">
        <v>45775</v>
      </c>
      <c r="D265" s="13" t="s">
        <v>21</v>
      </c>
      <c r="E265" s="13" t="s">
        <v>22</v>
      </c>
      <c r="F265" s="13">
        <v>3577</v>
      </c>
      <c r="G265" s="13">
        <v>596</v>
      </c>
      <c r="H265" s="13">
        <v>493</v>
      </c>
      <c r="I265" s="13">
        <v>67963</v>
      </c>
      <c r="J265" s="13">
        <v>67839</v>
      </c>
      <c r="K265" s="13">
        <v>53</v>
      </c>
      <c r="L265" s="19">
        <f t="shared" si="4"/>
        <v>6.8655003457763777E-2</v>
      </c>
      <c r="M265" s="13" t="s">
        <v>23</v>
      </c>
      <c r="N265" s="15" t="s">
        <v>29</v>
      </c>
    </row>
    <row r="266" spans="1:14" x14ac:dyDescent="0.2">
      <c r="A266" s="8" t="s">
        <v>150</v>
      </c>
      <c r="B266" s="9" t="s">
        <v>31</v>
      </c>
      <c r="C266" s="10">
        <v>45604</v>
      </c>
      <c r="D266" s="9" t="s">
        <v>21</v>
      </c>
      <c r="E266" s="9" t="s">
        <v>80</v>
      </c>
      <c r="F266" s="9">
        <v>3182</v>
      </c>
      <c r="G266" s="9">
        <v>559</v>
      </c>
      <c r="H266" s="9">
        <v>160</v>
      </c>
      <c r="I266" s="9">
        <v>57276</v>
      </c>
      <c r="J266" s="9">
        <v>56890</v>
      </c>
      <c r="K266" s="9">
        <v>163</v>
      </c>
      <c r="L266" s="19">
        <f t="shared" si="4"/>
        <v>6.8108806480899509E-2</v>
      </c>
      <c r="M266" s="9" t="s">
        <v>17</v>
      </c>
      <c r="N266" s="11" t="s">
        <v>35</v>
      </c>
    </row>
    <row r="267" spans="1:14" x14ac:dyDescent="0.2">
      <c r="A267" s="12" t="s">
        <v>344</v>
      </c>
      <c r="B267" s="13" t="s">
        <v>27</v>
      </c>
      <c r="C267" s="14">
        <v>45764</v>
      </c>
      <c r="D267" s="13" t="s">
        <v>39</v>
      </c>
      <c r="E267" s="13" t="s">
        <v>54</v>
      </c>
      <c r="F267" s="13">
        <v>4780</v>
      </c>
      <c r="G267" s="13">
        <v>691</v>
      </c>
      <c r="H267" s="13">
        <v>380</v>
      </c>
      <c r="I267" s="13">
        <v>86040</v>
      </c>
      <c r="J267" s="13">
        <v>85743</v>
      </c>
      <c r="K267" s="13">
        <v>262</v>
      </c>
      <c r="L267" s="19">
        <f t="shared" si="4"/>
        <v>6.800325430032543E-2</v>
      </c>
      <c r="M267" s="13" t="s">
        <v>17</v>
      </c>
      <c r="N267" s="15" t="s">
        <v>29</v>
      </c>
    </row>
    <row r="268" spans="1:14" x14ac:dyDescent="0.2">
      <c r="A268" s="8" t="s">
        <v>293</v>
      </c>
      <c r="B268" s="9" t="s">
        <v>31</v>
      </c>
      <c r="C268" s="10">
        <v>45587</v>
      </c>
      <c r="D268" s="9" t="s">
        <v>32</v>
      </c>
      <c r="E268" s="9" t="s">
        <v>33</v>
      </c>
      <c r="F268" s="9">
        <v>3770</v>
      </c>
      <c r="G268" s="9">
        <v>917</v>
      </c>
      <c r="H268" s="9">
        <v>129</v>
      </c>
      <c r="I268" s="9">
        <v>71630</v>
      </c>
      <c r="J268" s="9">
        <v>71322</v>
      </c>
      <c r="K268" s="9">
        <v>76</v>
      </c>
      <c r="L268" s="19">
        <f t="shared" si="4"/>
        <v>6.7234398994834563E-2</v>
      </c>
      <c r="M268" s="9" t="s">
        <v>17</v>
      </c>
      <c r="N268" s="11" t="s">
        <v>18</v>
      </c>
    </row>
    <row r="269" spans="1:14" x14ac:dyDescent="0.2">
      <c r="A269" s="12" t="s">
        <v>326</v>
      </c>
      <c r="B269" s="13" t="s">
        <v>27</v>
      </c>
      <c r="C269" s="14">
        <v>45672</v>
      </c>
      <c r="D269" s="13" t="s">
        <v>15</v>
      </c>
      <c r="E269" s="13" t="s">
        <v>28</v>
      </c>
      <c r="F269" s="13">
        <v>3774</v>
      </c>
      <c r="G269" s="13">
        <v>239</v>
      </c>
      <c r="H269" s="13">
        <v>39</v>
      </c>
      <c r="I269" s="13">
        <v>60384</v>
      </c>
      <c r="J269" s="13">
        <v>59490</v>
      </c>
      <c r="K269" s="13">
        <v>241</v>
      </c>
      <c r="L269" s="19">
        <f t="shared" si="4"/>
        <v>6.7103868574456813E-2</v>
      </c>
      <c r="M269" s="13" t="s">
        <v>23</v>
      </c>
      <c r="N269" s="15" t="s">
        <v>29</v>
      </c>
    </row>
    <row r="270" spans="1:14" x14ac:dyDescent="0.2">
      <c r="A270" s="8" t="s">
        <v>36</v>
      </c>
      <c r="B270" s="9" t="s">
        <v>27</v>
      </c>
      <c r="C270" s="10">
        <v>45469</v>
      </c>
      <c r="D270" s="9" t="s">
        <v>15</v>
      </c>
      <c r="E270" s="9" t="s">
        <v>28</v>
      </c>
      <c r="F270" s="9">
        <v>3557</v>
      </c>
      <c r="G270" s="9">
        <v>687</v>
      </c>
      <c r="H270" s="9">
        <v>424</v>
      </c>
      <c r="I270" s="9">
        <v>71140</v>
      </c>
      <c r="J270" s="9">
        <v>70701</v>
      </c>
      <c r="K270" s="9">
        <v>224</v>
      </c>
      <c r="L270" s="19">
        <f t="shared" si="4"/>
        <v>6.5617093055946027E-2</v>
      </c>
      <c r="M270" s="9" t="s">
        <v>362</v>
      </c>
      <c r="N270" s="11" t="s">
        <v>18</v>
      </c>
    </row>
    <row r="271" spans="1:14" x14ac:dyDescent="0.2">
      <c r="A271" s="12" t="s">
        <v>141</v>
      </c>
      <c r="B271" s="13" t="s">
        <v>27</v>
      </c>
      <c r="C271" s="14">
        <v>45684</v>
      </c>
      <c r="D271" s="13" t="s">
        <v>21</v>
      </c>
      <c r="E271" s="13" t="s">
        <v>75</v>
      </c>
      <c r="F271" s="13">
        <v>3428</v>
      </c>
      <c r="G271" s="13">
        <v>305</v>
      </c>
      <c r="H271" s="13">
        <v>85</v>
      </c>
      <c r="I271" s="13">
        <v>58276</v>
      </c>
      <c r="J271" s="13">
        <v>58052</v>
      </c>
      <c r="K271" s="13">
        <v>242</v>
      </c>
      <c r="L271" s="19">
        <f t="shared" si="4"/>
        <v>6.5515821264328367E-2</v>
      </c>
      <c r="M271" s="13" t="s">
        <v>364</v>
      </c>
      <c r="N271" s="15" t="s">
        <v>35</v>
      </c>
    </row>
    <row r="272" spans="1:14" x14ac:dyDescent="0.2">
      <c r="A272" s="12" t="s">
        <v>200</v>
      </c>
      <c r="B272" s="13" t="s">
        <v>27</v>
      </c>
      <c r="C272" s="14">
        <v>45593</v>
      </c>
      <c r="D272" s="13" t="s">
        <v>32</v>
      </c>
      <c r="E272" s="13" t="s">
        <v>103</v>
      </c>
      <c r="F272" s="13">
        <v>4929</v>
      </c>
      <c r="G272" s="13">
        <v>749</v>
      </c>
      <c r="H272" s="13">
        <v>452</v>
      </c>
      <c r="I272" s="13">
        <v>93651</v>
      </c>
      <c r="J272" s="13">
        <v>92810</v>
      </c>
      <c r="K272" s="13">
        <v>66</v>
      </c>
      <c r="L272" s="19">
        <f t="shared" si="4"/>
        <v>6.5455787978772245E-2</v>
      </c>
      <c r="M272" s="13" t="s">
        <v>34</v>
      </c>
      <c r="N272" s="15" t="s">
        <v>35</v>
      </c>
    </row>
    <row r="273" spans="1:14" x14ac:dyDescent="0.2">
      <c r="A273" s="8" t="s">
        <v>253</v>
      </c>
      <c r="B273" s="9" t="s">
        <v>14</v>
      </c>
      <c r="C273" s="10">
        <v>45587</v>
      </c>
      <c r="D273" s="9" t="s">
        <v>15</v>
      </c>
      <c r="E273" s="9" t="s">
        <v>16</v>
      </c>
      <c r="F273" s="9">
        <v>4782</v>
      </c>
      <c r="G273" s="9">
        <v>721</v>
      </c>
      <c r="H273" s="9">
        <v>82</v>
      </c>
      <c r="I273" s="9">
        <v>86076</v>
      </c>
      <c r="J273" s="9">
        <v>85339</v>
      </c>
      <c r="K273" s="9">
        <v>19</v>
      </c>
      <c r="L273" s="19">
        <f t="shared" si="4"/>
        <v>6.4884520656164318E-2</v>
      </c>
      <c r="M273" s="9" t="s">
        <v>34</v>
      </c>
      <c r="N273" s="11" t="s">
        <v>18</v>
      </c>
    </row>
    <row r="274" spans="1:14" x14ac:dyDescent="0.2">
      <c r="A274" s="8" t="s">
        <v>190</v>
      </c>
      <c r="B274" s="9" t="s">
        <v>38</v>
      </c>
      <c r="C274" s="10">
        <v>45624</v>
      </c>
      <c r="D274" s="9" t="s">
        <v>21</v>
      </c>
      <c r="E274" s="9" t="s">
        <v>47</v>
      </c>
      <c r="F274" s="9">
        <v>4213</v>
      </c>
      <c r="G274" s="9">
        <v>253</v>
      </c>
      <c r="H274" s="9">
        <v>434</v>
      </c>
      <c r="I274" s="9">
        <v>75834</v>
      </c>
      <c r="J274" s="9">
        <v>75437</v>
      </c>
      <c r="K274" s="9">
        <v>272</v>
      </c>
      <c r="L274" s="19">
        <f t="shared" si="4"/>
        <v>6.461481657304112E-2</v>
      </c>
      <c r="M274" s="9" t="s">
        <v>17</v>
      </c>
      <c r="N274" s="11" t="s">
        <v>35</v>
      </c>
    </row>
    <row r="275" spans="1:14" x14ac:dyDescent="0.2">
      <c r="A275" s="8" t="s">
        <v>126</v>
      </c>
      <c r="B275" s="9" t="s">
        <v>38</v>
      </c>
      <c r="C275" s="10">
        <v>45583</v>
      </c>
      <c r="D275" s="9" t="s">
        <v>32</v>
      </c>
      <c r="E275" s="9" t="s">
        <v>56</v>
      </c>
      <c r="F275" s="9">
        <v>4126</v>
      </c>
      <c r="G275" s="9">
        <v>426</v>
      </c>
      <c r="H275" s="9">
        <v>486</v>
      </c>
      <c r="I275" s="9">
        <v>78394</v>
      </c>
      <c r="J275" s="9">
        <v>77798</v>
      </c>
      <c r="K275" s="9">
        <v>88</v>
      </c>
      <c r="L275" s="19">
        <f t="shared" si="4"/>
        <v>6.4265122330790625E-2</v>
      </c>
      <c r="M275" s="9" t="s">
        <v>17</v>
      </c>
      <c r="N275" s="11" t="s">
        <v>35</v>
      </c>
    </row>
    <row r="276" spans="1:14" x14ac:dyDescent="0.2">
      <c r="A276" s="8" t="s">
        <v>323</v>
      </c>
      <c r="B276" s="9" t="s">
        <v>14</v>
      </c>
      <c r="C276" s="10">
        <v>45569</v>
      </c>
      <c r="D276" s="9" t="s">
        <v>15</v>
      </c>
      <c r="E276" s="9" t="s">
        <v>16</v>
      </c>
      <c r="F276" s="9">
        <v>4187</v>
      </c>
      <c r="G276" s="9">
        <v>66</v>
      </c>
      <c r="H276" s="9">
        <v>31</v>
      </c>
      <c r="I276" s="9">
        <v>66992</v>
      </c>
      <c r="J276" s="9">
        <v>66614</v>
      </c>
      <c r="K276" s="9">
        <v>62</v>
      </c>
      <c r="L276" s="19">
        <f t="shared" si="4"/>
        <v>6.3947934081681396E-2</v>
      </c>
      <c r="M276" s="9" t="s">
        <v>17</v>
      </c>
      <c r="N276" s="11"/>
    </row>
    <row r="277" spans="1:14" x14ac:dyDescent="0.2">
      <c r="A277" s="12" t="s">
        <v>66</v>
      </c>
      <c r="B277" s="13" t="s">
        <v>31</v>
      </c>
      <c r="C277" s="14">
        <v>45544</v>
      </c>
      <c r="D277" s="13" t="s">
        <v>39</v>
      </c>
      <c r="E277" s="13" t="s">
        <v>67</v>
      </c>
      <c r="F277" s="13">
        <v>4054</v>
      </c>
      <c r="G277" s="13">
        <v>488</v>
      </c>
      <c r="H277" s="13">
        <v>373</v>
      </c>
      <c r="I277" s="13">
        <v>77026</v>
      </c>
      <c r="J277" s="13">
        <v>76881</v>
      </c>
      <c r="K277" s="13">
        <v>25</v>
      </c>
      <c r="L277" s="19">
        <f t="shared" si="4"/>
        <v>6.3809622724794221E-2</v>
      </c>
      <c r="M277" s="13" t="s">
        <v>23</v>
      </c>
      <c r="N277" s="15" t="s">
        <v>18</v>
      </c>
    </row>
    <row r="278" spans="1:14" x14ac:dyDescent="0.2">
      <c r="A278" s="8" t="s">
        <v>120</v>
      </c>
      <c r="B278" s="9" t="s">
        <v>38</v>
      </c>
      <c r="C278" s="10">
        <v>45745</v>
      </c>
      <c r="D278" s="9" t="s">
        <v>39</v>
      </c>
      <c r="E278" s="9" t="s">
        <v>40</v>
      </c>
      <c r="F278" s="9">
        <v>4712</v>
      </c>
      <c r="G278" s="9">
        <v>568</v>
      </c>
      <c r="H278" s="9">
        <v>127</v>
      </c>
      <c r="I278" s="9">
        <v>84816</v>
      </c>
      <c r="J278" s="9">
        <v>84691</v>
      </c>
      <c r="K278" s="9">
        <v>100</v>
      </c>
      <c r="L278" s="19">
        <f t="shared" si="4"/>
        <v>6.3749764195434822E-2</v>
      </c>
      <c r="M278" s="9" t="s">
        <v>34</v>
      </c>
      <c r="N278" s="11" t="s">
        <v>29</v>
      </c>
    </row>
    <row r="279" spans="1:14" x14ac:dyDescent="0.2">
      <c r="A279" s="12" t="s">
        <v>206</v>
      </c>
      <c r="B279" s="13" t="s">
        <v>27</v>
      </c>
      <c r="C279" s="14">
        <v>45526</v>
      </c>
      <c r="D279" s="13" t="s">
        <v>39</v>
      </c>
      <c r="E279" s="13" t="s">
        <v>54</v>
      </c>
      <c r="F279" s="13">
        <v>4295</v>
      </c>
      <c r="G279" s="13">
        <v>853</v>
      </c>
      <c r="H279" s="13">
        <v>325</v>
      </c>
      <c r="I279" s="13">
        <v>85900</v>
      </c>
      <c r="J279" s="13">
        <v>85788</v>
      </c>
      <c r="K279" s="13">
        <v>290</v>
      </c>
      <c r="L279" s="19">
        <f t="shared" si="4"/>
        <v>6.3713620488940623E-2</v>
      </c>
      <c r="M279" s="13" t="s">
        <v>23</v>
      </c>
      <c r="N279" s="15" t="s">
        <v>35</v>
      </c>
    </row>
    <row r="280" spans="1:14" x14ac:dyDescent="0.2">
      <c r="A280" s="8" t="s">
        <v>337</v>
      </c>
      <c r="B280" s="9" t="s">
        <v>27</v>
      </c>
      <c r="C280" s="10">
        <v>45738</v>
      </c>
      <c r="D280" s="9" t="s">
        <v>44</v>
      </c>
      <c r="E280" s="9" t="s">
        <v>45</v>
      </c>
      <c r="F280" s="9">
        <v>3166</v>
      </c>
      <c r="G280" s="9">
        <v>90</v>
      </c>
      <c r="H280" s="9">
        <v>341</v>
      </c>
      <c r="I280" s="9">
        <v>56988</v>
      </c>
      <c r="J280" s="9">
        <v>56125</v>
      </c>
      <c r="K280" s="9">
        <v>135</v>
      </c>
      <c r="L280" s="19">
        <f t="shared" si="4"/>
        <v>6.3118551273952411E-2</v>
      </c>
      <c r="M280" s="9" t="s">
        <v>34</v>
      </c>
      <c r="N280" s="11" t="s">
        <v>24</v>
      </c>
    </row>
    <row r="281" spans="1:14" x14ac:dyDescent="0.2">
      <c r="A281" s="8" t="s">
        <v>273</v>
      </c>
      <c r="B281" s="9" t="s">
        <v>38</v>
      </c>
      <c r="C281" s="10">
        <v>45629</v>
      </c>
      <c r="D281" s="9" t="s">
        <v>44</v>
      </c>
      <c r="E281" s="9" t="s">
        <v>49</v>
      </c>
      <c r="F281" s="9">
        <v>4606</v>
      </c>
      <c r="G281" s="9">
        <v>931</v>
      </c>
      <c r="H281" s="9">
        <v>230</v>
      </c>
      <c r="I281" s="9">
        <v>92120</v>
      </c>
      <c r="J281" s="9">
        <v>91440</v>
      </c>
      <c r="K281" s="9">
        <v>56</v>
      </c>
      <c r="L281" s="19">
        <f t="shared" si="4"/>
        <v>6.2603126356925748E-2</v>
      </c>
      <c r="M281" s="9" t="s">
        <v>23</v>
      </c>
      <c r="N281" s="11"/>
    </row>
    <row r="282" spans="1:14" x14ac:dyDescent="0.2">
      <c r="A282" s="12" t="s">
        <v>256</v>
      </c>
      <c r="B282" s="13" t="s">
        <v>38</v>
      </c>
      <c r="C282" s="14">
        <v>45754</v>
      </c>
      <c r="D282" s="13" t="s">
        <v>15</v>
      </c>
      <c r="E282" s="13" t="s">
        <v>52</v>
      </c>
      <c r="F282" s="13">
        <v>3718</v>
      </c>
      <c r="G282" s="13">
        <v>385</v>
      </c>
      <c r="H282" s="13">
        <v>310</v>
      </c>
      <c r="I282" s="13">
        <v>70642</v>
      </c>
      <c r="J282" s="13">
        <v>69749</v>
      </c>
      <c r="K282" s="13">
        <v>233</v>
      </c>
      <c r="L282" s="19">
        <f t="shared" si="4"/>
        <v>6.246991874522239E-2</v>
      </c>
      <c r="M282" s="13" t="s">
        <v>23</v>
      </c>
      <c r="N282" s="15" t="s">
        <v>24</v>
      </c>
    </row>
    <row r="283" spans="1:14" x14ac:dyDescent="0.2">
      <c r="A283" s="8" t="s">
        <v>162</v>
      </c>
      <c r="B283" s="9" t="s">
        <v>27</v>
      </c>
      <c r="C283" s="10">
        <v>45464</v>
      </c>
      <c r="D283" s="9" t="s">
        <v>44</v>
      </c>
      <c r="E283" s="9" t="s">
        <v>45</v>
      </c>
      <c r="F283" s="9">
        <v>4832</v>
      </c>
      <c r="G283" s="9">
        <v>893</v>
      </c>
      <c r="H283" s="9">
        <v>10</v>
      </c>
      <c r="I283" s="9">
        <v>91808</v>
      </c>
      <c r="J283" s="9">
        <v>91296</v>
      </c>
      <c r="K283" s="9">
        <v>182</v>
      </c>
      <c r="L283" s="19">
        <f t="shared" si="4"/>
        <v>6.2467323109097243E-2</v>
      </c>
      <c r="M283" s="9" t="s">
        <v>23</v>
      </c>
      <c r="N283" s="11"/>
    </row>
    <row r="284" spans="1:14" x14ac:dyDescent="0.2">
      <c r="A284" s="8" t="s">
        <v>170</v>
      </c>
      <c r="B284" s="9" t="s">
        <v>14</v>
      </c>
      <c r="C284" s="10">
        <v>45788</v>
      </c>
      <c r="D284" s="9" t="s">
        <v>44</v>
      </c>
      <c r="E284" s="9" t="s">
        <v>90</v>
      </c>
      <c r="F284" s="9">
        <v>2493</v>
      </c>
      <c r="G284" s="9">
        <v>97</v>
      </c>
      <c r="H284" s="9">
        <v>44</v>
      </c>
      <c r="I284" s="9">
        <v>42381</v>
      </c>
      <c r="J284" s="9">
        <v>41991</v>
      </c>
      <c r="K284" s="9">
        <v>242</v>
      </c>
      <c r="L284" s="19">
        <f t="shared" si="4"/>
        <v>6.2150491965739366E-2</v>
      </c>
      <c r="M284" s="9" t="s">
        <v>363</v>
      </c>
      <c r="N284" s="11" t="s">
        <v>35</v>
      </c>
    </row>
    <row r="285" spans="1:14" x14ac:dyDescent="0.2">
      <c r="A285" s="8" t="s">
        <v>279</v>
      </c>
      <c r="B285" s="9" t="s">
        <v>14</v>
      </c>
      <c r="C285" s="10">
        <v>45608</v>
      </c>
      <c r="D285" s="9" t="s">
        <v>44</v>
      </c>
      <c r="E285" s="9" t="s">
        <v>90</v>
      </c>
      <c r="F285" s="9">
        <v>3338</v>
      </c>
      <c r="G285" s="9">
        <v>277</v>
      </c>
      <c r="H285" s="9">
        <v>118</v>
      </c>
      <c r="I285" s="9">
        <v>60084</v>
      </c>
      <c r="J285" s="9">
        <v>59842</v>
      </c>
      <c r="K285" s="9">
        <v>252</v>
      </c>
      <c r="L285" s="19">
        <f t="shared" si="4"/>
        <v>6.2129685107516146E-2</v>
      </c>
      <c r="M285" s="9" t="s">
        <v>23</v>
      </c>
      <c r="N285" s="11"/>
    </row>
    <row r="286" spans="1:14" x14ac:dyDescent="0.2">
      <c r="A286" s="8" t="s">
        <v>335</v>
      </c>
      <c r="B286" s="9" t="s">
        <v>27</v>
      </c>
      <c r="C286" s="10">
        <v>45537</v>
      </c>
      <c r="D286" s="9" t="s">
        <v>44</v>
      </c>
      <c r="E286" s="9" t="s">
        <v>45</v>
      </c>
      <c r="F286" s="9">
        <v>4905</v>
      </c>
      <c r="G286" s="9">
        <v>845</v>
      </c>
      <c r="H286" s="9">
        <v>129</v>
      </c>
      <c r="I286" s="9">
        <v>98100</v>
      </c>
      <c r="J286" s="9">
        <v>97772</v>
      </c>
      <c r="K286" s="9">
        <v>279</v>
      </c>
      <c r="L286" s="19">
        <f t="shared" si="4"/>
        <v>5.9928644240570844E-2</v>
      </c>
      <c r="M286" s="9" t="s">
        <v>23</v>
      </c>
      <c r="N286" s="11" t="s">
        <v>24</v>
      </c>
    </row>
    <row r="287" spans="1:14" x14ac:dyDescent="0.2">
      <c r="A287" s="8" t="s">
        <v>72</v>
      </c>
      <c r="B287" s="9" t="s">
        <v>14</v>
      </c>
      <c r="C287" s="10">
        <v>45757</v>
      </c>
      <c r="D287" s="9" t="s">
        <v>39</v>
      </c>
      <c r="E287" s="9" t="s">
        <v>42</v>
      </c>
      <c r="F287" s="9">
        <v>3128</v>
      </c>
      <c r="G287" s="9">
        <v>211</v>
      </c>
      <c r="H287" s="9">
        <v>197</v>
      </c>
      <c r="I287" s="9">
        <v>59432</v>
      </c>
      <c r="J287" s="9">
        <v>59182</v>
      </c>
      <c r="K287" s="9">
        <v>238</v>
      </c>
      <c r="L287" s="19">
        <f t="shared" si="4"/>
        <v>5.9496567505720827E-2</v>
      </c>
      <c r="M287" s="9" t="s">
        <v>34</v>
      </c>
      <c r="N287" s="11"/>
    </row>
    <row r="288" spans="1:14" x14ac:dyDescent="0.2">
      <c r="A288" s="8" t="s">
        <v>57</v>
      </c>
      <c r="B288" s="9" t="s">
        <v>38</v>
      </c>
      <c r="C288" s="10">
        <v>45589</v>
      </c>
      <c r="D288" s="9" t="s">
        <v>58</v>
      </c>
      <c r="E288" s="9" t="s">
        <v>59</v>
      </c>
      <c r="F288" s="9">
        <v>3888</v>
      </c>
      <c r="G288" s="9">
        <v>604</v>
      </c>
      <c r="H288" s="9">
        <v>128</v>
      </c>
      <c r="I288" s="9">
        <v>77760</v>
      </c>
      <c r="J288" s="9">
        <v>77167</v>
      </c>
      <c r="K288" s="9">
        <v>20</v>
      </c>
      <c r="L288" s="19">
        <f t="shared" si="4"/>
        <v>5.941358024691358E-2</v>
      </c>
      <c r="M288" s="9" t="s">
        <v>17</v>
      </c>
      <c r="N288" s="11" t="s">
        <v>18</v>
      </c>
    </row>
    <row r="289" spans="1:14" x14ac:dyDescent="0.2">
      <c r="A289" s="12" t="s">
        <v>352</v>
      </c>
      <c r="B289" s="13" t="s">
        <v>14</v>
      </c>
      <c r="C289" s="14">
        <v>45699</v>
      </c>
      <c r="D289" s="13" t="s">
        <v>58</v>
      </c>
      <c r="E289" s="13" t="s">
        <v>97</v>
      </c>
      <c r="F289" s="13">
        <v>3440</v>
      </c>
      <c r="G289" s="13">
        <v>13</v>
      </c>
      <c r="H289" s="13">
        <v>20</v>
      </c>
      <c r="I289" s="13">
        <v>58480</v>
      </c>
      <c r="J289" s="13">
        <v>58146</v>
      </c>
      <c r="K289" s="13">
        <v>210</v>
      </c>
      <c r="L289" s="19">
        <f t="shared" si="4"/>
        <v>5.9387824897400819E-2</v>
      </c>
      <c r="M289" s="13" t="s">
        <v>369</v>
      </c>
      <c r="N289" s="15" t="s">
        <v>35</v>
      </c>
    </row>
    <row r="290" spans="1:14" x14ac:dyDescent="0.2">
      <c r="A290" s="12" t="s">
        <v>354</v>
      </c>
      <c r="B290" s="13" t="s">
        <v>38</v>
      </c>
      <c r="C290" s="14">
        <v>45589</v>
      </c>
      <c r="D290" s="13" t="s">
        <v>44</v>
      </c>
      <c r="E290" s="13" t="s">
        <v>49</v>
      </c>
      <c r="F290" s="13">
        <v>4303</v>
      </c>
      <c r="G290" s="13">
        <v>451</v>
      </c>
      <c r="H290" s="13">
        <v>286</v>
      </c>
      <c r="I290" s="13">
        <v>86060</v>
      </c>
      <c r="J290" s="13">
        <v>85823</v>
      </c>
      <c r="K290" s="13">
        <v>14</v>
      </c>
      <c r="L290" s="19">
        <f t="shared" si="4"/>
        <v>5.8563792702765516E-2</v>
      </c>
      <c r="M290" s="13" t="s">
        <v>23</v>
      </c>
      <c r="N290" s="15" t="s">
        <v>29</v>
      </c>
    </row>
    <row r="291" spans="1:14" x14ac:dyDescent="0.2">
      <c r="A291" s="12" t="s">
        <v>272</v>
      </c>
      <c r="B291" s="13" t="s">
        <v>27</v>
      </c>
      <c r="C291" s="14">
        <v>45502</v>
      </c>
      <c r="D291" s="13" t="s">
        <v>32</v>
      </c>
      <c r="E291" s="13" t="s">
        <v>103</v>
      </c>
      <c r="F291" s="13">
        <v>1509</v>
      </c>
      <c r="G291" s="13">
        <v>88</v>
      </c>
      <c r="H291" s="13">
        <v>163</v>
      </c>
      <c r="I291" s="13">
        <v>30180</v>
      </c>
      <c r="J291" s="13">
        <v>29689</v>
      </c>
      <c r="K291" s="13">
        <v>119</v>
      </c>
      <c r="L291" s="19">
        <f t="shared" si="4"/>
        <v>5.8316766070245198E-2</v>
      </c>
      <c r="M291" s="13" t="s">
        <v>34</v>
      </c>
      <c r="N291" s="15" t="s">
        <v>24</v>
      </c>
    </row>
    <row r="292" spans="1:14" x14ac:dyDescent="0.2">
      <c r="A292" s="8" t="s">
        <v>339</v>
      </c>
      <c r="B292" s="9" t="s">
        <v>14</v>
      </c>
      <c r="C292" s="10">
        <v>45786</v>
      </c>
      <c r="D292" s="9" t="s">
        <v>15</v>
      </c>
      <c r="E292" s="9" t="s">
        <v>16</v>
      </c>
      <c r="F292" s="9">
        <v>3367</v>
      </c>
      <c r="G292" s="9">
        <v>302</v>
      </c>
      <c r="H292" s="9">
        <v>57</v>
      </c>
      <c r="I292" s="9">
        <v>63973</v>
      </c>
      <c r="J292" s="9">
        <v>63789</v>
      </c>
      <c r="K292" s="9">
        <v>157</v>
      </c>
      <c r="L292" s="19">
        <f t="shared" si="4"/>
        <v>5.8243321401216137E-2</v>
      </c>
      <c r="M292" s="9" t="s">
        <v>17</v>
      </c>
      <c r="N292" s="11" t="s">
        <v>24</v>
      </c>
    </row>
    <row r="293" spans="1:14" x14ac:dyDescent="0.2">
      <c r="A293" s="12" t="s">
        <v>312</v>
      </c>
      <c r="B293" s="13" t="s">
        <v>27</v>
      </c>
      <c r="C293" s="14">
        <v>45553</v>
      </c>
      <c r="D293" s="13" t="s">
        <v>39</v>
      </c>
      <c r="E293" s="13" t="s">
        <v>54</v>
      </c>
      <c r="F293" s="13">
        <v>2143</v>
      </c>
      <c r="G293" s="13">
        <v>12</v>
      </c>
      <c r="H293" s="13">
        <v>204</v>
      </c>
      <c r="I293" s="13">
        <v>40717</v>
      </c>
      <c r="J293" s="13">
        <v>40125</v>
      </c>
      <c r="K293" s="13">
        <v>248</v>
      </c>
      <c r="L293" s="19">
        <f t="shared" si="4"/>
        <v>5.7936488444630008E-2</v>
      </c>
      <c r="M293" s="13" t="s">
        <v>34</v>
      </c>
      <c r="N293" s="15" t="s">
        <v>24</v>
      </c>
    </row>
    <row r="294" spans="1:14" x14ac:dyDescent="0.2">
      <c r="A294" s="12" t="s">
        <v>78</v>
      </c>
      <c r="B294" s="13" t="s">
        <v>31</v>
      </c>
      <c r="C294" s="14">
        <v>45713</v>
      </c>
      <c r="D294" s="13" t="s">
        <v>58</v>
      </c>
      <c r="E294" s="13" t="s">
        <v>65</v>
      </c>
      <c r="F294" s="13">
        <v>3095</v>
      </c>
      <c r="G294" s="13">
        <v>39</v>
      </c>
      <c r="H294" s="13">
        <v>78</v>
      </c>
      <c r="I294" s="13">
        <v>55710</v>
      </c>
      <c r="J294" s="13">
        <v>54808</v>
      </c>
      <c r="K294" s="13">
        <v>93</v>
      </c>
      <c r="L294" s="19">
        <f t="shared" si="4"/>
        <v>5.7655717106444085E-2</v>
      </c>
      <c r="M294" s="13" t="s">
        <v>34</v>
      </c>
      <c r="N294" s="15"/>
    </row>
    <row r="295" spans="1:14" x14ac:dyDescent="0.2">
      <c r="A295" s="8" t="s">
        <v>259</v>
      </c>
      <c r="B295" s="9" t="s">
        <v>31</v>
      </c>
      <c r="C295" s="10">
        <v>45617</v>
      </c>
      <c r="D295" s="9" t="s">
        <v>39</v>
      </c>
      <c r="E295" s="9" t="s">
        <v>67</v>
      </c>
      <c r="F295" s="9">
        <v>3773</v>
      </c>
      <c r="G295" s="9">
        <v>299</v>
      </c>
      <c r="H295" s="9">
        <v>38</v>
      </c>
      <c r="I295" s="9">
        <v>71687</v>
      </c>
      <c r="J295" s="9">
        <v>71447</v>
      </c>
      <c r="K295" s="9">
        <v>286</v>
      </c>
      <c r="L295" s="19">
        <f t="shared" si="4"/>
        <v>5.7332570758993957E-2</v>
      </c>
      <c r="M295" s="9" t="s">
        <v>17</v>
      </c>
      <c r="N295" s="11" t="s">
        <v>18</v>
      </c>
    </row>
    <row r="296" spans="1:14" x14ac:dyDescent="0.2">
      <c r="A296" s="8" t="s">
        <v>281</v>
      </c>
      <c r="B296" s="9" t="s">
        <v>14</v>
      </c>
      <c r="C296" s="10">
        <v>45463</v>
      </c>
      <c r="D296" s="9" t="s">
        <v>39</v>
      </c>
      <c r="E296" s="9" t="s">
        <v>42</v>
      </c>
      <c r="F296" s="9">
        <v>4672</v>
      </c>
      <c r="G296" s="9">
        <v>325</v>
      </c>
      <c r="H296" s="9">
        <v>32</v>
      </c>
      <c r="I296" s="9">
        <v>88768</v>
      </c>
      <c r="J296" s="9">
        <v>87833</v>
      </c>
      <c r="K296" s="9">
        <v>118</v>
      </c>
      <c r="L296" s="19">
        <f t="shared" si="4"/>
        <v>5.6653298485940883E-2</v>
      </c>
      <c r="M296" s="9" t="s">
        <v>34</v>
      </c>
      <c r="N296" s="11"/>
    </row>
    <row r="297" spans="1:14" x14ac:dyDescent="0.2">
      <c r="A297" s="8" t="s">
        <v>201</v>
      </c>
      <c r="B297" s="9" t="s">
        <v>31</v>
      </c>
      <c r="C297" s="10">
        <v>45516</v>
      </c>
      <c r="D297" s="9" t="s">
        <v>39</v>
      </c>
      <c r="E297" s="9" t="s">
        <v>67</v>
      </c>
      <c r="F297" s="9">
        <v>1878</v>
      </c>
      <c r="G297" s="9">
        <v>62</v>
      </c>
      <c r="H297" s="9">
        <v>179</v>
      </c>
      <c r="I297" s="9">
        <v>37560</v>
      </c>
      <c r="J297" s="9">
        <v>36874</v>
      </c>
      <c r="K297" s="9">
        <v>142</v>
      </c>
      <c r="L297" s="19">
        <f t="shared" si="4"/>
        <v>5.6416400425985093E-2</v>
      </c>
      <c r="M297" s="9" t="s">
        <v>23</v>
      </c>
      <c r="N297" s="11" t="s">
        <v>35</v>
      </c>
    </row>
    <row r="298" spans="1:14" x14ac:dyDescent="0.2">
      <c r="A298" s="12" t="s">
        <v>246</v>
      </c>
      <c r="B298" s="13" t="s">
        <v>27</v>
      </c>
      <c r="C298" s="14">
        <v>45569</v>
      </c>
      <c r="D298" s="13" t="s">
        <v>21</v>
      </c>
      <c r="E298" s="13" t="s">
        <v>75</v>
      </c>
      <c r="F298" s="13">
        <v>1963</v>
      </c>
      <c r="G298" s="13">
        <v>213</v>
      </c>
      <c r="H298" s="13">
        <v>19</v>
      </c>
      <c r="I298" s="13">
        <v>39260</v>
      </c>
      <c r="J298" s="13">
        <v>38771</v>
      </c>
      <c r="K298" s="13">
        <v>145</v>
      </c>
      <c r="L298" s="19">
        <f t="shared" si="4"/>
        <v>5.5909322465613857E-2</v>
      </c>
      <c r="M298" s="13" t="s">
        <v>17</v>
      </c>
      <c r="N298" s="15"/>
    </row>
    <row r="299" spans="1:14" x14ac:dyDescent="0.2">
      <c r="A299" s="8" t="s">
        <v>26</v>
      </c>
      <c r="B299" s="9" t="s">
        <v>27</v>
      </c>
      <c r="C299" s="10">
        <v>45789</v>
      </c>
      <c r="D299" s="9" t="s">
        <v>15</v>
      </c>
      <c r="E299" s="9" t="s">
        <v>28</v>
      </c>
      <c r="F299" s="9">
        <v>2795</v>
      </c>
      <c r="G299" s="9">
        <v>105</v>
      </c>
      <c r="H299" s="9">
        <v>49</v>
      </c>
      <c r="I299" s="9">
        <v>53105</v>
      </c>
      <c r="J299" s="9">
        <v>52307</v>
      </c>
      <c r="K299" s="9">
        <v>204</v>
      </c>
      <c r="L299" s="19">
        <f t="shared" si="4"/>
        <v>5.5531494209584788E-2</v>
      </c>
      <c r="M299" s="9" t="s">
        <v>23</v>
      </c>
      <c r="N299" s="11" t="s">
        <v>29</v>
      </c>
    </row>
    <row r="300" spans="1:14" x14ac:dyDescent="0.2">
      <c r="A300" s="12" t="s">
        <v>232</v>
      </c>
      <c r="B300" s="13" t="s">
        <v>38</v>
      </c>
      <c r="C300" s="14">
        <v>45463</v>
      </c>
      <c r="D300" s="13" t="s">
        <v>58</v>
      </c>
      <c r="E300" s="13" t="s">
        <v>59</v>
      </c>
      <c r="F300" s="13">
        <v>3798</v>
      </c>
      <c r="G300" s="13">
        <v>31</v>
      </c>
      <c r="H300" s="13">
        <v>279</v>
      </c>
      <c r="I300" s="13">
        <v>75960</v>
      </c>
      <c r="J300" s="13">
        <v>75813</v>
      </c>
      <c r="K300" s="13">
        <v>266</v>
      </c>
      <c r="L300" s="19">
        <f t="shared" si="4"/>
        <v>5.4081095313322801E-2</v>
      </c>
      <c r="M300" s="13" t="s">
        <v>23</v>
      </c>
      <c r="N300" s="15" t="s">
        <v>18</v>
      </c>
    </row>
    <row r="301" spans="1:14" x14ac:dyDescent="0.2">
      <c r="A301" s="8" t="s">
        <v>116</v>
      </c>
      <c r="B301" s="9" t="s">
        <v>14</v>
      </c>
      <c r="C301" s="10">
        <v>45504</v>
      </c>
      <c r="D301" s="9" t="s">
        <v>39</v>
      </c>
      <c r="E301" s="9" t="s">
        <v>42</v>
      </c>
      <c r="F301" s="9">
        <v>4507</v>
      </c>
      <c r="G301" s="9">
        <v>217</v>
      </c>
      <c r="H301" s="9">
        <v>13</v>
      </c>
      <c r="I301" s="9">
        <v>90140</v>
      </c>
      <c r="J301" s="9">
        <v>89591</v>
      </c>
      <c r="K301" s="9">
        <v>125</v>
      </c>
      <c r="L301" s="19">
        <f t="shared" si="4"/>
        <v>5.2551586421122697E-2</v>
      </c>
      <c r="M301" s="9" t="s">
        <v>17</v>
      </c>
      <c r="N301" s="11" t="s">
        <v>29</v>
      </c>
    </row>
    <row r="302" spans="1:14" x14ac:dyDescent="0.2">
      <c r="A302" s="8"/>
      <c r="B302" s="9"/>
      <c r="C302" s="10"/>
      <c r="D302" s="9"/>
      <c r="E302" s="9"/>
      <c r="F302" s="9"/>
      <c r="G302" s="9"/>
      <c r="H302" s="9"/>
      <c r="I302" s="9"/>
      <c r="J302" s="9"/>
      <c r="K302" s="9"/>
      <c r="L302" s="9"/>
      <c r="M302" s="9"/>
      <c r="N302" s="11"/>
    </row>
    <row r="303" spans="1:14" x14ac:dyDescent="0.2">
      <c r="A303" s="12"/>
      <c r="B303" s="13"/>
      <c r="C303" s="14"/>
      <c r="D303" s="13"/>
      <c r="E303" s="13"/>
      <c r="F303" s="13"/>
      <c r="G303" s="13"/>
      <c r="H303" s="13"/>
      <c r="I303" s="13"/>
      <c r="J303" s="13"/>
      <c r="K303" s="13"/>
      <c r="L303" s="13"/>
      <c r="M303" s="13"/>
      <c r="N303" s="15"/>
    </row>
    <row r="304" spans="1:14" x14ac:dyDescent="0.2">
      <c r="A304" s="8"/>
      <c r="B304" s="9"/>
      <c r="C304" s="10"/>
      <c r="D304" s="9"/>
      <c r="E304" s="9"/>
      <c r="F304" s="9"/>
      <c r="G304" s="9"/>
      <c r="H304" s="9"/>
      <c r="I304" s="9"/>
      <c r="J304" s="9"/>
      <c r="K304" s="9"/>
      <c r="L304" s="9"/>
      <c r="M304" s="9"/>
      <c r="N304" s="11"/>
    </row>
    <row r="305" spans="1:14" x14ac:dyDescent="0.2">
      <c r="A305" s="12"/>
      <c r="B305" s="13"/>
      <c r="C305" s="14"/>
      <c r="D305" s="13"/>
      <c r="E305" s="13"/>
      <c r="F305" s="13"/>
      <c r="G305" s="13"/>
      <c r="H305" s="13"/>
      <c r="I305" s="13"/>
      <c r="J305" s="13"/>
      <c r="K305" s="13"/>
      <c r="L305" s="13"/>
      <c r="M305" s="13"/>
      <c r="N305" s="15"/>
    </row>
    <row r="306" spans="1:14" x14ac:dyDescent="0.2">
      <c r="A306" s="8"/>
      <c r="B306" s="9"/>
      <c r="C306" s="10"/>
      <c r="D306" s="9"/>
      <c r="E306" s="9"/>
      <c r="F306" s="9"/>
      <c r="G306" s="9"/>
      <c r="H306" s="9"/>
      <c r="I306" s="9"/>
      <c r="J306" s="9"/>
      <c r="K306" s="9"/>
      <c r="L306" s="9"/>
      <c r="M306" s="9"/>
      <c r="N306" s="11"/>
    </row>
    <row r="307" spans="1:14" x14ac:dyDescent="0.2">
      <c r="A307" s="12"/>
      <c r="B307" s="13"/>
      <c r="C307" s="14"/>
      <c r="D307" s="13"/>
      <c r="E307" s="13"/>
      <c r="F307" s="13"/>
      <c r="G307" s="13"/>
      <c r="H307" s="13"/>
      <c r="I307" s="13"/>
      <c r="J307" s="13"/>
      <c r="K307" s="13"/>
      <c r="L307" s="13"/>
      <c r="M307" s="13"/>
      <c r="N307" s="15"/>
    </row>
    <row r="308" spans="1:14" x14ac:dyDescent="0.2">
      <c r="A308" s="8"/>
      <c r="B308" s="9"/>
      <c r="C308" s="10"/>
      <c r="D308" s="9"/>
      <c r="E308" s="9"/>
      <c r="F308" s="9"/>
      <c r="G308" s="9"/>
      <c r="H308" s="9"/>
      <c r="I308" s="9"/>
      <c r="J308" s="9"/>
      <c r="K308" s="9"/>
      <c r="L308" s="9"/>
      <c r="M308" s="9"/>
      <c r="N308" s="11"/>
    </row>
    <row r="309" spans="1:14" x14ac:dyDescent="0.2">
      <c r="A309" s="12"/>
      <c r="B309" s="13"/>
      <c r="C309" s="14"/>
      <c r="D309" s="13"/>
      <c r="E309" s="13"/>
      <c r="F309" s="13"/>
      <c r="G309" s="13"/>
      <c r="H309" s="13"/>
      <c r="I309" s="13"/>
      <c r="J309" s="13"/>
      <c r="K309" s="13"/>
      <c r="L309" s="13"/>
      <c r="M309" s="13"/>
      <c r="N309" s="15"/>
    </row>
    <row r="310" spans="1:14" x14ac:dyDescent="0.2">
      <c r="A310" s="8"/>
      <c r="B310" s="9"/>
      <c r="C310" s="10"/>
      <c r="D310" s="9"/>
      <c r="E310" s="9"/>
      <c r="F310" s="9"/>
      <c r="G310" s="9"/>
      <c r="H310" s="9"/>
      <c r="I310" s="9"/>
      <c r="J310" s="9"/>
      <c r="K310" s="9"/>
      <c r="L310" s="9"/>
      <c r="M310" s="9"/>
      <c r="N310" s="11"/>
    </row>
    <row r="311" spans="1:14" x14ac:dyDescent="0.2">
      <c r="A311" s="12"/>
      <c r="B311" s="13"/>
      <c r="C311" s="14"/>
      <c r="D311" s="13"/>
      <c r="E311" s="13"/>
      <c r="F311" s="13"/>
      <c r="G311" s="13"/>
      <c r="H311" s="13"/>
      <c r="I311" s="13"/>
      <c r="J311" s="13"/>
      <c r="K311" s="13"/>
      <c r="L311" s="13"/>
      <c r="M311" s="13"/>
      <c r="N311" s="15"/>
    </row>
    <row r="312" spans="1:14" x14ac:dyDescent="0.2">
      <c r="A312" s="8"/>
      <c r="B312" s="9"/>
      <c r="C312" s="10"/>
      <c r="D312" s="9"/>
      <c r="E312" s="9"/>
      <c r="F312" s="9"/>
      <c r="G312" s="9"/>
      <c r="H312" s="9"/>
      <c r="I312" s="9"/>
      <c r="J312" s="9"/>
      <c r="K312" s="9"/>
      <c r="L312" s="9"/>
      <c r="M312" s="9"/>
      <c r="N312" s="11"/>
    </row>
    <row r="313" spans="1:14" x14ac:dyDescent="0.2">
      <c r="A313" s="12"/>
      <c r="B313" s="13"/>
      <c r="C313" s="14"/>
      <c r="D313" s="13"/>
      <c r="E313" s="13"/>
      <c r="F313" s="13"/>
      <c r="G313" s="13"/>
      <c r="H313" s="13"/>
      <c r="I313" s="13"/>
      <c r="J313" s="13"/>
      <c r="K313" s="13"/>
      <c r="L313" s="13"/>
      <c r="M313" s="13"/>
      <c r="N313" s="15"/>
    </row>
    <row r="314" spans="1:14" x14ac:dyDescent="0.2">
      <c r="A314" s="8"/>
      <c r="B314" s="9"/>
      <c r="C314" s="10"/>
      <c r="D314" s="9"/>
      <c r="E314" s="9"/>
      <c r="F314" s="9"/>
      <c r="G314" s="9"/>
      <c r="H314" s="9"/>
      <c r="I314" s="9"/>
      <c r="J314" s="9"/>
      <c r="K314" s="9"/>
      <c r="L314" s="9"/>
      <c r="M314" s="9"/>
      <c r="N314" s="11"/>
    </row>
    <row r="315" spans="1:14" x14ac:dyDescent="0.2">
      <c r="A315" s="12"/>
      <c r="B315" s="13"/>
      <c r="C315" s="14"/>
      <c r="D315" s="13"/>
      <c r="E315" s="13"/>
      <c r="F315" s="13"/>
      <c r="G315" s="13"/>
      <c r="H315" s="13"/>
      <c r="I315" s="13"/>
      <c r="J315" s="13"/>
      <c r="K315" s="13"/>
      <c r="L315" s="13"/>
      <c r="M315" s="13"/>
      <c r="N315" s="15"/>
    </row>
    <row r="316" spans="1:14" x14ac:dyDescent="0.2">
      <c r="A316" s="8"/>
      <c r="B316" s="9"/>
      <c r="C316" s="10"/>
      <c r="D316" s="9"/>
      <c r="E316" s="9"/>
      <c r="F316" s="9"/>
      <c r="G316" s="9"/>
      <c r="H316" s="9"/>
      <c r="I316" s="9"/>
      <c r="J316" s="9"/>
      <c r="K316" s="9"/>
      <c r="L316" s="9"/>
      <c r="M316" s="9"/>
      <c r="N316" s="11"/>
    </row>
    <row r="317" spans="1:14" x14ac:dyDescent="0.2">
      <c r="A317" s="12"/>
      <c r="B317" s="13"/>
      <c r="C317" s="14"/>
      <c r="D317" s="13"/>
      <c r="E317" s="13"/>
      <c r="F317" s="13"/>
      <c r="G317" s="13"/>
      <c r="H317" s="13"/>
      <c r="I317" s="13"/>
      <c r="J317" s="13"/>
      <c r="K317" s="13"/>
      <c r="L317" s="13"/>
      <c r="M317" s="13"/>
      <c r="N317" s="15"/>
    </row>
    <row r="318" spans="1:14" x14ac:dyDescent="0.2">
      <c r="A318" s="8"/>
      <c r="B318" s="9"/>
      <c r="C318" s="10"/>
      <c r="D318" s="9"/>
      <c r="E318" s="9"/>
      <c r="F318" s="9"/>
      <c r="G318" s="9"/>
      <c r="H318" s="9"/>
      <c r="I318" s="9"/>
      <c r="J318" s="9"/>
      <c r="K318" s="9"/>
      <c r="L318" s="9"/>
      <c r="M318" s="9"/>
      <c r="N318" s="11"/>
    </row>
    <row r="319" spans="1:14" x14ac:dyDescent="0.2">
      <c r="A319" s="12"/>
      <c r="B319" s="13"/>
      <c r="C319" s="14"/>
      <c r="D319" s="13"/>
      <c r="E319" s="13"/>
      <c r="F319" s="13"/>
      <c r="G319" s="13"/>
      <c r="H319" s="13"/>
      <c r="I319" s="13"/>
      <c r="J319" s="13"/>
      <c r="K319" s="13"/>
      <c r="L319" s="13"/>
      <c r="M319" s="13"/>
      <c r="N319" s="15"/>
    </row>
    <row r="320" spans="1:14" x14ac:dyDescent="0.2">
      <c r="A320" s="8"/>
      <c r="B320" s="9"/>
      <c r="C320" s="10"/>
      <c r="D320" s="9"/>
      <c r="E320" s="9"/>
      <c r="F320" s="9"/>
      <c r="G320" s="9"/>
      <c r="H320" s="9"/>
      <c r="I320" s="9"/>
      <c r="J320" s="9"/>
      <c r="K320" s="9"/>
      <c r="L320" s="9"/>
      <c r="M320" s="9"/>
      <c r="N320" s="11"/>
    </row>
    <row r="321" spans="1:14" x14ac:dyDescent="0.2">
      <c r="A321" s="12"/>
      <c r="B321" s="13"/>
      <c r="C321" s="14"/>
      <c r="D321" s="13"/>
      <c r="E321" s="13"/>
      <c r="F321" s="13"/>
      <c r="G321" s="13"/>
      <c r="H321" s="13"/>
      <c r="I321" s="13"/>
      <c r="J321" s="13"/>
      <c r="K321" s="13"/>
      <c r="L321" s="13"/>
      <c r="M321" s="13"/>
      <c r="N321" s="15"/>
    </row>
    <row r="322" spans="1:14" x14ac:dyDescent="0.2">
      <c r="A322" s="8"/>
      <c r="B322" s="9"/>
      <c r="C322" s="10"/>
      <c r="D322" s="9"/>
      <c r="E322" s="9"/>
      <c r="F322" s="9"/>
      <c r="G322" s="9"/>
      <c r="H322" s="9"/>
      <c r="I322" s="9"/>
      <c r="J322" s="9"/>
      <c r="K322" s="9"/>
      <c r="L322" s="9"/>
      <c r="M322" s="9"/>
      <c r="N322" s="11"/>
    </row>
    <row r="323" spans="1:14" x14ac:dyDescent="0.2">
      <c r="A323" s="12"/>
      <c r="B323" s="13"/>
      <c r="C323" s="14"/>
      <c r="D323" s="13"/>
      <c r="E323" s="13"/>
      <c r="F323" s="13"/>
      <c r="G323" s="13"/>
      <c r="H323" s="13"/>
      <c r="I323" s="13"/>
      <c r="J323" s="13"/>
      <c r="K323" s="13"/>
      <c r="L323" s="13"/>
      <c r="M323" s="13"/>
      <c r="N323" s="15"/>
    </row>
    <row r="324" spans="1:14" x14ac:dyDescent="0.2">
      <c r="A324" s="8"/>
      <c r="B324" s="9"/>
      <c r="C324" s="10"/>
      <c r="D324" s="9"/>
      <c r="E324" s="9"/>
      <c r="F324" s="9"/>
      <c r="G324" s="9"/>
      <c r="H324" s="9"/>
      <c r="I324" s="9"/>
      <c r="J324" s="9"/>
      <c r="K324" s="9"/>
      <c r="L324" s="9"/>
      <c r="M324" s="9"/>
      <c r="N324" s="11"/>
    </row>
    <row r="325" spans="1:14" x14ac:dyDescent="0.2">
      <c r="A325" s="12"/>
      <c r="B325" s="13"/>
      <c r="C325" s="14"/>
      <c r="D325" s="13"/>
      <c r="E325" s="13"/>
      <c r="F325" s="13"/>
      <c r="G325" s="13"/>
      <c r="H325" s="13"/>
      <c r="I325" s="13"/>
      <c r="J325" s="13"/>
      <c r="K325" s="13"/>
      <c r="L325" s="13"/>
      <c r="M325" s="13"/>
      <c r="N325" s="15"/>
    </row>
    <row r="326" spans="1:14" x14ac:dyDescent="0.2">
      <c r="A326" s="8"/>
      <c r="B326" s="9"/>
      <c r="C326" s="10"/>
      <c r="D326" s="9"/>
      <c r="E326" s="9"/>
      <c r="F326" s="9"/>
      <c r="G326" s="9"/>
      <c r="H326" s="9"/>
      <c r="I326" s="9"/>
      <c r="J326" s="9"/>
      <c r="K326" s="9"/>
      <c r="L326" s="9"/>
      <c r="M326" s="9"/>
      <c r="N326" s="11"/>
    </row>
    <row r="327" spans="1:14" x14ac:dyDescent="0.2">
      <c r="A327" s="12"/>
      <c r="B327" s="13"/>
      <c r="C327" s="14"/>
      <c r="D327" s="13"/>
      <c r="E327" s="13"/>
      <c r="F327" s="13"/>
      <c r="G327" s="13"/>
      <c r="H327" s="13"/>
      <c r="I327" s="13"/>
      <c r="J327" s="13"/>
      <c r="K327" s="13"/>
      <c r="L327" s="13"/>
      <c r="M327" s="13"/>
      <c r="N327" s="15"/>
    </row>
    <row r="328" spans="1:14" x14ac:dyDescent="0.2">
      <c r="A328" s="8"/>
      <c r="B328" s="9"/>
      <c r="C328" s="10"/>
      <c r="D328" s="9"/>
      <c r="E328" s="9"/>
      <c r="F328" s="9"/>
      <c r="G328" s="9"/>
      <c r="H328" s="9"/>
      <c r="I328" s="9"/>
      <c r="J328" s="9"/>
      <c r="K328" s="9"/>
      <c r="L328" s="9"/>
      <c r="M328" s="9"/>
      <c r="N328" s="11"/>
    </row>
    <row r="329" spans="1:14" x14ac:dyDescent="0.2">
      <c r="A329" s="12"/>
      <c r="B329" s="13"/>
      <c r="C329" s="14"/>
      <c r="D329" s="13"/>
      <c r="E329" s="13"/>
      <c r="F329" s="13"/>
      <c r="G329" s="13"/>
      <c r="H329" s="13"/>
      <c r="I329" s="13"/>
      <c r="J329" s="13"/>
      <c r="K329" s="13"/>
      <c r="L329" s="13"/>
      <c r="M329" s="13"/>
      <c r="N329" s="15"/>
    </row>
    <row r="330" spans="1:14" x14ac:dyDescent="0.2">
      <c r="A330" s="8"/>
      <c r="B330" s="9"/>
      <c r="C330" s="10"/>
      <c r="D330" s="9"/>
      <c r="E330" s="9"/>
      <c r="F330" s="9"/>
      <c r="G330" s="9"/>
      <c r="H330" s="9"/>
      <c r="I330" s="9"/>
      <c r="J330" s="9"/>
      <c r="K330" s="9"/>
      <c r="L330" s="9"/>
      <c r="M330" s="9"/>
      <c r="N330" s="11"/>
    </row>
    <row r="331" spans="1:14" x14ac:dyDescent="0.2">
      <c r="A331" s="12"/>
      <c r="B331" s="13"/>
      <c r="C331" s="14"/>
      <c r="D331" s="13"/>
      <c r="E331" s="13"/>
      <c r="F331" s="13"/>
      <c r="G331" s="13"/>
      <c r="H331" s="13"/>
      <c r="I331" s="13"/>
      <c r="J331" s="13"/>
      <c r="K331" s="13"/>
      <c r="L331" s="13"/>
      <c r="M331" s="13"/>
      <c r="N331" s="15"/>
    </row>
    <row r="332" spans="1:14" x14ac:dyDescent="0.2">
      <c r="A332" s="8"/>
      <c r="B332" s="9"/>
      <c r="C332" s="10"/>
      <c r="D332" s="9"/>
      <c r="E332" s="9"/>
      <c r="F332" s="9"/>
      <c r="G332" s="9"/>
      <c r="H332" s="9"/>
      <c r="I332" s="9"/>
      <c r="J332" s="9"/>
      <c r="K332" s="9"/>
      <c r="L332" s="9"/>
      <c r="M332" s="9"/>
      <c r="N332" s="11"/>
    </row>
    <row r="333" spans="1:14" x14ac:dyDescent="0.2">
      <c r="A333" s="12"/>
      <c r="B333" s="13"/>
      <c r="C333" s="14"/>
      <c r="D333" s="13"/>
      <c r="E333" s="13"/>
      <c r="F333" s="13"/>
      <c r="G333" s="13"/>
      <c r="H333" s="13"/>
      <c r="I333" s="13"/>
      <c r="J333" s="13"/>
      <c r="K333" s="13"/>
      <c r="L333" s="13"/>
      <c r="M333" s="13"/>
      <c r="N333" s="15"/>
    </row>
    <row r="334" spans="1:14" x14ac:dyDescent="0.2">
      <c r="A334" s="8"/>
      <c r="B334" s="9"/>
      <c r="C334" s="10"/>
      <c r="D334" s="9"/>
      <c r="E334" s="9"/>
      <c r="F334" s="9"/>
      <c r="G334" s="9"/>
      <c r="H334" s="9"/>
      <c r="I334" s="9"/>
      <c r="J334" s="9"/>
      <c r="K334" s="9"/>
      <c r="L334" s="9"/>
      <c r="M334" s="9"/>
      <c r="N334" s="11"/>
    </row>
    <row r="335" spans="1:14" x14ac:dyDescent="0.2">
      <c r="A335" s="12"/>
      <c r="B335" s="13"/>
      <c r="C335" s="14"/>
      <c r="D335" s="13"/>
      <c r="E335" s="13"/>
      <c r="F335" s="13"/>
      <c r="G335" s="13"/>
      <c r="H335" s="13"/>
      <c r="I335" s="13"/>
      <c r="J335" s="13"/>
      <c r="K335" s="13"/>
      <c r="L335" s="13"/>
      <c r="M335" s="13"/>
      <c r="N335" s="15"/>
    </row>
    <row r="336" spans="1:14" x14ac:dyDescent="0.2">
      <c r="A336" s="8"/>
      <c r="B336" s="9"/>
      <c r="C336" s="10"/>
      <c r="D336" s="9"/>
      <c r="E336" s="9"/>
      <c r="F336" s="9"/>
      <c r="G336" s="9"/>
      <c r="H336" s="9"/>
      <c r="I336" s="9"/>
      <c r="J336" s="9"/>
      <c r="K336" s="9"/>
      <c r="L336" s="9"/>
      <c r="M336" s="9"/>
      <c r="N336" s="11"/>
    </row>
    <row r="337" spans="1:14" x14ac:dyDescent="0.2">
      <c r="A337" s="12"/>
      <c r="B337" s="13"/>
      <c r="C337" s="14"/>
      <c r="D337" s="13"/>
      <c r="E337" s="13"/>
      <c r="F337" s="13"/>
      <c r="G337" s="13"/>
      <c r="H337" s="13"/>
      <c r="I337" s="13"/>
      <c r="J337" s="13"/>
      <c r="K337" s="13"/>
      <c r="L337" s="13"/>
      <c r="M337" s="13"/>
      <c r="N337" s="15"/>
    </row>
    <row r="338" spans="1:14" x14ac:dyDescent="0.2">
      <c r="A338" s="8"/>
      <c r="B338" s="9"/>
      <c r="C338" s="10"/>
      <c r="D338" s="9"/>
      <c r="E338" s="9"/>
      <c r="F338" s="9"/>
      <c r="G338" s="9"/>
      <c r="H338" s="9"/>
      <c r="I338" s="9"/>
      <c r="J338" s="9"/>
      <c r="K338" s="9"/>
      <c r="L338" s="9"/>
      <c r="M338" s="9"/>
      <c r="N338" s="11"/>
    </row>
    <row r="339" spans="1:14" x14ac:dyDescent="0.2">
      <c r="A339" s="12"/>
      <c r="B339" s="13"/>
      <c r="C339" s="14"/>
      <c r="D339" s="13"/>
      <c r="E339" s="13"/>
      <c r="F339" s="13"/>
      <c r="G339" s="13"/>
      <c r="H339" s="13"/>
      <c r="I339" s="13"/>
      <c r="J339" s="13"/>
      <c r="K339" s="13"/>
      <c r="L339" s="13"/>
      <c r="M339" s="13"/>
      <c r="N339" s="15"/>
    </row>
    <row r="340" spans="1:14" x14ac:dyDescent="0.2">
      <c r="A340" s="8"/>
      <c r="B340" s="9"/>
      <c r="C340" s="10"/>
      <c r="D340" s="9"/>
      <c r="E340" s="9"/>
      <c r="F340" s="9"/>
      <c r="G340" s="9"/>
      <c r="H340" s="9"/>
      <c r="I340" s="9"/>
      <c r="J340" s="9"/>
      <c r="K340" s="9"/>
      <c r="L340" s="9"/>
      <c r="M340" s="9"/>
      <c r="N340" s="11"/>
    </row>
    <row r="341" spans="1:14" x14ac:dyDescent="0.2">
      <c r="A341" s="12"/>
      <c r="B341" s="13"/>
      <c r="C341" s="14"/>
      <c r="D341" s="13"/>
      <c r="E341" s="13"/>
      <c r="F341" s="13"/>
      <c r="G341" s="13"/>
      <c r="H341" s="13"/>
      <c r="I341" s="13"/>
      <c r="J341" s="13"/>
      <c r="K341" s="13"/>
      <c r="L341" s="13"/>
      <c r="M341" s="13"/>
      <c r="N341" s="15"/>
    </row>
    <row r="342" spans="1:14" x14ac:dyDescent="0.2">
      <c r="A342" s="8"/>
      <c r="B342" s="9"/>
      <c r="C342" s="10"/>
      <c r="D342" s="9"/>
      <c r="E342" s="9"/>
      <c r="F342" s="9"/>
      <c r="G342" s="9"/>
      <c r="H342" s="9"/>
      <c r="I342" s="9"/>
      <c r="J342" s="9"/>
      <c r="K342" s="9"/>
      <c r="L342" s="9"/>
      <c r="M342" s="9"/>
      <c r="N342" s="11"/>
    </row>
    <row r="343" spans="1:14" x14ac:dyDescent="0.2">
      <c r="A343" s="12"/>
      <c r="B343" s="13"/>
      <c r="C343" s="14"/>
      <c r="D343" s="13"/>
      <c r="E343" s="13"/>
      <c r="F343" s="13"/>
      <c r="G343" s="13"/>
      <c r="H343" s="13"/>
      <c r="I343" s="13"/>
      <c r="J343" s="13"/>
      <c r="K343" s="13"/>
      <c r="L343" s="13"/>
      <c r="M343" s="13"/>
      <c r="N343" s="15"/>
    </row>
    <row r="344" spans="1:14" x14ac:dyDescent="0.2">
      <c r="A344" s="8"/>
      <c r="B344" s="9"/>
      <c r="C344" s="10"/>
      <c r="D344" s="9"/>
      <c r="E344" s="9"/>
      <c r="F344" s="9"/>
      <c r="G344" s="9"/>
      <c r="H344" s="9"/>
      <c r="I344" s="9"/>
      <c r="J344" s="9"/>
      <c r="K344" s="9"/>
      <c r="L344" s="9"/>
      <c r="M344" s="9"/>
      <c r="N344" s="11"/>
    </row>
    <row r="345" spans="1:14" x14ac:dyDescent="0.2">
      <c r="A345" s="12"/>
      <c r="B345" s="13"/>
      <c r="C345" s="14"/>
      <c r="D345" s="13"/>
      <c r="E345" s="13"/>
      <c r="F345" s="13"/>
      <c r="G345" s="13"/>
      <c r="H345" s="13"/>
      <c r="I345" s="13"/>
      <c r="J345" s="13"/>
      <c r="K345" s="13"/>
      <c r="L345" s="13"/>
      <c r="M345" s="13"/>
      <c r="N345" s="15"/>
    </row>
    <row r="346" spans="1:14" x14ac:dyDescent="0.2">
      <c r="A346" s="8"/>
      <c r="B346" s="9"/>
      <c r="C346" s="10"/>
      <c r="D346" s="9"/>
      <c r="E346" s="9"/>
      <c r="F346" s="9"/>
      <c r="G346" s="9"/>
      <c r="H346" s="9"/>
      <c r="I346" s="9"/>
      <c r="J346" s="9"/>
      <c r="K346" s="9"/>
      <c r="L346" s="9"/>
      <c r="M346" s="9"/>
      <c r="N346" s="11"/>
    </row>
    <row r="347" spans="1:14" x14ac:dyDescent="0.2">
      <c r="A347" s="12"/>
      <c r="B347" s="13"/>
      <c r="C347" s="14"/>
      <c r="D347" s="13"/>
      <c r="E347" s="13"/>
      <c r="F347" s="13"/>
      <c r="G347" s="13"/>
      <c r="H347" s="13"/>
      <c r="I347" s="13"/>
      <c r="J347" s="13"/>
      <c r="K347" s="13"/>
      <c r="L347" s="13"/>
      <c r="M347" s="13"/>
      <c r="N347" s="15"/>
    </row>
    <row r="348" spans="1:14" x14ac:dyDescent="0.2">
      <c r="A348" s="8"/>
      <c r="B348" s="9"/>
      <c r="C348" s="10"/>
      <c r="D348" s="9"/>
      <c r="E348" s="9"/>
      <c r="F348" s="9"/>
      <c r="G348" s="9"/>
      <c r="H348" s="9"/>
      <c r="I348" s="9"/>
      <c r="J348" s="9"/>
      <c r="K348" s="9"/>
      <c r="L348" s="9"/>
      <c r="M348" s="9"/>
      <c r="N348" s="11"/>
    </row>
    <row r="349" spans="1:14" x14ac:dyDescent="0.2">
      <c r="A349" s="12"/>
      <c r="B349" s="13"/>
      <c r="C349" s="14"/>
      <c r="D349" s="13"/>
      <c r="E349" s="13"/>
      <c r="F349" s="13"/>
      <c r="G349" s="13"/>
      <c r="H349" s="13"/>
      <c r="I349" s="13"/>
      <c r="J349" s="13"/>
      <c r="K349" s="13"/>
      <c r="L349" s="13"/>
      <c r="M349" s="13"/>
      <c r="N349" s="15"/>
    </row>
    <row r="350" spans="1:14" x14ac:dyDescent="0.2">
      <c r="A350" s="8"/>
      <c r="B350" s="9"/>
      <c r="C350" s="10"/>
      <c r="D350" s="9"/>
      <c r="E350" s="9"/>
      <c r="F350" s="9"/>
      <c r="G350" s="9"/>
      <c r="H350" s="9"/>
      <c r="I350" s="9"/>
      <c r="J350" s="9"/>
      <c r="K350" s="9"/>
      <c r="L350" s="9"/>
      <c r="M350" s="9"/>
      <c r="N350" s="11"/>
    </row>
    <row r="351" spans="1:14" x14ac:dyDescent="0.2">
      <c r="A351" s="12"/>
      <c r="B351" s="13"/>
      <c r="C351" s="14"/>
      <c r="D351" s="13"/>
      <c r="E351" s="13"/>
      <c r="F351" s="13"/>
      <c r="G351" s="13"/>
      <c r="H351" s="13"/>
      <c r="I351" s="13"/>
      <c r="J351" s="13"/>
      <c r="K351" s="13"/>
      <c r="L351" s="13"/>
      <c r="M351" s="13"/>
      <c r="N351" s="15"/>
    </row>
    <row r="352" spans="1:14" x14ac:dyDescent="0.2">
      <c r="A352" s="8"/>
      <c r="B352" s="9"/>
      <c r="C352" s="10"/>
      <c r="D352" s="9"/>
      <c r="E352" s="9"/>
      <c r="F352" s="9"/>
      <c r="G352" s="9"/>
      <c r="H352" s="9"/>
      <c r="I352" s="9"/>
      <c r="J352" s="9"/>
      <c r="K352" s="9"/>
      <c r="L352" s="9"/>
      <c r="M352" s="9"/>
      <c r="N352" s="11"/>
    </row>
    <row r="353" spans="1:14" x14ac:dyDescent="0.2">
      <c r="A353" s="12"/>
      <c r="B353" s="13"/>
      <c r="C353" s="14"/>
      <c r="D353" s="13"/>
      <c r="E353" s="13"/>
      <c r="F353" s="13"/>
      <c r="G353" s="13"/>
      <c r="H353" s="13"/>
      <c r="I353" s="13"/>
      <c r="J353" s="13"/>
      <c r="K353" s="13"/>
      <c r="L353" s="13"/>
      <c r="M353" s="13"/>
      <c r="N353" s="15"/>
    </row>
    <row r="354" spans="1:14" x14ac:dyDescent="0.2">
      <c r="A354" s="8"/>
      <c r="B354" s="9"/>
      <c r="C354" s="10"/>
      <c r="D354" s="9"/>
      <c r="E354" s="9"/>
      <c r="F354" s="9"/>
      <c r="G354" s="9"/>
      <c r="H354" s="9"/>
      <c r="I354" s="9"/>
      <c r="J354" s="9"/>
      <c r="K354" s="9"/>
      <c r="L354" s="9"/>
      <c r="M354" s="9"/>
      <c r="N354" s="11"/>
    </row>
    <row r="355" spans="1:14" x14ac:dyDescent="0.2">
      <c r="A355" s="12"/>
      <c r="B355" s="13"/>
      <c r="C355" s="14"/>
      <c r="D355" s="13"/>
      <c r="E355" s="13"/>
      <c r="F355" s="13"/>
      <c r="G355" s="13"/>
      <c r="H355" s="13"/>
      <c r="I355" s="13"/>
      <c r="J355" s="13"/>
      <c r="K355" s="13"/>
      <c r="L355" s="13"/>
      <c r="M355" s="13"/>
      <c r="N355" s="15"/>
    </row>
    <row r="356" spans="1:14" x14ac:dyDescent="0.2">
      <c r="A356" s="8"/>
      <c r="B356" s="9"/>
      <c r="C356" s="10"/>
      <c r="D356" s="9"/>
      <c r="E356" s="9"/>
      <c r="F356" s="9"/>
      <c r="G356" s="9"/>
      <c r="H356" s="9"/>
      <c r="I356" s="9"/>
      <c r="J356" s="9"/>
      <c r="K356" s="9"/>
      <c r="L356" s="9"/>
      <c r="M356" s="9"/>
      <c r="N356" s="11"/>
    </row>
    <row r="357" spans="1:14" x14ac:dyDescent="0.2">
      <c r="A357" s="12"/>
      <c r="B357" s="13"/>
      <c r="C357" s="14"/>
      <c r="D357" s="13"/>
      <c r="E357" s="13"/>
      <c r="F357" s="13"/>
      <c r="G357" s="13"/>
      <c r="H357" s="13"/>
      <c r="I357" s="13"/>
      <c r="J357" s="13"/>
      <c r="K357" s="13"/>
      <c r="L357" s="13"/>
      <c r="M357" s="13"/>
      <c r="N357" s="15"/>
    </row>
    <row r="358" spans="1:14" x14ac:dyDescent="0.2">
      <c r="A358" s="8"/>
      <c r="B358" s="9"/>
      <c r="C358" s="10"/>
      <c r="D358" s="9"/>
      <c r="E358" s="9"/>
      <c r="F358" s="9"/>
      <c r="G358" s="9"/>
      <c r="H358" s="9"/>
      <c r="I358" s="9"/>
      <c r="J358" s="9"/>
      <c r="K358" s="9"/>
      <c r="L358" s="9"/>
      <c r="M358" s="9"/>
      <c r="N358" s="11"/>
    </row>
    <row r="359" spans="1:14" x14ac:dyDescent="0.2">
      <c r="A359" s="12"/>
      <c r="B359" s="13"/>
      <c r="C359" s="14"/>
      <c r="D359" s="13"/>
      <c r="E359" s="13"/>
      <c r="F359" s="13"/>
      <c r="G359" s="13"/>
      <c r="H359" s="13"/>
      <c r="I359" s="13"/>
      <c r="J359" s="13"/>
      <c r="K359" s="13"/>
      <c r="L359" s="13"/>
      <c r="M359" s="13"/>
      <c r="N359" s="15"/>
    </row>
    <row r="360" spans="1:14" x14ac:dyDescent="0.2">
      <c r="A360" s="8"/>
      <c r="B360" s="9"/>
      <c r="C360" s="10"/>
      <c r="D360" s="9"/>
      <c r="E360" s="9"/>
      <c r="F360" s="9"/>
      <c r="G360" s="9"/>
      <c r="H360" s="9"/>
      <c r="I360" s="9"/>
      <c r="J360" s="9"/>
      <c r="K360" s="9"/>
      <c r="L360" s="9"/>
      <c r="M360" s="9"/>
      <c r="N360" s="11"/>
    </row>
    <row r="361" spans="1:14" x14ac:dyDescent="0.2">
      <c r="A361" s="12"/>
      <c r="B361" s="13"/>
      <c r="C361" s="14"/>
      <c r="D361" s="13"/>
      <c r="E361" s="13"/>
      <c r="F361" s="13"/>
      <c r="G361" s="13"/>
      <c r="H361" s="13"/>
      <c r="I361" s="13"/>
      <c r="J361" s="13"/>
      <c r="K361" s="13"/>
      <c r="L361" s="13"/>
      <c r="M361" s="13"/>
      <c r="N361" s="15"/>
    </row>
    <row r="362" spans="1:14" x14ac:dyDescent="0.2">
      <c r="A362" s="8"/>
      <c r="B362" s="9"/>
      <c r="C362" s="10"/>
      <c r="D362" s="9"/>
      <c r="E362" s="9"/>
      <c r="F362" s="9"/>
      <c r="G362" s="9"/>
      <c r="H362" s="9"/>
      <c r="I362" s="9"/>
      <c r="J362" s="9"/>
      <c r="K362" s="9"/>
      <c r="L362" s="9"/>
      <c r="M362" s="9"/>
      <c r="N362" s="11"/>
    </row>
    <row r="363" spans="1:14" x14ac:dyDescent="0.2">
      <c r="A363" s="12"/>
      <c r="B363" s="13"/>
      <c r="C363" s="14"/>
      <c r="D363" s="13"/>
      <c r="E363" s="13"/>
      <c r="F363" s="13"/>
      <c r="G363" s="13"/>
      <c r="H363" s="13"/>
      <c r="I363" s="13"/>
      <c r="J363" s="13"/>
      <c r="K363" s="13"/>
      <c r="L363" s="13"/>
      <c r="M363" s="13"/>
      <c r="N363" s="15"/>
    </row>
    <row r="364" spans="1:14" x14ac:dyDescent="0.2">
      <c r="A364" s="8"/>
      <c r="B364" s="9"/>
      <c r="C364" s="10"/>
      <c r="D364" s="9"/>
      <c r="E364" s="9"/>
      <c r="F364" s="9"/>
      <c r="G364" s="9"/>
      <c r="H364" s="9"/>
      <c r="I364" s="9"/>
      <c r="J364" s="9"/>
      <c r="K364" s="9"/>
      <c r="L364" s="9"/>
      <c r="M364" s="9"/>
      <c r="N364" s="11"/>
    </row>
    <row r="365" spans="1:14" x14ac:dyDescent="0.2">
      <c r="A365" s="12"/>
      <c r="B365" s="13"/>
      <c r="C365" s="14"/>
      <c r="D365" s="13"/>
      <c r="E365" s="13"/>
      <c r="F365" s="13"/>
      <c r="G365" s="13"/>
      <c r="H365" s="13"/>
      <c r="I365" s="13"/>
      <c r="J365" s="13"/>
      <c r="K365" s="13"/>
      <c r="L365" s="13"/>
      <c r="M365" s="13"/>
      <c r="N365" s="15"/>
    </row>
    <row r="366" spans="1:14" x14ac:dyDescent="0.2">
      <c r="A366" s="8"/>
      <c r="B366" s="9"/>
      <c r="C366" s="10"/>
      <c r="D366" s="9"/>
      <c r="E366" s="9"/>
      <c r="F366" s="9"/>
      <c r="G366" s="9"/>
      <c r="H366" s="9"/>
      <c r="I366" s="9"/>
      <c r="J366" s="9"/>
      <c r="K366" s="9"/>
      <c r="L366" s="9"/>
      <c r="M366" s="9"/>
      <c r="N366" s="11"/>
    </row>
    <row r="367" spans="1:14" x14ac:dyDescent="0.2">
      <c r="A367" s="12"/>
      <c r="B367" s="13"/>
      <c r="C367" s="14"/>
      <c r="D367" s="13"/>
      <c r="E367" s="13"/>
      <c r="F367" s="13"/>
      <c r="G367" s="13"/>
      <c r="H367" s="13"/>
      <c r="I367" s="13"/>
      <c r="J367" s="13"/>
      <c r="K367" s="13"/>
      <c r="L367" s="13"/>
      <c r="M367" s="13"/>
      <c r="N367" s="15"/>
    </row>
    <row r="368" spans="1:14" x14ac:dyDescent="0.2">
      <c r="A368" s="8"/>
      <c r="B368" s="9"/>
      <c r="C368" s="10"/>
      <c r="D368" s="9"/>
      <c r="E368" s="9"/>
      <c r="F368" s="9"/>
      <c r="G368" s="9"/>
      <c r="H368" s="9"/>
      <c r="I368" s="9"/>
      <c r="J368" s="9"/>
      <c r="K368" s="9"/>
      <c r="L368" s="9"/>
      <c r="M368" s="9"/>
      <c r="N368" s="11"/>
    </row>
    <row r="369" spans="1:14" x14ac:dyDescent="0.2">
      <c r="A369" s="12"/>
      <c r="B369" s="13"/>
      <c r="C369" s="14"/>
      <c r="D369" s="13"/>
      <c r="E369" s="13"/>
      <c r="F369" s="13"/>
      <c r="G369" s="13"/>
      <c r="H369" s="13"/>
      <c r="I369" s="13"/>
      <c r="J369" s="13"/>
      <c r="K369" s="13"/>
      <c r="L369" s="13"/>
      <c r="M369" s="13"/>
      <c r="N369" s="15"/>
    </row>
    <row r="370" spans="1:14" x14ac:dyDescent="0.2">
      <c r="A370" s="8"/>
      <c r="B370" s="9"/>
      <c r="C370" s="10"/>
      <c r="D370" s="9"/>
      <c r="E370" s="9"/>
      <c r="F370" s="9"/>
      <c r="G370" s="9"/>
      <c r="H370" s="9"/>
      <c r="I370" s="9"/>
      <c r="J370" s="9"/>
      <c r="K370" s="9"/>
      <c r="L370" s="9"/>
      <c r="M370" s="9"/>
      <c r="N370" s="11"/>
    </row>
    <row r="371" spans="1:14" x14ac:dyDescent="0.2">
      <c r="A371" s="12"/>
      <c r="B371" s="13"/>
      <c r="C371" s="14"/>
      <c r="D371" s="13"/>
      <c r="E371" s="13"/>
      <c r="F371" s="13"/>
      <c r="G371" s="13"/>
      <c r="H371" s="13"/>
      <c r="I371" s="13"/>
      <c r="J371" s="13"/>
      <c r="K371" s="13"/>
      <c r="L371" s="13"/>
      <c r="M371" s="13"/>
      <c r="N371" s="15"/>
    </row>
    <row r="372" spans="1:14" x14ac:dyDescent="0.2">
      <c r="A372" s="8"/>
      <c r="B372" s="9"/>
      <c r="C372" s="10"/>
      <c r="D372" s="9"/>
      <c r="E372" s="9"/>
      <c r="F372" s="9"/>
      <c r="G372" s="9"/>
      <c r="H372" s="9"/>
      <c r="I372" s="9"/>
      <c r="J372" s="9"/>
      <c r="K372" s="9"/>
      <c r="L372" s="9"/>
      <c r="M372" s="9"/>
      <c r="N372" s="11"/>
    </row>
    <row r="373" spans="1:14" x14ac:dyDescent="0.2">
      <c r="A373" s="12"/>
      <c r="B373" s="13"/>
      <c r="C373" s="14"/>
      <c r="D373" s="13"/>
      <c r="E373" s="13"/>
      <c r="F373" s="13"/>
      <c r="G373" s="13"/>
      <c r="H373" s="13"/>
      <c r="I373" s="13"/>
      <c r="J373" s="13"/>
      <c r="K373" s="13"/>
      <c r="L373" s="13"/>
      <c r="M373" s="13"/>
      <c r="N373" s="15"/>
    </row>
    <row r="374" spans="1:14" x14ac:dyDescent="0.2">
      <c r="A374" s="8"/>
      <c r="B374" s="9"/>
      <c r="C374" s="10"/>
      <c r="D374" s="9"/>
      <c r="E374" s="9"/>
      <c r="F374" s="9"/>
      <c r="G374" s="9"/>
      <c r="H374" s="9"/>
      <c r="I374" s="9"/>
      <c r="J374" s="9"/>
      <c r="K374" s="9"/>
      <c r="L374" s="9"/>
      <c r="M374" s="9"/>
      <c r="N374" s="11"/>
    </row>
    <row r="375" spans="1:14" x14ac:dyDescent="0.2">
      <c r="A375" s="12"/>
      <c r="B375" s="13"/>
      <c r="C375" s="14"/>
      <c r="D375" s="13"/>
      <c r="E375" s="13"/>
      <c r="F375" s="13"/>
      <c r="G375" s="13"/>
      <c r="H375" s="13"/>
      <c r="I375" s="13"/>
      <c r="J375" s="13"/>
      <c r="K375" s="13"/>
      <c r="L375" s="13"/>
      <c r="M375" s="13"/>
      <c r="N375" s="15"/>
    </row>
    <row r="376" spans="1:14" x14ac:dyDescent="0.2">
      <c r="A376" s="8"/>
      <c r="B376" s="9"/>
      <c r="C376" s="10"/>
      <c r="D376" s="9"/>
      <c r="E376" s="9"/>
      <c r="F376" s="9"/>
      <c r="G376" s="9"/>
      <c r="H376" s="9"/>
      <c r="I376" s="9"/>
      <c r="J376" s="9"/>
      <c r="K376" s="9"/>
      <c r="L376" s="9"/>
      <c r="M376" s="9"/>
      <c r="N376" s="11"/>
    </row>
    <row r="377" spans="1:14" x14ac:dyDescent="0.2">
      <c r="A377" s="12"/>
      <c r="B377" s="13"/>
      <c r="C377" s="14"/>
      <c r="D377" s="13"/>
      <c r="E377" s="13"/>
      <c r="F377" s="13"/>
      <c r="G377" s="13"/>
      <c r="H377" s="13"/>
      <c r="I377" s="13"/>
      <c r="J377" s="13"/>
      <c r="K377" s="13"/>
      <c r="L377" s="13"/>
      <c r="M377" s="13"/>
      <c r="N377" s="15"/>
    </row>
    <row r="378" spans="1:14" x14ac:dyDescent="0.2">
      <c r="A378" s="8"/>
      <c r="B378" s="9"/>
      <c r="C378" s="10"/>
      <c r="D378" s="9"/>
      <c r="E378" s="9"/>
      <c r="F378" s="9"/>
      <c r="G378" s="9"/>
      <c r="H378" s="9"/>
      <c r="I378" s="9"/>
      <c r="J378" s="9"/>
      <c r="K378" s="9"/>
      <c r="L378" s="9"/>
      <c r="M378" s="9"/>
      <c r="N378" s="11"/>
    </row>
    <row r="379" spans="1:14" x14ac:dyDescent="0.2">
      <c r="A379" s="12"/>
      <c r="B379" s="13"/>
      <c r="C379" s="14"/>
      <c r="D379" s="13"/>
      <c r="E379" s="13"/>
      <c r="F379" s="13"/>
      <c r="G379" s="13"/>
      <c r="H379" s="13"/>
      <c r="I379" s="13"/>
      <c r="J379" s="13"/>
      <c r="K379" s="13"/>
      <c r="L379" s="13"/>
      <c r="M379" s="13"/>
      <c r="N379" s="15"/>
    </row>
    <row r="380" spans="1:14" x14ac:dyDescent="0.2">
      <c r="A380" s="8"/>
      <c r="B380" s="9"/>
      <c r="C380" s="10"/>
      <c r="D380" s="9"/>
      <c r="E380" s="9"/>
      <c r="F380" s="9"/>
      <c r="G380" s="9"/>
      <c r="H380" s="9"/>
      <c r="I380" s="9"/>
      <c r="J380" s="9"/>
      <c r="K380" s="9"/>
      <c r="L380" s="9"/>
      <c r="M380" s="9"/>
      <c r="N380" s="11"/>
    </row>
    <row r="381" spans="1:14" x14ac:dyDescent="0.2">
      <c r="A381" s="12"/>
      <c r="B381" s="13"/>
      <c r="C381" s="14"/>
      <c r="D381" s="13"/>
      <c r="E381" s="13"/>
      <c r="F381" s="13"/>
      <c r="G381" s="13"/>
      <c r="H381" s="13"/>
      <c r="I381" s="13"/>
      <c r="J381" s="13"/>
      <c r="K381" s="13"/>
      <c r="L381" s="13"/>
      <c r="M381" s="13"/>
      <c r="N381" s="15"/>
    </row>
    <row r="382" spans="1:14" x14ac:dyDescent="0.2">
      <c r="A382" s="8"/>
      <c r="B382" s="9"/>
      <c r="C382" s="10"/>
      <c r="D382" s="9"/>
      <c r="E382" s="9"/>
      <c r="F382" s="9"/>
      <c r="G382" s="9"/>
      <c r="H382" s="9"/>
      <c r="I382" s="9"/>
      <c r="J382" s="9"/>
      <c r="K382" s="9"/>
      <c r="L382" s="9"/>
      <c r="M382" s="9"/>
      <c r="N382" s="11"/>
    </row>
    <row r="383" spans="1:14" x14ac:dyDescent="0.2">
      <c r="A383" s="12"/>
      <c r="B383" s="13"/>
      <c r="C383" s="14"/>
      <c r="D383" s="13"/>
      <c r="E383" s="13"/>
      <c r="F383" s="13"/>
      <c r="G383" s="13"/>
      <c r="H383" s="13"/>
      <c r="I383" s="13"/>
      <c r="J383" s="13"/>
      <c r="K383" s="13"/>
      <c r="L383" s="13"/>
      <c r="M383" s="13"/>
      <c r="N383" s="15"/>
    </row>
    <row r="384" spans="1:14" x14ac:dyDescent="0.2">
      <c r="A384" s="8"/>
      <c r="B384" s="9"/>
      <c r="C384" s="10"/>
      <c r="D384" s="9"/>
      <c r="E384" s="9"/>
      <c r="F384" s="9"/>
      <c r="G384" s="9"/>
      <c r="H384" s="9"/>
      <c r="I384" s="9"/>
      <c r="J384" s="9"/>
      <c r="K384" s="9"/>
      <c r="L384" s="9"/>
      <c r="M384" s="9"/>
      <c r="N384" s="11"/>
    </row>
    <row r="385" spans="1:14" x14ac:dyDescent="0.2">
      <c r="A385" s="12"/>
      <c r="B385" s="13"/>
      <c r="C385" s="14"/>
      <c r="D385" s="13"/>
      <c r="E385" s="13"/>
      <c r="F385" s="13"/>
      <c r="G385" s="13"/>
      <c r="H385" s="13"/>
      <c r="I385" s="13"/>
      <c r="J385" s="13"/>
      <c r="K385" s="13"/>
      <c r="L385" s="13"/>
      <c r="M385" s="13"/>
      <c r="N385" s="15"/>
    </row>
    <row r="386" spans="1:14" x14ac:dyDescent="0.2">
      <c r="A386" s="8"/>
      <c r="B386" s="9"/>
      <c r="C386" s="10"/>
      <c r="D386" s="9"/>
      <c r="E386" s="9"/>
      <c r="F386" s="9"/>
      <c r="G386" s="9"/>
      <c r="H386" s="9"/>
      <c r="I386" s="9"/>
      <c r="J386" s="9"/>
      <c r="K386" s="9"/>
      <c r="L386" s="9"/>
      <c r="M386" s="9"/>
      <c r="N386" s="11"/>
    </row>
    <row r="387" spans="1:14" x14ac:dyDescent="0.2">
      <c r="A387" s="12"/>
      <c r="B387" s="13"/>
      <c r="C387" s="14"/>
      <c r="D387" s="13"/>
      <c r="E387" s="13"/>
      <c r="F387" s="13"/>
      <c r="G387" s="13"/>
      <c r="H387" s="13"/>
      <c r="I387" s="13"/>
      <c r="J387" s="13"/>
      <c r="K387" s="13"/>
      <c r="L387" s="13"/>
      <c r="M387" s="13"/>
      <c r="N387" s="15"/>
    </row>
    <row r="388" spans="1:14" x14ac:dyDescent="0.2">
      <c r="A388" s="8"/>
      <c r="B388" s="9"/>
      <c r="C388" s="10"/>
      <c r="D388" s="9"/>
      <c r="E388" s="9"/>
      <c r="F388" s="9"/>
      <c r="G388" s="9"/>
      <c r="H388" s="9"/>
      <c r="I388" s="9"/>
      <c r="J388" s="9"/>
      <c r="K388" s="9"/>
      <c r="L388" s="9"/>
      <c r="M388" s="9"/>
      <c r="N388" s="11"/>
    </row>
    <row r="389" spans="1:14" x14ac:dyDescent="0.2">
      <c r="A389" s="12"/>
      <c r="B389" s="13"/>
      <c r="C389" s="14"/>
      <c r="D389" s="13"/>
      <c r="E389" s="13"/>
      <c r="F389" s="13"/>
      <c r="G389" s="13"/>
      <c r="H389" s="13"/>
      <c r="I389" s="13"/>
      <c r="J389" s="13"/>
      <c r="K389" s="13"/>
      <c r="L389" s="13"/>
      <c r="M389" s="13"/>
      <c r="N389" s="15"/>
    </row>
    <row r="390" spans="1:14" x14ac:dyDescent="0.2">
      <c r="A390" s="8"/>
      <c r="B390" s="9"/>
      <c r="C390" s="10"/>
      <c r="D390" s="9"/>
      <c r="E390" s="9"/>
      <c r="F390" s="9"/>
      <c r="G390" s="9"/>
      <c r="H390" s="9"/>
      <c r="I390" s="9"/>
      <c r="J390" s="9"/>
      <c r="K390" s="9"/>
      <c r="L390" s="9"/>
      <c r="M390" s="9"/>
      <c r="N390" s="11"/>
    </row>
    <row r="391" spans="1:14" x14ac:dyDescent="0.2">
      <c r="A391" s="12"/>
      <c r="B391" s="13"/>
      <c r="C391" s="14"/>
      <c r="D391" s="13"/>
      <c r="E391" s="13"/>
      <c r="F391" s="13"/>
      <c r="G391" s="13"/>
      <c r="H391" s="13"/>
      <c r="I391" s="13"/>
      <c r="J391" s="13"/>
      <c r="K391" s="13"/>
      <c r="L391" s="13"/>
      <c r="M391" s="13"/>
      <c r="N391" s="15"/>
    </row>
    <row r="392" spans="1:14" x14ac:dyDescent="0.2">
      <c r="A392" s="8"/>
      <c r="B392" s="9"/>
      <c r="C392" s="10"/>
      <c r="D392" s="9"/>
      <c r="E392" s="9"/>
      <c r="F392" s="9"/>
      <c r="G392" s="9"/>
      <c r="H392" s="9"/>
      <c r="I392" s="9"/>
      <c r="J392" s="9"/>
      <c r="K392" s="9"/>
      <c r="L392" s="9"/>
      <c r="M392" s="9"/>
      <c r="N392" s="11"/>
    </row>
    <row r="393" spans="1:14" x14ac:dyDescent="0.2">
      <c r="A393" s="12"/>
      <c r="B393" s="13"/>
      <c r="C393" s="14"/>
      <c r="D393" s="13"/>
      <c r="E393" s="13"/>
      <c r="F393" s="13"/>
      <c r="G393" s="13"/>
      <c r="H393" s="13"/>
      <c r="I393" s="13"/>
      <c r="J393" s="13"/>
      <c r="K393" s="13"/>
      <c r="L393" s="13"/>
      <c r="M393" s="13"/>
      <c r="N393" s="15"/>
    </row>
    <row r="394" spans="1:14" x14ac:dyDescent="0.2">
      <c r="A394" s="8"/>
      <c r="B394" s="9"/>
      <c r="C394" s="10"/>
      <c r="D394" s="9"/>
      <c r="E394" s="9"/>
      <c r="F394" s="9"/>
      <c r="G394" s="9"/>
      <c r="H394" s="9"/>
      <c r="I394" s="9"/>
      <c r="J394" s="9"/>
      <c r="K394" s="9"/>
      <c r="L394" s="9"/>
      <c r="M394" s="9"/>
      <c r="N394" s="11"/>
    </row>
    <row r="395" spans="1:14" x14ac:dyDescent="0.2">
      <c r="A395" s="12"/>
      <c r="B395" s="13"/>
      <c r="C395" s="14"/>
      <c r="D395" s="13"/>
      <c r="E395" s="13"/>
      <c r="F395" s="13"/>
      <c r="G395" s="13"/>
      <c r="H395" s="13"/>
      <c r="I395" s="13"/>
      <c r="J395" s="13"/>
      <c r="K395" s="13"/>
      <c r="L395" s="13"/>
      <c r="M395" s="13"/>
      <c r="N395" s="15"/>
    </row>
    <row r="396" spans="1:14" x14ac:dyDescent="0.2">
      <c r="A396" s="8"/>
      <c r="B396" s="9"/>
      <c r="C396" s="10"/>
      <c r="D396" s="9"/>
      <c r="E396" s="9"/>
      <c r="F396" s="9"/>
      <c r="G396" s="9"/>
      <c r="H396" s="9"/>
      <c r="I396" s="9"/>
      <c r="J396" s="9"/>
      <c r="K396" s="9"/>
      <c r="L396" s="9"/>
      <c r="M396" s="9"/>
      <c r="N396" s="11"/>
    </row>
    <row r="397" spans="1:14" x14ac:dyDescent="0.2">
      <c r="A397" s="12"/>
      <c r="B397" s="13"/>
      <c r="C397" s="14"/>
      <c r="D397" s="13"/>
      <c r="E397" s="13"/>
      <c r="F397" s="13"/>
      <c r="G397" s="13"/>
      <c r="H397" s="13"/>
      <c r="I397" s="13"/>
      <c r="J397" s="13"/>
      <c r="K397" s="13"/>
      <c r="L397" s="13"/>
      <c r="M397" s="13"/>
      <c r="N397" s="15"/>
    </row>
    <row r="398" spans="1:14" x14ac:dyDescent="0.2">
      <c r="A398" s="8"/>
      <c r="B398" s="9"/>
      <c r="C398" s="10"/>
      <c r="D398" s="9"/>
      <c r="E398" s="9"/>
      <c r="F398" s="9"/>
      <c r="G398" s="9"/>
      <c r="H398" s="9"/>
      <c r="I398" s="9"/>
      <c r="J398" s="9"/>
      <c r="K398" s="9"/>
      <c r="L398" s="9"/>
      <c r="M398" s="9"/>
      <c r="N398" s="11"/>
    </row>
    <row r="399" spans="1:14" x14ac:dyDescent="0.2">
      <c r="A399" s="12"/>
      <c r="B399" s="13"/>
      <c r="C399" s="14"/>
      <c r="D399" s="13"/>
      <c r="E399" s="13"/>
      <c r="F399" s="13"/>
      <c r="G399" s="13"/>
      <c r="H399" s="13"/>
      <c r="I399" s="13"/>
      <c r="J399" s="13"/>
      <c r="K399" s="13"/>
      <c r="L399" s="13"/>
      <c r="M399" s="13"/>
      <c r="N399" s="15"/>
    </row>
    <row r="400" spans="1:14" x14ac:dyDescent="0.2">
      <c r="A400" s="8"/>
      <c r="B400" s="9"/>
      <c r="C400" s="10"/>
      <c r="D400" s="9"/>
      <c r="E400" s="9"/>
      <c r="F400" s="9"/>
      <c r="G400" s="9"/>
      <c r="H400" s="9"/>
      <c r="I400" s="9"/>
      <c r="J400" s="9"/>
      <c r="K400" s="9"/>
      <c r="L400" s="9"/>
      <c r="M400" s="9"/>
      <c r="N400" s="11"/>
    </row>
    <row r="401" spans="1:14" x14ac:dyDescent="0.2">
      <c r="A401" s="12"/>
      <c r="B401" s="13"/>
      <c r="C401" s="14"/>
      <c r="D401" s="13"/>
      <c r="E401" s="13"/>
      <c r="F401" s="13"/>
      <c r="G401" s="13"/>
      <c r="H401" s="13"/>
      <c r="I401" s="13"/>
      <c r="J401" s="13"/>
      <c r="K401" s="13"/>
      <c r="L401" s="13"/>
      <c r="M401" s="13"/>
      <c r="N401" s="15"/>
    </row>
    <row r="402" spans="1:14" x14ac:dyDescent="0.2">
      <c r="A402" s="8"/>
      <c r="B402" s="9"/>
      <c r="C402" s="10"/>
      <c r="D402" s="9"/>
      <c r="E402" s="9"/>
      <c r="F402" s="9"/>
      <c r="G402" s="9"/>
      <c r="H402" s="9"/>
      <c r="I402" s="9"/>
      <c r="J402" s="9"/>
      <c r="K402" s="9"/>
      <c r="L402" s="9"/>
      <c r="M402" s="9"/>
      <c r="N402" s="11"/>
    </row>
    <row r="403" spans="1:14" x14ac:dyDescent="0.2">
      <c r="A403" s="12"/>
      <c r="B403" s="13"/>
      <c r="C403" s="14"/>
      <c r="D403" s="13"/>
      <c r="E403" s="13"/>
      <c r="F403" s="13"/>
      <c r="G403" s="13"/>
      <c r="H403" s="13"/>
      <c r="I403" s="13"/>
      <c r="J403" s="13"/>
      <c r="K403" s="13"/>
      <c r="L403" s="13"/>
      <c r="M403" s="13"/>
      <c r="N403" s="15"/>
    </row>
    <row r="404" spans="1:14" x14ac:dyDescent="0.2">
      <c r="A404" s="8"/>
      <c r="B404" s="9"/>
      <c r="C404" s="10"/>
      <c r="D404" s="9"/>
      <c r="E404" s="9"/>
      <c r="F404" s="9"/>
      <c r="G404" s="9"/>
      <c r="H404" s="9"/>
      <c r="I404" s="9"/>
      <c r="J404" s="9"/>
      <c r="K404" s="9"/>
      <c r="L404" s="9"/>
      <c r="M404" s="9"/>
      <c r="N404" s="11"/>
    </row>
    <row r="405" spans="1:14" x14ac:dyDescent="0.2">
      <c r="A405" s="12"/>
      <c r="B405" s="13"/>
      <c r="C405" s="14"/>
      <c r="D405" s="13"/>
      <c r="E405" s="13"/>
      <c r="F405" s="13"/>
      <c r="G405" s="13"/>
      <c r="H405" s="13"/>
      <c r="I405" s="13"/>
      <c r="J405" s="13"/>
      <c r="K405" s="13"/>
      <c r="L405" s="13"/>
      <c r="M405" s="13"/>
      <c r="N405" s="15"/>
    </row>
    <row r="406" spans="1:14" x14ac:dyDescent="0.2">
      <c r="A406" s="8"/>
      <c r="B406" s="9"/>
      <c r="C406" s="10"/>
      <c r="D406" s="9"/>
      <c r="E406" s="9"/>
      <c r="F406" s="9"/>
      <c r="G406" s="9"/>
      <c r="H406" s="9"/>
      <c r="I406" s="9"/>
      <c r="J406" s="9"/>
      <c r="K406" s="9"/>
      <c r="L406" s="9"/>
      <c r="M406" s="9"/>
      <c r="N406" s="11"/>
    </row>
    <row r="407" spans="1:14" x14ac:dyDescent="0.2">
      <c r="A407" s="12"/>
      <c r="B407" s="13"/>
      <c r="C407" s="14"/>
      <c r="D407" s="13"/>
      <c r="E407" s="13"/>
      <c r="F407" s="13"/>
      <c r="G407" s="13"/>
      <c r="H407" s="13"/>
      <c r="I407" s="13"/>
      <c r="J407" s="13"/>
      <c r="K407" s="13"/>
      <c r="L407" s="13"/>
      <c r="M407" s="13"/>
      <c r="N407" s="15"/>
    </row>
    <row r="408" spans="1:14" x14ac:dyDescent="0.2">
      <c r="A408" s="8"/>
      <c r="B408" s="9"/>
      <c r="C408" s="10"/>
      <c r="D408" s="9"/>
      <c r="E408" s="9"/>
      <c r="F408" s="9"/>
      <c r="G408" s="9"/>
      <c r="H408" s="9"/>
      <c r="I408" s="9"/>
      <c r="J408" s="9"/>
      <c r="K408" s="9"/>
      <c r="L408" s="9"/>
      <c r="M408" s="9"/>
      <c r="N408" s="11"/>
    </row>
    <row r="409" spans="1:14" x14ac:dyDescent="0.2">
      <c r="A409" s="12"/>
      <c r="B409" s="13"/>
      <c r="C409" s="14"/>
      <c r="D409" s="13"/>
      <c r="E409" s="13"/>
      <c r="F409" s="13"/>
      <c r="G409" s="13"/>
      <c r="H409" s="13"/>
      <c r="I409" s="13"/>
      <c r="J409" s="13"/>
      <c r="K409" s="13"/>
      <c r="L409" s="13"/>
      <c r="M409" s="13"/>
      <c r="N409" s="15"/>
    </row>
    <row r="410" spans="1:14" x14ac:dyDescent="0.2">
      <c r="A410" s="8"/>
      <c r="B410" s="9"/>
      <c r="C410" s="10"/>
      <c r="D410" s="9"/>
      <c r="E410" s="9"/>
      <c r="F410" s="9"/>
      <c r="G410" s="9"/>
      <c r="H410" s="9"/>
      <c r="I410" s="9"/>
      <c r="J410" s="9"/>
      <c r="K410" s="9"/>
      <c r="L410" s="9"/>
      <c r="M410" s="9"/>
      <c r="N410" s="11"/>
    </row>
    <row r="411" spans="1:14" x14ac:dyDescent="0.2">
      <c r="A411" s="12"/>
      <c r="B411" s="13"/>
      <c r="C411" s="14"/>
      <c r="D411" s="13"/>
      <c r="E411" s="13"/>
      <c r="F411" s="13"/>
      <c r="G411" s="13"/>
      <c r="H411" s="13"/>
      <c r="I411" s="13"/>
      <c r="J411" s="13"/>
      <c r="K411" s="13"/>
      <c r="L411" s="13"/>
      <c r="M411" s="13"/>
      <c r="N411" s="15"/>
    </row>
    <row r="412" spans="1:14" x14ac:dyDescent="0.2">
      <c r="A412" s="8"/>
      <c r="B412" s="9"/>
      <c r="C412" s="10"/>
      <c r="D412" s="9"/>
      <c r="E412" s="9"/>
      <c r="F412" s="9"/>
      <c r="G412" s="9"/>
      <c r="H412" s="9"/>
      <c r="I412" s="9"/>
      <c r="J412" s="9"/>
      <c r="K412" s="9"/>
      <c r="L412" s="9"/>
      <c r="M412" s="9"/>
      <c r="N412" s="11"/>
    </row>
    <row r="413" spans="1:14" x14ac:dyDescent="0.2">
      <c r="A413" s="12"/>
      <c r="B413" s="13"/>
      <c r="C413" s="14"/>
      <c r="D413" s="13"/>
      <c r="E413" s="13"/>
      <c r="F413" s="13"/>
      <c r="G413" s="13"/>
      <c r="H413" s="13"/>
      <c r="I413" s="13"/>
      <c r="J413" s="13"/>
      <c r="K413" s="13"/>
      <c r="L413" s="13"/>
      <c r="M413" s="13"/>
      <c r="N413" s="15"/>
    </row>
    <row r="414" spans="1:14" x14ac:dyDescent="0.2">
      <c r="A414" s="8"/>
      <c r="B414" s="9"/>
      <c r="C414" s="10"/>
      <c r="D414" s="9"/>
      <c r="E414" s="9"/>
      <c r="F414" s="9"/>
      <c r="G414" s="9"/>
      <c r="H414" s="9"/>
      <c r="I414" s="9"/>
      <c r="J414" s="9"/>
      <c r="K414" s="9"/>
      <c r="L414" s="9"/>
      <c r="M414" s="9"/>
      <c r="N414" s="11"/>
    </row>
    <row r="415" spans="1:14" x14ac:dyDescent="0.2">
      <c r="A415" s="12"/>
      <c r="B415" s="13"/>
      <c r="C415" s="14"/>
      <c r="D415" s="13"/>
      <c r="E415" s="13"/>
      <c r="F415" s="13"/>
      <c r="G415" s="13"/>
      <c r="H415" s="13"/>
      <c r="I415" s="13"/>
      <c r="J415" s="13"/>
      <c r="K415" s="13"/>
      <c r="L415" s="13"/>
      <c r="M415" s="13"/>
      <c r="N415" s="15"/>
    </row>
    <row r="416" spans="1:14" x14ac:dyDescent="0.2">
      <c r="A416" s="8"/>
      <c r="B416" s="9"/>
      <c r="C416" s="10"/>
      <c r="D416" s="9"/>
      <c r="E416" s="9"/>
      <c r="F416" s="9"/>
      <c r="G416" s="9"/>
      <c r="H416" s="9"/>
      <c r="I416" s="9"/>
      <c r="J416" s="9"/>
      <c r="K416" s="9"/>
      <c r="L416" s="9"/>
      <c r="M416" s="9"/>
      <c r="N416" s="11"/>
    </row>
    <row r="417" spans="1:14" x14ac:dyDescent="0.2">
      <c r="A417" s="12"/>
      <c r="B417" s="13"/>
      <c r="C417" s="14"/>
      <c r="D417" s="13"/>
      <c r="E417" s="13"/>
      <c r="F417" s="13"/>
      <c r="G417" s="13"/>
      <c r="H417" s="13"/>
      <c r="I417" s="13"/>
      <c r="J417" s="13"/>
      <c r="K417" s="13"/>
      <c r="L417" s="13"/>
      <c r="M417" s="13"/>
      <c r="N417" s="15"/>
    </row>
    <row r="418" spans="1:14" x14ac:dyDescent="0.2">
      <c r="A418" s="8"/>
      <c r="B418" s="9"/>
      <c r="C418" s="10"/>
      <c r="D418" s="9"/>
      <c r="E418" s="9"/>
      <c r="F418" s="9"/>
      <c r="G418" s="9"/>
      <c r="H418" s="9"/>
      <c r="I418" s="9"/>
      <c r="J418" s="9"/>
      <c r="K418" s="9"/>
      <c r="L418" s="9"/>
      <c r="M418" s="9"/>
      <c r="N418" s="11"/>
    </row>
    <row r="419" spans="1:14" x14ac:dyDescent="0.2">
      <c r="A419" s="12"/>
      <c r="B419" s="13"/>
      <c r="C419" s="14"/>
      <c r="D419" s="13"/>
      <c r="E419" s="13"/>
      <c r="F419" s="13"/>
      <c r="G419" s="13"/>
      <c r="H419" s="13"/>
      <c r="I419" s="13"/>
      <c r="J419" s="13"/>
      <c r="K419" s="13"/>
      <c r="L419" s="13"/>
      <c r="M419" s="13"/>
      <c r="N419" s="15"/>
    </row>
    <row r="420" spans="1:14" x14ac:dyDescent="0.2">
      <c r="A420" s="8"/>
      <c r="B420" s="9"/>
      <c r="C420" s="10"/>
      <c r="D420" s="9"/>
      <c r="E420" s="9"/>
      <c r="F420" s="9"/>
      <c r="G420" s="9"/>
      <c r="H420" s="9"/>
      <c r="I420" s="9"/>
      <c r="J420" s="9"/>
      <c r="K420" s="9"/>
      <c r="L420" s="9"/>
      <c r="M420" s="9"/>
      <c r="N420" s="11"/>
    </row>
    <row r="421" spans="1:14" x14ac:dyDescent="0.2">
      <c r="A421" s="12"/>
      <c r="B421" s="13"/>
      <c r="C421" s="14"/>
      <c r="D421" s="13"/>
      <c r="E421" s="13"/>
      <c r="F421" s="13"/>
      <c r="G421" s="13"/>
      <c r="H421" s="13"/>
      <c r="I421" s="13"/>
      <c r="J421" s="13"/>
      <c r="K421" s="13"/>
      <c r="L421" s="13"/>
      <c r="M421" s="13"/>
      <c r="N421" s="15"/>
    </row>
    <row r="422" spans="1:14" x14ac:dyDescent="0.2">
      <c r="A422" s="8"/>
      <c r="B422" s="9"/>
      <c r="C422" s="10"/>
      <c r="D422" s="9"/>
      <c r="E422" s="9"/>
      <c r="F422" s="9"/>
      <c r="G422" s="9"/>
      <c r="H422" s="9"/>
      <c r="I422" s="9"/>
      <c r="J422" s="9"/>
      <c r="K422" s="9"/>
      <c r="L422" s="9"/>
      <c r="M422" s="9"/>
      <c r="N422" s="11"/>
    </row>
    <row r="423" spans="1:14" x14ac:dyDescent="0.2">
      <c r="A423" s="12"/>
      <c r="B423" s="13"/>
      <c r="C423" s="14"/>
      <c r="D423" s="13"/>
      <c r="E423" s="13"/>
      <c r="F423" s="13"/>
      <c r="G423" s="13"/>
      <c r="H423" s="13"/>
      <c r="I423" s="13"/>
      <c r="J423" s="13"/>
      <c r="K423" s="13"/>
      <c r="L423" s="13"/>
      <c r="M423" s="13"/>
      <c r="N423" s="15"/>
    </row>
    <row r="424" spans="1:14" x14ac:dyDescent="0.2">
      <c r="A424" s="8"/>
      <c r="B424" s="9"/>
      <c r="C424" s="10"/>
      <c r="D424" s="9"/>
      <c r="E424" s="9"/>
      <c r="F424" s="9"/>
      <c r="G424" s="9"/>
      <c r="H424" s="9"/>
      <c r="I424" s="9"/>
      <c r="J424" s="9"/>
      <c r="K424" s="9"/>
      <c r="L424" s="9"/>
      <c r="M424" s="9"/>
      <c r="N424" s="11"/>
    </row>
    <row r="425" spans="1:14" x14ac:dyDescent="0.2">
      <c r="A425" s="12"/>
      <c r="B425" s="13"/>
      <c r="C425" s="14"/>
      <c r="D425" s="13"/>
      <c r="E425" s="13"/>
      <c r="F425" s="13"/>
      <c r="G425" s="13"/>
      <c r="H425" s="13"/>
      <c r="I425" s="13"/>
      <c r="J425" s="13"/>
      <c r="K425" s="13"/>
      <c r="L425" s="13"/>
      <c r="M425" s="13"/>
      <c r="N425" s="15"/>
    </row>
    <row r="426" spans="1:14" x14ac:dyDescent="0.2">
      <c r="A426" s="8"/>
      <c r="B426" s="9"/>
      <c r="C426" s="10"/>
      <c r="D426" s="9"/>
      <c r="E426" s="9"/>
      <c r="F426" s="9"/>
      <c r="G426" s="9"/>
      <c r="H426" s="9"/>
      <c r="I426" s="9"/>
      <c r="J426" s="9"/>
      <c r="K426" s="9"/>
      <c r="L426" s="9"/>
      <c r="M426" s="9"/>
      <c r="N426" s="11"/>
    </row>
    <row r="427" spans="1:14" x14ac:dyDescent="0.2">
      <c r="A427" s="12"/>
      <c r="B427" s="13"/>
      <c r="C427" s="14"/>
      <c r="D427" s="13"/>
      <c r="E427" s="13"/>
      <c r="F427" s="13"/>
      <c r="G427" s="13"/>
      <c r="H427" s="13"/>
      <c r="I427" s="13"/>
      <c r="J427" s="13"/>
      <c r="K427" s="13"/>
      <c r="L427" s="13"/>
      <c r="M427" s="13"/>
      <c r="N427" s="15"/>
    </row>
    <row r="428" spans="1:14" x14ac:dyDescent="0.2">
      <c r="A428" s="8"/>
      <c r="B428" s="9"/>
      <c r="C428" s="10"/>
      <c r="D428" s="9"/>
      <c r="E428" s="9"/>
      <c r="F428" s="9"/>
      <c r="G428" s="9"/>
      <c r="H428" s="9"/>
      <c r="I428" s="9"/>
      <c r="J428" s="9"/>
      <c r="K428" s="9"/>
      <c r="L428" s="9"/>
      <c r="M428" s="9"/>
      <c r="N428" s="11"/>
    </row>
    <row r="429" spans="1:14" x14ac:dyDescent="0.2">
      <c r="A429" s="12"/>
      <c r="B429" s="13"/>
      <c r="C429" s="14"/>
      <c r="D429" s="13"/>
      <c r="E429" s="13"/>
      <c r="F429" s="13"/>
      <c r="G429" s="13"/>
      <c r="H429" s="13"/>
      <c r="I429" s="13"/>
      <c r="J429" s="13"/>
      <c r="K429" s="13"/>
      <c r="L429" s="13"/>
      <c r="M429" s="13"/>
      <c r="N429" s="15"/>
    </row>
    <row r="430" spans="1:14" x14ac:dyDescent="0.2">
      <c r="A430" s="8"/>
      <c r="B430" s="9"/>
      <c r="C430" s="10"/>
      <c r="D430" s="9"/>
      <c r="E430" s="9"/>
      <c r="F430" s="9"/>
      <c r="G430" s="9"/>
      <c r="H430" s="9"/>
      <c r="I430" s="9"/>
      <c r="J430" s="9"/>
      <c r="K430" s="9"/>
      <c r="L430" s="9"/>
      <c r="M430" s="9"/>
      <c r="N430" s="11"/>
    </row>
    <row r="431" spans="1:14" x14ac:dyDescent="0.2">
      <c r="A431" s="12"/>
      <c r="B431" s="13"/>
      <c r="C431" s="14"/>
      <c r="D431" s="13"/>
      <c r="E431" s="13"/>
      <c r="F431" s="13"/>
      <c r="G431" s="13"/>
      <c r="H431" s="13"/>
      <c r="I431" s="13"/>
      <c r="J431" s="13"/>
      <c r="K431" s="13"/>
      <c r="L431" s="13"/>
      <c r="M431" s="13"/>
      <c r="N431" s="15"/>
    </row>
    <row r="432" spans="1:14" x14ac:dyDescent="0.2">
      <c r="A432" s="8"/>
      <c r="B432" s="9"/>
      <c r="C432" s="10"/>
      <c r="D432" s="9"/>
      <c r="E432" s="9"/>
      <c r="F432" s="9"/>
      <c r="G432" s="9"/>
      <c r="H432" s="9"/>
      <c r="I432" s="9"/>
      <c r="J432" s="9"/>
      <c r="K432" s="9"/>
      <c r="L432" s="9"/>
      <c r="M432" s="9"/>
      <c r="N432" s="11"/>
    </row>
    <row r="433" spans="1:14" x14ac:dyDescent="0.2">
      <c r="A433" s="12"/>
      <c r="B433" s="13"/>
      <c r="C433" s="14"/>
      <c r="D433" s="13"/>
      <c r="E433" s="13"/>
      <c r="F433" s="13"/>
      <c r="G433" s="13"/>
      <c r="H433" s="13"/>
      <c r="I433" s="13"/>
      <c r="J433" s="13"/>
      <c r="K433" s="13"/>
      <c r="L433" s="13"/>
      <c r="M433" s="13"/>
      <c r="N433" s="15"/>
    </row>
    <row r="434" spans="1:14" x14ac:dyDescent="0.2">
      <c r="A434" s="8"/>
      <c r="B434" s="9"/>
      <c r="C434" s="10"/>
      <c r="D434" s="9"/>
      <c r="E434" s="9"/>
      <c r="F434" s="9"/>
      <c r="G434" s="9"/>
      <c r="H434" s="9"/>
      <c r="I434" s="9"/>
      <c r="J434" s="9"/>
      <c r="K434" s="9"/>
      <c r="L434" s="9"/>
      <c r="M434" s="9"/>
      <c r="N434" s="11"/>
    </row>
    <row r="435" spans="1:14" x14ac:dyDescent="0.2">
      <c r="A435" s="12"/>
      <c r="B435" s="13"/>
      <c r="C435" s="14"/>
      <c r="D435" s="13"/>
      <c r="E435" s="13"/>
      <c r="F435" s="13"/>
      <c r="G435" s="13"/>
      <c r="H435" s="13"/>
      <c r="I435" s="13"/>
      <c r="J435" s="13"/>
      <c r="K435" s="13"/>
      <c r="L435" s="13"/>
      <c r="M435" s="13"/>
      <c r="N435" s="15"/>
    </row>
    <row r="436" spans="1:14" x14ac:dyDescent="0.2">
      <c r="A436" s="8"/>
      <c r="B436" s="9"/>
      <c r="C436" s="10"/>
      <c r="D436" s="9"/>
      <c r="E436" s="9"/>
      <c r="F436" s="9"/>
      <c r="G436" s="9"/>
      <c r="H436" s="9"/>
      <c r="I436" s="9"/>
      <c r="J436" s="9"/>
      <c r="K436" s="9"/>
      <c r="L436" s="9"/>
      <c r="M436" s="9"/>
      <c r="N436" s="11"/>
    </row>
    <row r="437" spans="1:14" x14ac:dyDescent="0.2">
      <c r="A437" s="12"/>
      <c r="B437" s="13"/>
      <c r="C437" s="14"/>
      <c r="D437" s="13"/>
      <c r="E437" s="13"/>
      <c r="F437" s="13"/>
      <c r="G437" s="13"/>
      <c r="H437" s="13"/>
      <c r="I437" s="13"/>
      <c r="J437" s="13"/>
      <c r="K437" s="13"/>
      <c r="L437" s="13"/>
      <c r="M437" s="13"/>
      <c r="N437" s="15"/>
    </row>
    <row r="438" spans="1:14" x14ac:dyDescent="0.2">
      <c r="A438" s="8"/>
      <c r="B438" s="9"/>
      <c r="C438" s="10"/>
      <c r="D438" s="9"/>
      <c r="E438" s="9"/>
      <c r="F438" s="9"/>
      <c r="G438" s="9"/>
      <c r="H438" s="9"/>
      <c r="I438" s="9"/>
      <c r="J438" s="9"/>
      <c r="K438" s="9"/>
      <c r="L438" s="9"/>
      <c r="M438" s="9"/>
      <c r="N438" s="11"/>
    </row>
    <row r="439" spans="1:14" x14ac:dyDescent="0.2">
      <c r="A439" s="12"/>
      <c r="B439" s="13"/>
      <c r="C439" s="14"/>
      <c r="D439" s="13"/>
      <c r="E439" s="13"/>
      <c r="F439" s="13"/>
      <c r="G439" s="13"/>
      <c r="H439" s="13"/>
      <c r="I439" s="13"/>
      <c r="J439" s="13"/>
      <c r="K439" s="13"/>
      <c r="L439" s="13"/>
      <c r="M439" s="13"/>
      <c r="N439" s="15"/>
    </row>
    <row r="440" spans="1:14" x14ac:dyDescent="0.2">
      <c r="A440" s="8"/>
      <c r="B440" s="9"/>
      <c r="C440" s="10"/>
      <c r="D440" s="9"/>
      <c r="E440" s="9"/>
      <c r="F440" s="9"/>
      <c r="G440" s="9"/>
      <c r="H440" s="9"/>
      <c r="I440" s="9"/>
      <c r="J440" s="9"/>
      <c r="K440" s="9"/>
      <c r="L440" s="9"/>
      <c r="M440" s="9"/>
      <c r="N440" s="11"/>
    </row>
    <row r="441" spans="1:14" x14ac:dyDescent="0.2">
      <c r="A441" s="12"/>
      <c r="B441" s="13"/>
      <c r="C441" s="14"/>
      <c r="D441" s="13"/>
      <c r="E441" s="13"/>
      <c r="F441" s="13"/>
      <c r="G441" s="13"/>
      <c r="H441" s="13"/>
      <c r="I441" s="13"/>
      <c r="J441" s="13"/>
      <c r="K441" s="13"/>
      <c r="L441" s="13"/>
      <c r="M441" s="13"/>
      <c r="N441" s="15"/>
    </row>
    <row r="442" spans="1:14" x14ac:dyDescent="0.2">
      <c r="A442" s="8"/>
      <c r="B442" s="9"/>
      <c r="C442" s="10"/>
      <c r="D442" s="9"/>
      <c r="E442" s="9"/>
      <c r="F442" s="9"/>
      <c r="G442" s="9"/>
      <c r="H442" s="9"/>
      <c r="I442" s="9"/>
      <c r="J442" s="9"/>
      <c r="K442" s="9"/>
      <c r="L442" s="9"/>
      <c r="M442" s="9"/>
      <c r="N442" s="11"/>
    </row>
    <row r="443" spans="1:14" x14ac:dyDescent="0.2">
      <c r="A443" s="12"/>
      <c r="B443" s="13"/>
      <c r="C443" s="14"/>
      <c r="D443" s="13"/>
      <c r="E443" s="13"/>
      <c r="F443" s="13"/>
      <c r="G443" s="13"/>
      <c r="H443" s="13"/>
      <c r="I443" s="13"/>
      <c r="J443" s="13"/>
      <c r="K443" s="13"/>
      <c r="L443" s="13"/>
      <c r="M443" s="13"/>
      <c r="N443" s="15"/>
    </row>
    <row r="444" spans="1:14" x14ac:dyDescent="0.2">
      <c r="A444" s="8"/>
      <c r="B444" s="9"/>
      <c r="C444" s="10"/>
      <c r="D444" s="9"/>
      <c r="E444" s="9"/>
      <c r="F444" s="9"/>
      <c r="G444" s="9"/>
      <c r="H444" s="9"/>
      <c r="I444" s="9"/>
      <c r="J444" s="9"/>
      <c r="K444" s="9"/>
      <c r="L444" s="9"/>
      <c r="M444" s="9"/>
      <c r="N444" s="11"/>
    </row>
    <row r="445" spans="1:14" x14ac:dyDescent="0.2">
      <c r="A445" s="12"/>
      <c r="B445" s="13"/>
      <c r="C445" s="14"/>
      <c r="D445" s="13"/>
      <c r="E445" s="13"/>
      <c r="F445" s="13"/>
      <c r="G445" s="13"/>
      <c r="H445" s="13"/>
      <c r="I445" s="13"/>
      <c r="J445" s="13"/>
      <c r="K445" s="13"/>
      <c r="L445" s="13"/>
      <c r="M445" s="13"/>
      <c r="N445" s="15"/>
    </row>
    <row r="446" spans="1:14" x14ac:dyDescent="0.2">
      <c r="A446" s="8"/>
      <c r="B446" s="9"/>
      <c r="C446" s="10"/>
      <c r="D446" s="9"/>
      <c r="E446" s="9"/>
      <c r="F446" s="9"/>
      <c r="G446" s="9"/>
      <c r="H446" s="9"/>
      <c r="I446" s="9"/>
      <c r="J446" s="9"/>
      <c r="K446" s="9"/>
      <c r="L446" s="9"/>
      <c r="M446" s="9"/>
      <c r="N446" s="11"/>
    </row>
    <row r="447" spans="1:14" x14ac:dyDescent="0.2">
      <c r="A447" s="12"/>
      <c r="B447" s="13"/>
      <c r="C447" s="14"/>
      <c r="D447" s="13"/>
      <c r="E447" s="13"/>
      <c r="F447" s="13"/>
      <c r="G447" s="13"/>
      <c r="H447" s="13"/>
      <c r="I447" s="13"/>
      <c r="J447" s="13"/>
      <c r="K447" s="13"/>
      <c r="L447" s="13"/>
      <c r="M447" s="13"/>
      <c r="N447" s="15"/>
    </row>
    <row r="448" spans="1:14" x14ac:dyDescent="0.2">
      <c r="A448" s="8"/>
      <c r="B448" s="9"/>
      <c r="C448" s="10"/>
      <c r="D448" s="9"/>
      <c r="E448" s="9"/>
      <c r="F448" s="9"/>
      <c r="G448" s="9"/>
      <c r="H448" s="9"/>
      <c r="I448" s="9"/>
      <c r="J448" s="9"/>
      <c r="K448" s="9"/>
      <c r="L448" s="9"/>
      <c r="M448" s="9"/>
      <c r="N448" s="11"/>
    </row>
    <row r="449" spans="1:14" x14ac:dyDescent="0.2">
      <c r="A449" s="12"/>
      <c r="B449" s="13"/>
      <c r="C449" s="14"/>
      <c r="D449" s="13"/>
      <c r="E449" s="13"/>
      <c r="F449" s="13"/>
      <c r="G449" s="13"/>
      <c r="H449" s="13"/>
      <c r="I449" s="13"/>
      <c r="J449" s="13"/>
      <c r="K449" s="13"/>
      <c r="L449" s="13"/>
      <c r="M449" s="13"/>
      <c r="N449" s="15"/>
    </row>
    <row r="450" spans="1:14" x14ac:dyDescent="0.2">
      <c r="A450" s="8"/>
      <c r="B450" s="9"/>
      <c r="C450" s="10"/>
      <c r="D450" s="9"/>
      <c r="E450" s="9"/>
      <c r="F450" s="9"/>
      <c r="G450" s="9"/>
      <c r="H450" s="9"/>
      <c r="I450" s="9"/>
      <c r="J450" s="9"/>
      <c r="K450" s="9"/>
      <c r="L450" s="9"/>
      <c r="M450" s="9"/>
      <c r="N450" s="11"/>
    </row>
    <row r="451" spans="1:14" x14ac:dyDescent="0.2">
      <c r="A451" s="12"/>
      <c r="B451" s="13"/>
      <c r="C451" s="14"/>
      <c r="D451" s="13"/>
      <c r="E451" s="13"/>
      <c r="F451" s="13"/>
      <c r="G451" s="13"/>
      <c r="H451" s="13"/>
      <c r="I451" s="13"/>
      <c r="J451" s="13"/>
      <c r="K451" s="13"/>
      <c r="L451" s="13"/>
      <c r="M451" s="13"/>
      <c r="N451" s="15"/>
    </row>
    <row r="452" spans="1:14" x14ac:dyDescent="0.2">
      <c r="A452" s="8"/>
      <c r="B452" s="9"/>
      <c r="C452" s="10"/>
      <c r="D452" s="9"/>
      <c r="E452" s="9"/>
      <c r="F452" s="9"/>
      <c r="G452" s="9"/>
      <c r="H452" s="9"/>
      <c r="I452" s="9"/>
      <c r="J452" s="9"/>
      <c r="K452" s="9"/>
      <c r="L452" s="9"/>
      <c r="M452" s="9"/>
      <c r="N452" s="11"/>
    </row>
    <row r="453" spans="1:14" x14ac:dyDescent="0.2">
      <c r="A453" s="12"/>
      <c r="B453" s="13"/>
      <c r="C453" s="14"/>
      <c r="D453" s="13"/>
      <c r="E453" s="13"/>
      <c r="F453" s="13"/>
      <c r="G453" s="13"/>
      <c r="H453" s="13"/>
      <c r="I453" s="13"/>
      <c r="J453" s="13"/>
      <c r="K453" s="13"/>
      <c r="L453" s="13"/>
      <c r="M453" s="13"/>
      <c r="N453" s="15"/>
    </row>
    <row r="454" spans="1:14" x14ac:dyDescent="0.2">
      <c r="A454" s="8"/>
      <c r="B454" s="9"/>
      <c r="C454" s="10"/>
      <c r="D454" s="9"/>
      <c r="E454" s="9"/>
      <c r="F454" s="9"/>
      <c r="G454" s="9"/>
      <c r="H454" s="9"/>
      <c r="I454" s="9"/>
      <c r="J454" s="9"/>
      <c r="K454" s="9"/>
      <c r="L454" s="9"/>
      <c r="M454" s="9"/>
      <c r="N454" s="11"/>
    </row>
    <row r="455" spans="1:14" x14ac:dyDescent="0.2">
      <c r="A455" s="12"/>
      <c r="B455" s="13"/>
      <c r="C455" s="14"/>
      <c r="D455" s="13"/>
      <c r="E455" s="13"/>
      <c r="F455" s="13"/>
      <c r="G455" s="13"/>
      <c r="H455" s="13"/>
      <c r="I455" s="13"/>
      <c r="J455" s="13"/>
      <c r="K455" s="13"/>
      <c r="L455" s="13"/>
      <c r="M455" s="13"/>
      <c r="N455" s="15"/>
    </row>
    <row r="456" spans="1:14" x14ac:dyDescent="0.2">
      <c r="A456" s="8"/>
      <c r="B456" s="9"/>
      <c r="C456" s="10"/>
      <c r="D456" s="9"/>
      <c r="E456" s="9"/>
      <c r="F456" s="9"/>
      <c r="G456" s="9"/>
      <c r="H456" s="9"/>
      <c r="I456" s="9"/>
      <c r="J456" s="9"/>
      <c r="K456" s="9"/>
      <c r="L456" s="9"/>
      <c r="M456" s="9"/>
      <c r="N456" s="11"/>
    </row>
    <row r="457" spans="1:14" x14ac:dyDescent="0.2">
      <c r="A457" s="12"/>
      <c r="B457" s="13"/>
      <c r="C457" s="14"/>
      <c r="D457" s="13"/>
      <c r="E457" s="13"/>
      <c r="F457" s="13"/>
      <c r="G457" s="13"/>
      <c r="H457" s="13"/>
      <c r="I457" s="13"/>
      <c r="J457" s="13"/>
      <c r="K457" s="13"/>
      <c r="L457" s="13"/>
      <c r="M457" s="13"/>
      <c r="N457" s="15"/>
    </row>
    <row r="458" spans="1:14" x14ac:dyDescent="0.2">
      <c r="A458" s="8"/>
      <c r="B458" s="9"/>
      <c r="C458" s="10"/>
      <c r="D458" s="9"/>
      <c r="E458" s="9"/>
      <c r="F458" s="9"/>
      <c r="G458" s="9"/>
      <c r="H458" s="9"/>
      <c r="I458" s="9"/>
      <c r="J458" s="9"/>
      <c r="K458" s="9"/>
      <c r="L458" s="9"/>
      <c r="M458" s="9"/>
      <c r="N458" s="11"/>
    </row>
    <row r="459" spans="1:14" x14ac:dyDescent="0.2">
      <c r="A459" s="12"/>
      <c r="B459" s="13"/>
      <c r="C459" s="14"/>
      <c r="D459" s="13"/>
      <c r="E459" s="13"/>
      <c r="F459" s="13"/>
      <c r="G459" s="13"/>
      <c r="H459" s="13"/>
      <c r="I459" s="13"/>
      <c r="J459" s="13"/>
      <c r="K459" s="13"/>
      <c r="L459" s="13"/>
      <c r="M459" s="13"/>
      <c r="N459" s="15"/>
    </row>
    <row r="460" spans="1:14" x14ac:dyDescent="0.2">
      <c r="A460" s="8"/>
      <c r="B460" s="9"/>
      <c r="C460" s="10"/>
      <c r="D460" s="9"/>
      <c r="E460" s="9"/>
      <c r="F460" s="9"/>
      <c r="G460" s="9"/>
      <c r="H460" s="9"/>
      <c r="I460" s="9"/>
      <c r="J460" s="9"/>
      <c r="K460" s="9"/>
      <c r="L460" s="9"/>
      <c r="M460" s="9"/>
      <c r="N460" s="11"/>
    </row>
    <row r="461" spans="1:14" x14ac:dyDescent="0.2">
      <c r="A461" s="12"/>
      <c r="B461" s="13"/>
      <c r="C461" s="14"/>
      <c r="D461" s="13"/>
      <c r="E461" s="13"/>
      <c r="F461" s="13"/>
      <c r="G461" s="13"/>
      <c r="H461" s="13"/>
      <c r="I461" s="13"/>
      <c r="J461" s="13"/>
      <c r="K461" s="13"/>
      <c r="L461" s="13"/>
      <c r="M461" s="13"/>
      <c r="N461" s="15"/>
    </row>
    <row r="462" spans="1:14" x14ac:dyDescent="0.2">
      <c r="A462" s="8"/>
      <c r="B462" s="9"/>
      <c r="C462" s="10"/>
      <c r="D462" s="9"/>
      <c r="E462" s="9"/>
      <c r="F462" s="9"/>
      <c r="G462" s="9"/>
      <c r="H462" s="9"/>
      <c r="I462" s="9"/>
      <c r="J462" s="9"/>
      <c r="K462" s="9"/>
      <c r="L462" s="9"/>
      <c r="M462" s="9"/>
      <c r="N462" s="11"/>
    </row>
    <row r="463" spans="1:14" x14ac:dyDescent="0.2">
      <c r="A463" s="12"/>
      <c r="B463" s="13"/>
      <c r="C463" s="14"/>
      <c r="D463" s="13"/>
      <c r="E463" s="13"/>
      <c r="F463" s="13"/>
      <c r="G463" s="13"/>
      <c r="H463" s="13"/>
      <c r="I463" s="13"/>
      <c r="J463" s="13"/>
      <c r="K463" s="13"/>
      <c r="L463" s="13"/>
      <c r="M463" s="13"/>
      <c r="N463" s="15"/>
    </row>
    <row r="464" spans="1:14" x14ac:dyDescent="0.2">
      <c r="A464" s="8"/>
      <c r="B464" s="9"/>
      <c r="C464" s="10"/>
      <c r="D464" s="9"/>
      <c r="E464" s="9"/>
      <c r="F464" s="9"/>
      <c r="G464" s="9"/>
      <c r="H464" s="9"/>
      <c r="I464" s="9"/>
      <c r="J464" s="9"/>
      <c r="K464" s="9"/>
      <c r="L464" s="9"/>
      <c r="M464" s="9"/>
      <c r="N464" s="11"/>
    </row>
    <row r="465" spans="1:14" x14ac:dyDescent="0.2">
      <c r="A465" s="12"/>
      <c r="B465" s="13"/>
      <c r="C465" s="14"/>
      <c r="D465" s="13"/>
      <c r="E465" s="13"/>
      <c r="F465" s="13"/>
      <c r="G465" s="13"/>
      <c r="H465" s="13"/>
      <c r="I465" s="13"/>
      <c r="J465" s="13"/>
      <c r="K465" s="13"/>
      <c r="L465" s="13"/>
      <c r="M465" s="13"/>
      <c r="N465" s="15"/>
    </row>
    <row r="466" spans="1:14" x14ac:dyDescent="0.2">
      <c r="A466" s="8"/>
      <c r="B466" s="9"/>
      <c r="C466" s="10"/>
      <c r="D466" s="9"/>
      <c r="E466" s="9"/>
      <c r="F466" s="9"/>
      <c r="G466" s="9"/>
      <c r="H466" s="9"/>
      <c r="I466" s="9"/>
      <c r="J466" s="9"/>
      <c r="K466" s="9"/>
      <c r="L466" s="9"/>
      <c r="M466" s="9"/>
      <c r="N466" s="11"/>
    </row>
    <row r="467" spans="1:14" x14ac:dyDescent="0.2">
      <c r="A467" s="12"/>
      <c r="B467" s="13"/>
      <c r="C467" s="14"/>
      <c r="D467" s="13"/>
      <c r="E467" s="13"/>
      <c r="F467" s="13"/>
      <c r="G467" s="13"/>
      <c r="H467" s="13"/>
      <c r="I467" s="13"/>
      <c r="J467" s="13"/>
      <c r="K467" s="13"/>
      <c r="L467" s="13"/>
      <c r="M467" s="13"/>
      <c r="N467" s="15"/>
    </row>
    <row r="468" spans="1:14" x14ac:dyDescent="0.2">
      <c r="A468" s="8"/>
      <c r="B468" s="9"/>
      <c r="C468" s="10"/>
      <c r="D468" s="9"/>
      <c r="E468" s="9"/>
      <c r="F468" s="9"/>
      <c r="G468" s="9"/>
      <c r="H468" s="9"/>
      <c r="I468" s="9"/>
      <c r="J468" s="9"/>
      <c r="K468" s="9"/>
      <c r="L468" s="9"/>
      <c r="M468" s="9"/>
      <c r="N468" s="11"/>
    </row>
    <row r="469" spans="1:14" x14ac:dyDescent="0.2">
      <c r="A469" s="12"/>
      <c r="B469" s="13"/>
      <c r="C469" s="14"/>
      <c r="D469" s="13"/>
      <c r="E469" s="13"/>
      <c r="F469" s="13"/>
      <c r="G469" s="13"/>
      <c r="H469" s="13"/>
      <c r="I469" s="13"/>
      <c r="J469" s="13"/>
      <c r="K469" s="13"/>
      <c r="L469" s="13"/>
      <c r="M469" s="13"/>
      <c r="N469" s="15"/>
    </row>
    <row r="470" spans="1:14" x14ac:dyDescent="0.2">
      <c r="A470" s="8"/>
      <c r="B470" s="9"/>
      <c r="C470" s="10"/>
      <c r="D470" s="9"/>
      <c r="E470" s="9"/>
      <c r="F470" s="9"/>
      <c r="G470" s="9"/>
      <c r="H470" s="9"/>
      <c r="I470" s="9"/>
      <c r="J470" s="9"/>
      <c r="K470" s="9"/>
      <c r="L470" s="9"/>
      <c r="M470" s="9"/>
      <c r="N470" s="11"/>
    </row>
    <row r="471" spans="1:14" x14ac:dyDescent="0.2">
      <c r="A471" s="12"/>
      <c r="B471" s="13"/>
      <c r="C471" s="14"/>
      <c r="D471" s="13"/>
      <c r="E471" s="13"/>
      <c r="F471" s="13"/>
      <c r="G471" s="13"/>
      <c r="H471" s="13"/>
      <c r="I471" s="13"/>
      <c r="J471" s="13"/>
      <c r="K471" s="13"/>
      <c r="L471" s="13"/>
      <c r="M471" s="13"/>
      <c r="N471" s="15"/>
    </row>
    <row r="472" spans="1:14" x14ac:dyDescent="0.2">
      <c r="A472" s="8"/>
      <c r="B472" s="9"/>
      <c r="C472" s="10"/>
      <c r="D472" s="9"/>
      <c r="E472" s="9"/>
      <c r="F472" s="9"/>
      <c r="G472" s="9"/>
      <c r="H472" s="9"/>
      <c r="I472" s="9"/>
      <c r="J472" s="9"/>
      <c r="K472" s="9"/>
      <c r="L472" s="9"/>
      <c r="M472" s="9"/>
      <c r="N472" s="11"/>
    </row>
    <row r="473" spans="1:14" x14ac:dyDescent="0.2">
      <c r="A473" s="12"/>
      <c r="B473" s="13"/>
      <c r="C473" s="14"/>
      <c r="D473" s="13"/>
      <c r="E473" s="13"/>
      <c r="F473" s="13"/>
      <c r="G473" s="13"/>
      <c r="H473" s="13"/>
      <c r="I473" s="13"/>
      <c r="J473" s="13"/>
      <c r="K473" s="13"/>
      <c r="L473" s="13"/>
      <c r="M473" s="13"/>
      <c r="N473" s="15"/>
    </row>
    <row r="474" spans="1:14" x14ac:dyDescent="0.2">
      <c r="A474" s="8"/>
      <c r="B474" s="9"/>
      <c r="C474" s="10"/>
      <c r="D474" s="9"/>
      <c r="E474" s="9"/>
      <c r="F474" s="9"/>
      <c r="G474" s="9"/>
      <c r="H474" s="9"/>
      <c r="I474" s="9"/>
      <c r="J474" s="9"/>
      <c r="K474" s="9"/>
      <c r="L474" s="9"/>
      <c r="M474" s="9"/>
      <c r="N474" s="11"/>
    </row>
    <row r="475" spans="1:14" x14ac:dyDescent="0.2">
      <c r="A475" s="12"/>
      <c r="B475" s="13"/>
      <c r="C475" s="14"/>
      <c r="D475" s="13"/>
      <c r="E475" s="13"/>
      <c r="F475" s="13"/>
      <c r="G475" s="13"/>
      <c r="H475" s="13"/>
      <c r="I475" s="13"/>
      <c r="J475" s="13"/>
      <c r="K475" s="13"/>
      <c r="L475" s="13"/>
      <c r="M475" s="13"/>
      <c r="N475" s="15"/>
    </row>
    <row r="476" spans="1:14" x14ac:dyDescent="0.2">
      <c r="A476" s="8"/>
      <c r="B476" s="9"/>
      <c r="C476" s="10"/>
      <c r="D476" s="9"/>
      <c r="E476" s="9"/>
      <c r="F476" s="9"/>
      <c r="G476" s="9"/>
      <c r="H476" s="9"/>
      <c r="I476" s="9"/>
      <c r="J476" s="9"/>
      <c r="K476" s="9"/>
      <c r="L476" s="9"/>
      <c r="M476" s="9"/>
      <c r="N476" s="11"/>
    </row>
    <row r="477" spans="1:14" x14ac:dyDescent="0.2">
      <c r="A477" s="12"/>
      <c r="B477" s="13"/>
      <c r="C477" s="14"/>
      <c r="D477" s="13"/>
      <c r="E477" s="13"/>
      <c r="F477" s="13"/>
      <c r="G477" s="13"/>
      <c r="H477" s="13"/>
      <c r="I477" s="13"/>
      <c r="J477" s="13"/>
      <c r="K477" s="13"/>
      <c r="L477" s="13"/>
      <c r="M477" s="13"/>
      <c r="N477" s="15"/>
    </row>
    <row r="478" spans="1:14" x14ac:dyDescent="0.2">
      <c r="A478" s="8"/>
      <c r="B478" s="9"/>
      <c r="C478" s="10"/>
      <c r="D478" s="9"/>
      <c r="E478" s="9"/>
      <c r="F478" s="9"/>
      <c r="G478" s="9"/>
      <c r="H478" s="9"/>
      <c r="I478" s="9"/>
      <c r="J478" s="9"/>
      <c r="K478" s="9"/>
      <c r="L478" s="9"/>
      <c r="M478" s="9"/>
      <c r="N478" s="11"/>
    </row>
    <row r="479" spans="1:14" x14ac:dyDescent="0.2">
      <c r="A479" s="12"/>
      <c r="B479" s="13"/>
      <c r="C479" s="14"/>
      <c r="D479" s="13"/>
      <c r="E479" s="13"/>
      <c r="F479" s="13"/>
      <c r="G479" s="13"/>
      <c r="H479" s="13"/>
      <c r="I479" s="13"/>
      <c r="J479" s="13"/>
      <c r="K479" s="13"/>
      <c r="L479" s="13"/>
      <c r="M479" s="13"/>
      <c r="N479" s="15"/>
    </row>
    <row r="480" spans="1:14" x14ac:dyDescent="0.2">
      <c r="A480" s="8"/>
      <c r="B480" s="9"/>
      <c r="C480" s="10"/>
      <c r="D480" s="9"/>
      <c r="E480" s="9"/>
      <c r="F480" s="9"/>
      <c r="G480" s="9"/>
      <c r="H480" s="9"/>
      <c r="I480" s="9"/>
      <c r="J480" s="9"/>
      <c r="K480" s="9"/>
      <c r="L480" s="9"/>
      <c r="M480" s="9"/>
      <c r="N480" s="11"/>
    </row>
    <row r="481" spans="1:14" x14ac:dyDescent="0.2">
      <c r="A481" s="12"/>
      <c r="B481" s="13"/>
      <c r="C481" s="14"/>
      <c r="D481" s="13"/>
      <c r="E481" s="13"/>
      <c r="F481" s="13"/>
      <c r="G481" s="13"/>
      <c r="H481" s="13"/>
      <c r="I481" s="13"/>
      <c r="J481" s="13"/>
      <c r="K481" s="13"/>
      <c r="L481" s="13"/>
      <c r="M481" s="13"/>
      <c r="N481" s="15"/>
    </row>
    <row r="482" spans="1:14" x14ac:dyDescent="0.2">
      <c r="A482" s="8"/>
      <c r="B482" s="9"/>
      <c r="C482" s="10"/>
      <c r="D482" s="9"/>
      <c r="E482" s="9"/>
      <c r="F482" s="9"/>
      <c r="G482" s="9"/>
      <c r="H482" s="9"/>
      <c r="I482" s="9"/>
      <c r="J482" s="9"/>
      <c r="K482" s="9"/>
      <c r="L482" s="9"/>
      <c r="M482" s="9"/>
      <c r="N482" s="11"/>
    </row>
    <row r="483" spans="1:14" x14ac:dyDescent="0.2">
      <c r="A483" s="12"/>
      <c r="B483" s="13"/>
      <c r="C483" s="14"/>
      <c r="D483" s="13"/>
      <c r="E483" s="13"/>
      <c r="F483" s="13"/>
      <c r="G483" s="13"/>
      <c r="H483" s="13"/>
      <c r="I483" s="13"/>
      <c r="J483" s="13"/>
      <c r="K483" s="13"/>
      <c r="L483" s="13"/>
      <c r="M483" s="13"/>
      <c r="N483" s="15"/>
    </row>
    <row r="484" spans="1:14" x14ac:dyDescent="0.2">
      <c r="A484" s="8"/>
      <c r="B484" s="9"/>
      <c r="C484" s="10"/>
      <c r="D484" s="9"/>
      <c r="E484" s="9"/>
      <c r="F484" s="9"/>
      <c r="G484" s="9"/>
      <c r="H484" s="9"/>
      <c r="I484" s="9"/>
      <c r="J484" s="9"/>
      <c r="K484" s="9"/>
      <c r="L484" s="9"/>
      <c r="M484" s="9"/>
      <c r="N484" s="11"/>
    </row>
    <row r="485" spans="1:14" x14ac:dyDescent="0.2">
      <c r="A485" s="12"/>
      <c r="B485" s="13"/>
      <c r="C485" s="14"/>
      <c r="D485" s="13"/>
      <c r="E485" s="13"/>
      <c r="F485" s="13"/>
      <c r="G485" s="13"/>
      <c r="H485" s="13"/>
      <c r="I485" s="13"/>
      <c r="J485" s="13"/>
      <c r="K485" s="13"/>
      <c r="L485" s="13"/>
      <c r="M485" s="13"/>
      <c r="N485" s="15"/>
    </row>
    <row r="486" spans="1:14" x14ac:dyDescent="0.2">
      <c r="A486" s="8"/>
      <c r="B486" s="9"/>
      <c r="C486" s="10"/>
      <c r="D486" s="9"/>
      <c r="E486" s="9"/>
      <c r="F486" s="9"/>
      <c r="G486" s="9"/>
      <c r="H486" s="9"/>
      <c r="I486" s="9"/>
      <c r="J486" s="9"/>
      <c r="K486" s="9"/>
      <c r="L486" s="9"/>
      <c r="M486" s="9"/>
      <c r="N486" s="11"/>
    </row>
    <row r="487" spans="1:14" x14ac:dyDescent="0.2">
      <c r="A487" s="12"/>
      <c r="B487" s="13"/>
      <c r="C487" s="14"/>
      <c r="D487" s="13"/>
      <c r="E487" s="13"/>
      <c r="F487" s="13"/>
      <c r="G487" s="13"/>
      <c r="H487" s="13"/>
      <c r="I487" s="13"/>
      <c r="J487" s="13"/>
      <c r="K487" s="13"/>
      <c r="L487" s="13"/>
      <c r="M487" s="13"/>
      <c r="N487" s="15"/>
    </row>
    <row r="488" spans="1:14" x14ac:dyDescent="0.2">
      <c r="A488" s="8"/>
      <c r="B488" s="9"/>
      <c r="C488" s="10"/>
      <c r="D488" s="9"/>
      <c r="E488" s="9"/>
      <c r="F488" s="9"/>
      <c r="G488" s="9"/>
      <c r="H488" s="9"/>
      <c r="I488" s="9"/>
      <c r="J488" s="9"/>
      <c r="K488" s="9"/>
      <c r="L488" s="9"/>
      <c r="M488" s="9"/>
      <c r="N488" s="11"/>
    </row>
    <row r="489" spans="1:14" x14ac:dyDescent="0.2">
      <c r="A489" s="12"/>
      <c r="B489" s="13"/>
      <c r="C489" s="14"/>
      <c r="D489" s="13"/>
      <c r="E489" s="13"/>
      <c r="F489" s="13"/>
      <c r="G489" s="13"/>
      <c r="H489" s="13"/>
      <c r="I489" s="13"/>
      <c r="J489" s="13"/>
      <c r="K489" s="13"/>
      <c r="L489" s="13"/>
      <c r="M489" s="13"/>
      <c r="N489" s="15"/>
    </row>
    <row r="490" spans="1:14" x14ac:dyDescent="0.2">
      <c r="A490" s="8"/>
      <c r="B490" s="9"/>
      <c r="C490" s="10"/>
      <c r="D490" s="9"/>
      <c r="E490" s="9"/>
      <c r="F490" s="9"/>
      <c r="G490" s="9"/>
      <c r="H490" s="9"/>
      <c r="I490" s="9"/>
      <c r="J490" s="9"/>
      <c r="K490" s="9"/>
      <c r="L490" s="9"/>
      <c r="M490" s="9"/>
      <c r="N490" s="11"/>
    </row>
    <row r="491" spans="1:14" x14ac:dyDescent="0.2">
      <c r="A491" s="12"/>
      <c r="B491" s="13"/>
      <c r="C491" s="14"/>
      <c r="D491" s="13"/>
      <c r="E491" s="13"/>
      <c r="F491" s="13"/>
      <c r="G491" s="13"/>
      <c r="H491" s="13"/>
      <c r="I491" s="13"/>
      <c r="J491" s="13"/>
      <c r="K491" s="13"/>
      <c r="L491" s="13"/>
      <c r="M491" s="13"/>
      <c r="N491" s="15"/>
    </row>
    <row r="492" spans="1:14" x14ac:dyDescent="0.2">
      <c r="A492" s="8"/>
      <c r="B492" s="9"/>
      <c r="C492" s="10"/>
      <c r="D492" s="9"/>
      <c r="E492" s="9"/>
      <c r="F492" s="9"/>
      <c r="G492" s="9"/>
      <c r="H492" s="9"/>
      <c r="I492" s="9"/>
      <c r="J492" s="9"/>
      <c r="K492" s="9"/>
      <c r="L492" s="9"/>
      <c r="M492" s="9"/>
      <c r="N492" s="11"/>
    </row>
    <row r="493" spans="1:14" x14ac:dyDescent="0.2">
      <c r="A493" s="12"/>
      <c r="B493" s="13"/>
      <c r="C493" s="14"/>
      <c r="D493" s="13"/>
      <c r="E493" s="13"/>
      <c r="F493" s="13"/>
      <c r="G493" s="13"/>
      <c r="H493" s="13"/>
      <c r="I493" s="13"/>
      <c r="J493" s="13"/>
      <c r="K493" s="13"/>
      <c r="L493" s="13"/>
      <c r="M493" s="13"/>
      <c r="N493" s="15"/>
    </row>
    <row r="494" spans="1:14" x14ac:dyDescent="0.2">
      <c r="A494" s="8"/>
      <c r="B494" s="9"/>
      <c r="C494" s="10"/>
      <c r="D494" s="9"/>
      <c r="E494" s="9"/>
      <c r="F494" s="9"/>
      <c r="G494" s="9"/>
      <c r="H494" s="9"/>
      <c r="I494" s="9"/>
      <c r="J494" s="9"/>
      <c r="K494" s="9"/>
      <c r="L494" s="9"/>
      <c r="M494" s="9"/>
      <c r="N494" s="11"/>
    </row>
    <row r="495" spans="1:14" x14ac:dyDescent="0.2">
      <c r="A495" s="12"/>
      <c r="B495" s="13"/>
      <c r="C495" s="14"/>
      <c r="D495" s="13"/>
      <c r="E495" s="13"/>
      <c r="F495" s="13"/>
      <c r="G495" s="13"/>
      <c r="H495" s="13"/>
      <c r="I495" s="13"/>
      <c r="J495" s="13"/>
      <c r="K495" s="13"/>
      <c r="L495" s="13"/>
      <c r="M495" s="13"/>
      <c r="N495" s="15"/>
    </row>
    <row r="496" spans="1:14" x14ac:dyDescent="0.2">
      <c r="A496" s="8"/>
      <c r="B496" s="9"/>
      <c r="C496" s="10"/>
      <c r="D496" s="9"/>
      <c r="E496" s="9"/>
      <c r="F496" s="9"/>
      <c r="G496" s="9"/>
      <c r="H496" s="9"/>
      <c r="I496" s="9"/>
      <c r="J496" s="9"/>
      <c r="K496" s="9"/>
      <c r="L496" s="9"/>
      <c r="M496" s="9"/>
      <c r="N496" s="11"/>
    </row>
    <row r="497" spans="1:14" x14ac:dyDescent="0.2">
      <c r="A497" s="12"/>
      <c r="B497" s="13"/>
      <c r="C497" s="14"/>
      <c r="D497" s="13"/>
      <c r="E497" s="13"/>
      <c r="F497" s="13"/>
      <c r="G497" s="13"/>
      <c r="H497" s="13"/>
      <c r="I497" s="13"/>
      <c r="J497" s="13"/>
      <c r="K497" s="13"/>
      <c r="L497" s="13"/>
      <c r="M497" s="13"/>
      <c r="N497" s="15"/>
    </row>
    <row r="498" spans="1:14" x14ac:dyDescent="0.2">
      <c r="A498" s="8"/>
      <c r="B498" s="9"/>
      <c r="C498" s="10"/>
      <c r="D498" s="9"/>
      <c r="E498" s="9"/>
      <c r="F498" s="9"/>
      <c r="G498" s="9"/>
      <c r="H498" s="9"/>
      <c r="I498" s="9"/>
      <c r="J498" s="9"/>
      <c r="K498" s="9"/>
      <c r="L498" s="9"/>
      <c r="M498" s="9"/>
      <c r="N498" s="11"/>
    </row>
    <row r="499" spans="1:14" x14ac:dyDescent="0.2">
      <c r="A499" s="12"/>
      <c r="B499" s="13"/>
      <c r="C499" s="14"/>
      <c r="D499" s="13"/>
      <c r="E499" s="13"/>
      <c r="F499" s="13"/>
      <c r="G499" s="13"/>
      <c r="H499" s="13"/>
      <c r="I499" s="13"/>
      <c r="J499" s="13"/>
      <c r="K499" s="13"/>
      <c r="L499" s="13"/>
      <c r="M499" s="13"/>
      <c r="N499" s="15"/>
    </row>
    <row r="500" spans="1:14" x14ac:dyDescent="0.2">
      <c r="A500" s="8"/>
      <c r="B500" s="9"/>
      <c r="C500" s="10"/>
      <c r="D500" s="9"/>
      <c r="E500" s="9"/>
      <c r="F500" s="9"/>
      <c r="G500" s="9"/>
      <c r="H500" s="9"/>
      <c r="I500" s="9"/>
      <c r="J500" s="9"/>
      <c r="K500" s="9"/>
      <c r="L500" s="9"/>
      <c r="M500" s="9"/>
      <c r="N500" s="11"/>
    </row>
    <row r="501" spans="1:14" x14ac:dyDescent="0.2">
      <c r="A501" s="12"/>
      <c r="B501" s="13"/>
      <c r="C501" s="14"/>
      <c r="D501" s="13"/>
      <c r="E501" s="13"/>
      <c r="F501" s="13"/>
      <c r="G501" s="13"/>
      <c r="H501" s="13"/>
      <c r="I501" s="13"/>
      <c r="J501" s="13"/>
      <c r="K501" s="13"/>
      <c r="L501" s="13"/>
      <c r="M501" s="13"/>
      <c r="N501" s="15"/>
    </row>
    <row r="502" spans="1:14" x14ac:dyDescent="0.2">
      <c r="A502" s="8"/>
      <c r="B502" s="9"/>
      <c r="C502" s="10"/>
      <c r="D502" s="9"/>
      <c r="E502" s="9"/>
      <c r="F502" s="9"/>
      <c r="G502" s="9"/>
      <c r="H502" s="9"/>
      <c r="I502" s="9"/>
      <c r="J502" s="9"/>
      <c r="K502" s="9"/>
      <c r="L502" s="9"/>
      <c r="M502" s="9"/>
      <c r="N502" s="11"/>
    </row>
    <row r="503" spans="1:14" x14ac:dyDescent="0.2">
      <c r="A503" s="12"/>
      <c r="B503" s="13"/>
      <c r="C503" s="14"/>
      <c r="D503" s="13"/>
      <c r="E503" s="13"/>
      <c r="F503" s="13"/>
      <c r="G503" s="13"/>
      <c r="H503" s="13"/>
      <c r="I503" s="13"/>
      <c r="J503" s="13"/>
      <c r="K503" s="13"/>
      <c r="L503" s="13"/>
      <c r="M503" s="13"/>
      <c r="N503" s="15"/>
    </row>
    <row r="504" spans="1:14" x14ac:dyDescent="0.2">
      <c r="A504" s="8"/>
      <c r="B504" s="9"/>
      <c r="C504" s="10"/>
      <c r="D504" s="9"/>
      <c r="E504" s="9"/>
      <c r="F504" s="9"/>
      <c r="G504" s="9"/>
      <c r="H504" s="9"/>
      <c r="I504" s="9"/>
      <c r="J504" s="9"/>
      <c r="K504" s="9"/>
      <c r="L504" s="9"/>
      <c r="M504" s="9"/>
      <c r="N504" s="11"/>
    </row>
    <row r="505" spans="1:14" x14ac:dyDescent="0.2">
      <c r="A505" s="12"/>
      <c r="B505" s="13"/>
      <c r="C505" s="14"/>
      <c r="D505" s="13"/>
      <c r="E505" s="13"/>
      <c r="F505" s="13"/>
      <c r="G505" s="13"/>
      <c r="H505" s="13"/>
      <c r="I505" s="13"/>
      <c r="J505" s="13"/>
      <c r="K505" s="13"/>
      <c r="L505" s="13"/>
      <c r="M505" s="13"/>
      <c r="N505" s="15"/>
    </row>
    <row r="506" spans="1:14" x14ac:dyDescent="0.2">
      <c r="A506" s="8"/>
      <c r="B506" s="9"/>
      <c r="C506" s="10"/>
      <c r="D506" s="9"/>
      <c r="E506" s="9"/>
      <c r="F506" s="9"/>
      <c r="G506" s="9"/>
      <c r="H506" s="9"/>
      <c r="I506" s="9"/>
      <c r="J506" s="9"/>
      <c r="K506" s="9"/>
      <c r="L506" s="9"/>
      <c r="M506" s="9"/>
      <c r="N506" s="11"/>
    </row>
    <row r="507" spans="1:14" x14ac:dyDescent="0.2">
      <c r="A507" s="12"/>
      <c r="B507" s="13"/>
      <c r="C507" s="14"/>
      <c r="D507" s="13"/>
      <c r="E507" s="13"/>
      <c r="F507" s="13"/>
      <c r="G507" s="13"/>
      <c r="H507" s="13"/>
      <c r="I507" s="13"/>
      <c r="J507" s="13"/>
      <c r="K507" s="13"/>
      <c r="L507" s="13"/>
      <c r="M507" s="13"/>
      <c r="N507" s="15"/>
    </row>
    <row r="508" spans="1:14" x14ac:dyDescent="0.2">
      <c r="A508" s="8"/>
      <c r="B508" s="9"/>
      <c r="C508" s="10"/>
      <c r="D508" s="9"/>
      <c r="E508" s="9"/>
      <c r="F508" s="9"/>
      <c r="G508" s="9"/>
      <c r="H508" s="9"/>
      <c r="I508" s="9"/>
      <c r="J508" s="9"/>
      <c r="K508" s="9"/>
      <c r="L508" s="9"/>
      <c r="M508" s="9"/>
      <c r="N508" s="11"/>
    </row>
    <row r="509" spans="1:14" x14ac:dyDescent="0.2">
      <c r="A509" s="12"/>
      <c r="B509" s="13"/>
      <c r="C509" s="14"/>
      <c r="D509" s="13"/>
      <c r="E509" s="13"/>
      <c r="F509" s="13"/>
      <c r="G509" s="13"/>
      <c r="H509" s="13"/>
      <c r="I509" s="13"/>
      <c r="J509" s="13"/>
      <c r="K509" s="13"/>
      <c r="L509" s="13"/>
      <c r="M509" s="13"/>
      <c r="N509" s="15"/>
    </row>
    <row r="510" spans="1:14" x14ac:dyDescent="0.2">
      <c r="A510" s="8"/>
      <c r="B510" s="9"/>
      <c r="C510" s="10"/>
      <c r="D510" s="9"/>
      <c r="E510" s="9"/>
      <c r="F510" s="9"/>
      <c r="G510" s="9"/>
      <c r="H510" s="9"/>
      <c r="I510" s="9"/>
      <c r="J510" s="9"/>
      <c r="K510" s="9"/>
      <c r="L510" s="9"/>
      <c r="M510" s="9"/>
      <c r="N510" s="11"/>
    </row>
    <row r="511" spans="1:14" x14ac:dyDescent="0.2">
      <c r="A511" s="12"/>
      <c r="B511" s="13"/>
      <c r="C511" s="14"/>
      <c r="D511" s="13"/>
      <c r="E511" s="13"/>
      <c r="F511" s="13"/>
      <c r="G511" s="13"/>
      <c r="H511" s="13"/>
      <c r="I511" s="13"/>
      <c r="J511" s="13"/>
      <c r="K511" s="13"/>
      <c r="L511" s="13"/>
      <c r="M511" s="13"/>
      <c r="N511" s="15"/>
    </row>
    <row r="512" spans="1:14" x14ac:dyDescent="0.2">
      <c r="A512" s="8"/>
      <c r="B512" s="9"/>
      <c r="C512" s="10"/>
      <c r="D512" s="9"/>
      <c r="E512" s="9"/>
      <c r="F512" s="9"/>
      <c r="G512" s="9"/>
      <c r="H512" s="9"/>
      <c r="I512" s="9"/>
      <c r="J512" s="9"/>
      <c r="K512" s="9"/>
      <c r="L512" s="9"/>
      <c r="M512" s="9"/>
      <c r="N512" s="11"/>
    </row>
    <row r="513" spans="1:14" x14ac:dyDescent="0.2">
      <c r="A513" s="12"/>
      <c r="B513" s="13"/>
      <c r="C513" s="14"/>
      <c r="D513" s="13"/>
      <c r="E513" s="13"/>
      <c r="F513" s="13"/>
      <c r="G513" s="13"/>
      <c r="H513" s="13"/>
      <c r="I513" s="13"/>
      <c r="J513" s="13"/>
      <c r="K513" s="13"/>
      <c r="L513" s="13"/>
      <c r="M513" s="13"/>
      <c r="N513" s="15"/>
    </row>
    <row r="514" spans="1:14" x14ac:dyDescent="0.2">
      <c r="A514" s="8"/>
      <c r="B514" s="9"/>
      <c r="C514" s="10"/>
      <c r="D514" s="9"/>
      <c r="E514" s="9"/>
      <c r="F514" s="9"/>
      <c r="G514" s="9"/>
      <c r="H514" s="9"/>
      <c r="I514" s="9"/>
      <c r="J514" s="9"/>
      <c r="K514" s="9"/>
      <c r="L514" s="9"/>
      <c r="M514" s="9"/>
      <c r="N514" s="11"/>
    </row>
    <row r="515" spans="1:14" x14ac:dyDescent="0.2">
      <c r="A515" s="12"/>
      <c r="B515" s="13"/>
      <c r="C515" s="14"/>
      <c r="D515" s="13"/>
      <c r="E515" s="13"/>
      <c r="F515" s="13"/>
      <c r="G515" s="13"/>
      <c r="H515" s="13"/>
      <c r="I515" s="13"/>
      <c r="J515" s="13"/>
      <c r="K515" s="13"/>
      <c r="L515" s="13"/>
      <c r="M515" s="13"/>
      <c r="N515" s="15"/>
    </row>
    <row r="516" spans="1:14" x14ac:dyDescent="0.2">
      <c r="A516" s="8"/>
      <c r="B516" s="9"/>
      <c r="C516" s="10"/>
      <c r="D516" s="9"/>
      <c r="E516" s="9"/>
      <c r="F516" s="9"/>
      <c r="G516" s="9"/>
      <c r="H516" s="9"/>
      <c r="I516" s="9"/>
      <c r="J516" s="9"/>
      <c r="K516" s="9"/>
      <c r="L516" s="9"/>
      <c r="M516" s="9"/>
      <c r="N516" s="11"/>
    </row>
    <row r="517" spans="1:14" x14ac:dyDescent="0.2">
      <c r="A517" s="12"/>
      <c r="B517" s="13"/>
      <c r="C517" s="14"/>
      <c r="D517" s="13"/>
      <c r="E517" s="13"/>
      <c r="F517" s="13"/>
      <c r="G517" s="13"/>
      <c r="H517" s="13"/>
      <c r="I517" s="13"/>
      <c r="J517" s="13"/>
      <c r="K517" s="13"/>
      <c r="L517" s="13"/>
      <c r="M517" s="13"/>
      <c r="N517" s="15"/>
    </row>
    <row r="518" spans="1:14" x14ac:dyDescent="0.2">
      <c r="A518" s="8"/>
      <c r="B518" s="9"/>
      <c r="C518" s="10"/>
      <c r="D518" s="9"/>
      <c r="E518" s="9"/>
      <c r="F518" s="9"/>
      <c r="G518" s="9"/>
      <c r="H518" s="9"/>
      <c r="I518" s="9"/>
      <c r="J518" s="9"/>
      <c r="K518" s="9"/>
      <c r="L518" s="9"/>
      <c r="M518" s="9"/>
      <c r="N518" s="11"/>
    </row>
    <row r="519" spans="1:14" x14ac:dyDescent="0.2">
      <c r="A519" s="12"/>
      <c r="B519" s="13"/>
      <c r="C519" s="14"/>
      <c r="D519" s="13"/>
      <c r="E519" s="13"/>
      <c r="F519" s="13"/>
      <c r="G519" s="13"/>
      <c r="H519" s="13"/>
      <c r="I519" s="13"/>
      <c r="J519" s="13"/>
      <c r="K519" s="13"/>
      <c r="L519" s="13"/>
      <c r="M519" s="13"/>
      <c r="N519" s="15"/>
    </row>
    <row r="520" spans="1:14" x14ac:dyDescent="0.2">
      <c r="A520" s="8"/>
      <c r="B520" s="9"/>
      <c r="C520" s="10"/>
      <c r="D520" s="9"/>
      <c r="E520" s="9"/>
      <c r="F520" s="9"/>
      <c r="G520" s="9"/>
      <c r="H520" s="9"/>
      <c r="I520" s="9"/>
      <c r="J520" s="9"/>
      <c r="K520" s="9"/>
      <c r="L520" s="9"/>
      <c r="M520" s="9"/>
      <c r="N520" s="11"/>
    </row>
    <row r="521" spans="1:14" x14ac:dyDescent="0.2">
      <c r="A521" s="12"/>
      <c r="B521" s="13"/>
      <c r="C521" s="14"/>
      <c r="D521" s="13"/>
      <c r="E521" s="13"/>
      <c r="F521" s="13"/>
      <c r="G521" s="13"/>
      <c r="H521" s="13"/>
      <c r="I521" s="13"/>
      <c r="J521" s="13"/>
      <c r="K521" s="13"/>
      <c r="L521" s="13"/>
      <c r="M521" s="13"/>
      <c r="N521" s="15"/>
    </row>
    <row r="522" spans="1:14" x14ac:dyDescent="0.2">
      <c r="A522" s="8"/>
      <c r="B522" s="9"/>
      <c r="C522" s="10"/>
      <c r="D522" s="9"/>
      <c r="E522" s="9"/>
      <c r="F522" s="9"/>
      <c r="G522" s="9"/>
      <c r="H522" s="9"/>
      <c r="I522" s="9"/>
      <c r="J522" s="9"/>
      <c r="K522" s="9"/>
      <c r="L522" s="9"/>
      <c r="M522" s="9"/>
      <c r="N522" s="11"/>
    </row>
    <row r="523" spans="1:14" x14ac:dyDescent="0.2">
      <c r="A523" s="12"/>
      <c r="B523" s="13"/>
      <c r="C523" s="14"/>
      <c r="D523" s="13"/>
      <c r="E523" s="13"/>
      <c r="F523" s="13"/>
      <c r="G523" s="13"/>
      <c r="H523" s="13"/>
      <c r="I523" s="13"/>
      <c r="J523" s="13"/>
      <c r="K523" s="13"/>
      <c r="L523" s="13"/>
      <c r="M523" s="13"/>
      <c r="N523" s="15"/>
    </row>
    <row r="524" spans="1:14" x14ac:dyDescent="0.2">
      <c r="A524" s="8"/>
      <c r="B524" s="9"/>
      <c r="C524" s="10"/>
      <c r="D524" s="9"/>
      <c r="E524" s="9"/>
      <c r="F524" s="9"/>
      <c r="G524" s="9"/>
      <c r="H524" s="9"/>
      <c r="I524" s="9"/>
      <c r="J524" s="9"/>
      <c r="K524" s="9"/>
      <c r="L524" s="9"/>
      <c r="M524" s="9"/>
      <c r="N524" s="11"/>
    </row>
    <row r="525" spans="1:14" x14ac:dyDescent="0.2">
      <c r="A525" s="12"/>
      <c r="B525" s="13"/>
      <c r="C525" s="14"/>
      <c r="D525" s="13"/>
      <c r="E525" s="13"/>
      <c r="F525" s="13"/>
      <c r="G525" s="13"/>
      <c r="H525" s="13"/>
      <c r="I525" s="13"/>
      <c r="J525" s="13"/>
      <c r="K525" s="13"/>
      <c r="L525" s="13"/>
      <c r="M525" s="13"/>
      <c r="N525" s="15"/>
    </row>
    <row r="526" spans="1:14" x14ac:dyDescent="0.2">
      <c r="A526" s="8"/>
      <c r="B526" s="9"/>
      <c r="C526" s="10"/>
      <c r="D526" s="9"/>
      <c r="E526" s="9"/>
      <c r="F526" s="9"/>
      <c r="G526" s="9"/>
      <c r="H526" s="9"/>
      <c r="I526" s="9"/>
      <c r="J526" s="9"/>
      <c r="K526" s="9"/>
      <c r="L526" s="9"/>
      <c r="M526" s="9"/>
      <c r="N526" s="11"/>
    </row>
    <row r="527" spans="1:14" x14ac:dyDescent="0.2">
      <c r="A527" s="12"/>
      <c r="B527" s="13"/>
      <c r="C527" s="14"/>
      <c r="D527" s="13"/>
      <c r="E527" s="13"/>
      <c r="F527" s="13"/>
      <c r="G527" s="13"/>
      <c r="H527" s="13"/>
      <c r="I527" s="13"/>
      <c r="J527" s="13"/>
      <c r="K527" s="13"/>
      <c r="L527" s="13"/>
      <c r="M527" s="13"/>
      <c r="N527" s="15"/>
    </row>
    <row r="528" spans="1:14" x14ac:dyDescent="0.2">
      <c r="A528" s="8"/>
      <c r="B528" s="9"/>
      <c r="C528" s="10"/>
      <c r="D528" s="9"/>
      <c r="E528" s="9"/>
      <c r="F528" s="9"/>
      <c r="G528" s="9"/>
      <c r="H528" s="9"/>
      <c r="I528" s="9"/>
      <c r="J528" s="9"/>
      <c r="K528" s="9"/>
      <c r="L528" s="9"/>
      <c r="M528" s="9"/>
      <c r="N528" s="11"/>
    </row>
    <row r="529" spans="1:14" x14ac:dyDescent="0.2">
      <c r="A529" s="12"/>
      <c r="B529" s="13"/>
      <c r="C529" s="14"/>
      <c r="D529" s="13"/>
      <c r="E529" s="13"/>
      <c r="F529" s="13"/>
      <c r="G529" s="13"/>
      <c r="H529" s="13"/>
      <c r="I529" s="13"/>
      <c r="J529" s="13"/>
      <c r="K529" s="13"/>
      <c r="L529" s="13"/>
      <c r="M529" s="13"/>
      <c r="N529" s="15"/>
    </row>
    <row r="530" spans="1:14" x14ac:dyDescent="0.2">
      <c r="A530" s="8"/>
      <c r="B530" s="9"/>
      <c r="C530" s="10"/>
      <c r="D530" s="9"/>
      <c r="E530" s="9"/>
      <c r="F530" s="9"/>
      <c r="G530" s="9"/>
      <c r="H530" s="9"/>
      <c r="I530" s="9"/>
      <c r="J530" s="9"/>
      <c r="K530" s="9"/>
      <c r="L530" s="9"/>
      <c r="M530" s="9"/>
      <c r="N530" s="11"/>
    </row>
    <row r="531" spans="1:14" x14ac:dyDescent="0.2">
      <c r="A531" s="12"/>
      <c r="B531" s="13"/>
      <c r="C531" s="14"/>
      <c r="D531" s="13"/>
      <c r="E531" s="13"/>
      <c r="F531" s="13"/>
      <c r="G531" s="13"/>
      <c r="H531" s="13"/>
      <c r="I531" s="13"/>
      <c r="J531" s="13"/>
      <c r="K531" s="13"/>
      <c r="L531" s="13"/>
      <c r="M531" s="13"/>
      <c r="N531" s="15"/>
    </row>
    <row r="532" spans="1:14" x14ac:dyDescent="0.2">
      <c r="A532" s="8"/>
      <c r="B532" s="9"/>
      <c r="C532" s="10"/>
      <c r="D532" s="9"/>
      <c r="E532" s="9"/>
      <c r="F532" s="9"/>
      <c r="G532" s="9"/>
      <c r="H532" s="9"/>
      <c r="I532" s="9"/>
      <c r="J532" s="9"/>
      <c r="K532" s="9"/>
      <c r="L532" s="9"/>
      <c r="M532" s="9"/>
      <c r="N532" s="11"/>
    </row>
    <row r="533" spans="1:14" x14ac:dyDescent="0.2">
      <c r="A533" s="12"/>
      <c r="B533" s="13"/>
      <c r="C533" s="14"/>
      <c r="D533" s="13"/>
      <c r="E533" s="13"/>
      <c r="F533" s="13"/>
      <c r="G533" s="13"/>
      <c r="H533" s="13"/>
      <c r="I533" s="13"/>
      <c r="J533" s="13"/>
      <c r="K533" s="13"/>
      <c r="L533" s="13"/>
      <c r="M533" s="13"/>
      <c r="N533" s="15"/>
    </row>
    <row r="534" spans="1:14" x14ac:dyDescent="0.2">
      <c r="A534" s="8"/>
      <c r="B534" s="9"/>
      <c r="C534" s="10"/>
      <c r="D534" s="9"/>
      <c r="E534" s="9"/>
      <c r="F534" s="9"/>
      <c r="G534" s="9"/>
      <c r="H534" s="9"/>
      <c r="I534" s="9"/>
      <c r="J534" s="9"/>
      <c r="K534" s="9"/>
      <c r="L534" s="9"/>
      <c r="M534" s="9"/>
      <c r="N534" s="11"/>
    </row>
    <row r="535" spans="1:14" x14ac:dyDescent="0.2">
      <c r="A535" s="12"/>
      <c r="B535" s="13"/>
      <c r="C535" s="14"/>
      <c r="D535" s="13"/>
      <c r="E535" s="13"/>
      <c r="F535" s="13"/>
      <c r="G535" s="13"/>
      <c r="H535" s="13"/>
      <c r="I535" s="13"/>
      <c r="J535" s="13"/>
      <c r="K535" s="13"/>
      <c r="L535" s="13"/>
      <c r="M535" s="13"/>
      <c r="N535" s="15"/>
    </row>
    <row r="536" spans="1:14" x14ac:dyDescent="0.2">
      <c r="A536" s="8"/>
      <c r="B536" s="9"/>
      <c r="C536" s="10"/>
      <c r="D536" s="9"/>
      <c r="E536" s="9"/>
      <c r="F536" s="9"/>
      <c r="G536" s="9"/>
      <c r="H536" s="9"/>
      <c r="I536" s="9"/>
      <c r="J536" s="9"/>
      <c r="K536" s="9"/>
      <c r="L536" s="9"/>
      <c r="M536" s="9"/>
      <c r="N536" s="11"/>
    </row>
    <row r="537" spans="1:14" x14ac:dyDescent="0.2">
      <c r="A537" s="12"/>
      <c r="B537" s="13"/>
      <c r="C537" s="14"/>
      <c r="D537" s="13"/>
      <c r="E537" s="13"/>
      <c r="F537" s="13"/>
      <c r="G537" s="13"/>
      <c r="H537" s="13"/>
      <c r="I537" s="13"/>
      <c r="J537" s="13"/>
      <c r="K537" s="13"/>
      <c r="L537" s="13"/>
      <c r="M537" s="13"/>
      <c r="N537" s="15"/>
    </row>
    <row r="538" spans="1:14" x14ac:dyDescent="0.2">
      <c r="A538" s="8"/>
      <c r="B538" s="9"/>
      <c r="C538" s="10"/>
      <c r="D538" s="9"/>
      <c r="E538" s="9"/>
      <c r="F538" s="9"/>
      <c r="G538" s="9"/>
      <c r="H538" s="9"/>
      <c r="I538" s="9"/>
      <c r="J538" s="9"/>
      <c r="K538" s="9"/>
      <c r="L538" s="9"/>
      <c r="M538" s="9"/>
      <c r="N538" s="11"/>
    </row>
    <row r="539" spans="1:14" x14ac:dyDescent="0.2">
      <c r="A539" s="12"/>
      <c r="B539" s="13"/>
      <c r="C539" s="14"/>
      <c r="D539" s="13"/>
      <c r="E539" s="13"/>
      <c r="F539" s="13"/>
      <c r="G539" s="13"/>
      <c r="H539" s="13"/>
      <c r="I539" s="13"/>
      <c r="J539" s="13"/>
      <c r="K539" s="13"/>
      <c r="L539" s="13"/>
      <c r="M539" s="13"/>
      <c r="N539" s="15"/>
    </row>
    <row r="540" spans="1:14" x14ac:dyDescent="0.2">
      <c r="A540" s="8"/>
      <c r="B540" s="9"/>
      <c r="C540" s="10"/>
      <c r="D540" s="9"/>
      <c r="E540" s="9"/>
      <c r="F540" s="9"/>
      <c r="G540" s="9"/>
      <c r="H540" s="9"/>
      <c r="I540" s="9"/>
      <c r="J540" s="9"/>
      <c r="K540" s="9"/>
      <c r="L540" s="9"/>
      <c r="M540" s="9"/>
      <c r="N540" s="11"/>
    </row>
    <row r="541" spans="1:14" x14ac:dyDescent="0.2">
      <c r="A541" s="12"/>
      <c r="B541" s="13"/>
      <c r="C541" s="14"/>
      <c r="D541" s="13"/>
      <c r="E541" s="13"/>
      <c r="F541" s="13"/>
      <c r="G541" s="13"/>
      <c r="H541" s="13"/>
      <c r="I541" s="13"/>
      <c r="J541" s="13"/>
      <c r="K541" s="13"/>
      <c r="L541" s="13"/>
      <c r="M541" s="13"/>
      <c r="N541" s="15"/>
    </row>
    <row r="542" spans="1:14" x14ac:dyDescent="0.2">
      <c r="A542" s="8"/>
      <c r="B542" s="9"/>
      <c r="C542" s="10"/>
      <c r="D542" s="9"/>
      <c r="E542" s="9"/>
      <c r="F542" s="9"/>
      <c r="G542" s="9"/>
      <c r="H542" s="9"/>
      <c r="I542" s="9"/>
      <c r="J542" s="9"/>
      <c r="K542" s="9"/>
      <c r="L542" s="9"/>
      <c r="M542" s="9"/>
      <c r="N542" s="11"/>
    </row>
    <row r="543" spans="1:14" x14ac:dyDescent="0.2">
      <c r="A543" s="12"/>
      <c r="B543" s="13"/>
      <c r="C543" s="14"/>
      <c r="D543" s="13"/>
      <c r="E543" s="13"/>
      <c r="F543" s="13"/>
      <c r="G543" s="13"/>
      <c r="H543" s="13"/>
      <c r="I543" s="13"/>
      <c r="J543" s="13"/>
      <c r="K543" s="13"/>
      <c r="L543" s="13"/>
      <c r="M543" s="13"/>
      <c r="N543" s="15"/>
    </row>
    <row r="544" spans="1:14" x14ac:dyDescent="0.2">
      <c r="A544" s="8"/>
      <c r="B544" s="9"/>
      <c r="C544" s="10"/>
      <c r="D544" s="9"/>
      <c r="E544" s="9"/>
      <c r="F544" s="9"/>
      <c r="G544" s="9"/>
      <c r="H544" s="9"/>
      <c r="I544" s="9"/>
      <c r="J544" s="9"/>
      <c r="K544" s="9"/>
      <c r="L544" s="9"/>
      <c r="M544" s="9"/>
      <c r="N544" s="11"/>
    </row>
    <row r="545" spans="1:14" x14ac:dyDescent="0.2">
      <c r="A545" s="12"/>
      <c r="B545" s="13"/>
      <c r="C545" s="14"/>
      <c r="D545" s="13"/>
      <c r="E545" s="13"/>
      <c r="F545" s="13"/>
      <c r="G545" s="13"/>
      <c r="H545" s="13"/>
      <c r="I545" s="13"/>
      <c r="J545" s="13"/>
      <c r="K545" s="13"/>
      <c r="L545" s="13"/>
      <c r="M545" s="13"/>
      <c r="N545" s="15"/>
    </row>
    <row r="546" spans="1:14" x14ac:dyDescent="0.2">
      <c r="A546" s="8"/>
      <c r="B546" s="9"/>
      <c r="C546" s="10"/>
      <c r="D546" s="9"/>
      <c r="E546" s="9"/>
      <c r="F546" s="9"/>
      <c r="G546" s="9"/>
      <c r="H546" s="9"/>
      <c r="I546" s="9"/>
      <c r="J546" s="9"/>
      <c r="K546" s="9"/>
      <c r="L546" s="9"/>
      <c r="M546" s="9"/>
      <c r="N546" s="11"/>
    </row>
    <row r="547" spans="1:14" x14ac:dyDescent="0.2">
      <c r="A547" s="12"/>
      <c r="B547" s="13"/>
      <c r="C547" s="14"/>
      <c r="D547" s="13"/>
      <c r="E547" s="13"/>
      <c r="F547" s="13"/>
      <c r="G547" s="13"/>
      <c r="H547" s="13"/>
      <c r="I547" s="13"/>
      <c r="J547" s="13"/>
      <c r="K547" s="13"/>
      <c r="L547" s="13"/>
      <c r="M547" s="13"/>
      <c r="N547" s="15"/>
    </row>
    <row r="548" spans="1:14" x14ac:dyDescent="0.2">
      <c r="A548" s="8"/>
      <c r="B548" s="9"/>
      <c r="C548" s="10"/>
      <c r="D548" s="9"/>
      <c r="E548" s="9"/>
      <c r="F548" s="9"/>
      <c r="G548" s="9"/>
      <c r="H548" s="9"/>
      <c r="I548" s="9"/>
      <c r="J548" s="9"/>
      <c r="K548" s="9"/>
      <c r="L548" s="9"/>
      <c r="M548" s="9"/>
      <c r="N548" s="11"/>
    </row>
    <row r="549" spans="1:14" x14ac:dyDescent="0.2">
      <c r="A549" s="12"/>
      <c r="B549" s="13"/>
      <c r="C549" s="14"/>
      <c r="D549" s="13"/>
      <c r="E549" s="13"/>
      <c r="F549" s="13"/>
      <c r="G549" s="13"/>
      <c r="H549" s="13"/>
      <c r="I549" s="13"/>
      <c r="J549" s="13"/>
      <c r="K549" s="13"/>
      <c r="L549" s="13"/>
      <c r="M549" s="13"/>
      <c r="N549" s="15"/>
    </row>
    <row r="550" spans="1:14" x14ac:dyDescent="0.2">
      <c r="A550" s="8"/>
      <c r="B550" s="9"/>
      <c r="C550" s="10"/>
      <c r="D550" s="9"/>
      <c r="E550" s="9"/>
      <c r="F550" s="9"/>
      <c r="G550" s="9"/>
      <c r="H550" s="9"/>
      <c r="I550" s="9"/>
      <c r="J550" s="9"/>
      <c r="K550" s="9"/>
      <c r="L550" s="9"/>
      <c r="M550" s="9"/>
      <c r="N550" s="11"/>
    </row>
    <row r="551" spans="1:14" x14ac:dyDescent="0.2">
      <c r="A551" s="12"/>
      <c r="B551" s="13"/>
      <c r="C551" s="14"/>
      <c r="D551" s="13"/>
      <c r="E551" s="13"/>
      <c r="F551" s="13"/>
      <c r="G551" s="13"/>
      <c r="H551" s="13"/>
      <c r="I551" s="13"/>
      <c r="J551" s="13"/>
      <c r="K551" s="13"/>
      <c r="L551" s="13"/>
      <c r="M551" s="13"/>
      <c r="N551" s="15"/>
    </row>
    <row r="552" spans="1:14" x14ac:dyDescent="0.2">
      <c r="A552" s="8"/>
      <c r="B552" s="9"/>
      <c r="C552" s="10"/>
      <c r="D552" s="9"/>
      <c r="E552" s="9"/>
      <c r="F552" s="9"/>
      <c r="G552" s="9"/>
      <c r="H552" s="9"/>
      <c r="I552" s="9"/>
      <c r="J552" s="9"/>
      <c r="K552" s="9"/>
      <c r="L552" s="9"/>
      <c r="M552" s="9"/>
      <c r="N552" s="11"/>
    </row>
    <row r="553" spans="1:14" x14ac:dyDescent="0.2">
      <c r="A553" s="12"/>
      <c r="B553" s="13"/>
      <c r="C553" s="14"/>
      <c r="D553" s="13"/>
      <c r="E553" s="13"/>
      <c r="F553" s="13"/>
      <c r="G553" s="13"/>
      <c r="H553" s="13"/>
      <c r="I553" s="13"/>
      <c r="J553" s="13"/>
      <c r="K553" s="13"/>
      <c r="L553" s="13"/>
      <c r="M553" s="13"/>
      <c r="N553" s="15"/>
    </row>
    <row r="554" spans="1:14" x14ac:dyDescent="0.2">
      <c r="A554" s="8"/>
      <c r="B554" s="9"/>
      <c r="C554" s="10"/>
      <c r="D554" s="9"/>
      <c r="E554" s="9"/>
      <c r="F554" s="9"/>
      <c r="G554" s="9"/>
      <c r="H554" s="9"/>
      <c r="I554" s="9"/>
      <c r="J554" s="9"/>
      <c r="K554" s="9"/>
      <c r="L554" s="9"/>
      <c r="M554" s="9"/>
      <c r="N554" s="11"/>
    </row>
    <row r="555" spans="1:14" x14ac:dyDescent="0.2">
      <c r="A555" s="12"/>
      <c r="B555" s="13"/>
      <c r="C555" s="14"/>
      <c r="D555" s="13"/>
      <c r="E555" s="13"/>
      <c r="F555" s="13"/>
      <c r="G555" s="13"/>
      <c r="H555" s="13"/>
      <c r="I555" s="13"/>
      <c r="J555" s="13"/>
      <c r="K555" s="13"/>
      <c r="L555" s="13"/>
      <c r="M555" s="13"/>
      <c r="N555" s="15"/>
    </row>
    <row r="556" spans="1:14" x14ac:dyDescent="0.2">
      <c r="A556" s="8"/>
      <c r="B556" s="9"/>
      <c r="C556" s="10"/>
      <c r="D556" s="9"/>
      <c r="E556" s="9"/>
      <c r="F556" s="9"/>
      <c r="G556" s="9"/>
      <c r="H556" s="9"/>
      <c r="I556" s="9"/>
      <c r="J556" s="9"/>
      <c r="K556" s="9"/>
      <c r="L556" s="9"/>
      <c r="M556" s="9"/>
      <c r="N556" s="11"/>
    </row>
    <row r="557" spans="1:14" x14ac:dyDescent="0.2">
      <c r="A557" s="12"/>
      <c r="B557" s="13"/>
      <c r="C557" s="14"/>
      <c r="D557" s="13"/>
      <c r="E557" s="13"/>
      <c r="F557" s="13"/>
      <c r="G557" s="13"/>
      <c r="H557" s="13"/>
      <c r="I557" s="13"/>
      <c r="J557" s="13"/>
      <c r="K557" s="13"/>
      <c r="L557" s="13"/>
      <c r="M557" s="13"/>
      <c r="N557" s="15"/>
    </row>
    <row r="558" spans="1:14" x14ac:dyDescent="0.2">
      <c r="A558" s="8"/>
      <c r="B558" s="9"/>
      <c r="C558" s="10"/>
      <c r="D558" s="9"/>
      <c r="E558" s="9"/>
      <c r="F558" s="9"/>
      <c r="G558" s="9"/>
      <c r="H558" s="9"/>
      <c r="I558" s="9"/>
      <c r="J558" s="9"/>
      <c r="K558" s="9"/>
      <c r="L558" s="9"/>
      <c r="M558" s="9"/>
      <c r="N558" s="11"/>
    </row>
    <row r="559" spans="1:14" x14ac:dyDescent="0.2">
      <c r="A559" s="12"/>
      <c r="B559" s="13"/>
      <c r="C559" s="14"/>
      <c r="D559" s="13"/>
      <c r="E559" s="13"/>
      <c r="F559" s="13"/>
      <c r="G559" s="13"/>
      <c r="H559" s="13"/>
      <c r="I559" s="13"/>
      <c r="J559" s="13"/>
      <c r="K559" s="13"/>
      <c r="L559" s="13"/>
      <c r="M559" s="13"/>
      <c r="N559" s="15"/>
    </row>
    <row r="560" spans="1:14" x14ac:dyDescent="0.2">
      <c r="A560" s="8"/>
      <c r="B560" s="9"/>
      <c r="C560" s="10"/>
      <c r="D560" s="9"/>
      <c r="E560" s="9"/>
      <c r="F560" s="9"/>
      <c r="G560" s="9"/>
      <c r="H560" s="9"/>
      <c r="I560" s="9"/>
      <c r="J560" s="9"/>
      <c r="K560" s="9"/>
      <c r="L560" s="9"/>
      <c r="M560" s="9"/>
      <c r="N560" s="11"/>
    </row>
    <row r="561" spans="1:14" x14ac:dyDescent="0.2">
      <c r="A561" s="12"/>
      <c r="B561" s="13"/>
      <c r="C561" s="14"/>
      <c r="D561" s="13"/>
      <c r="E561" s="13"/>
      <c r="F561" s="13"/>
      <c r="G561" s="13"/>
      <c r="H561" s="13"/>
      <c r="I561" s="13"/>
      <c r="J561" s="13"/>
      <c r="K561" s="13"/>
      <c r="L561" s="13"/>
      <c r="M561" s="13"/>
      <c r="N561" s="15"/>
    </row>
    <row r="562" spans="1:14" x14ac:dyDescent="0.2">
      <c r="A562" s="8"/>
      <c r="B562" s="9"/>
      <c r="C562" s="10"/>
      <c r="D562" s="9"/>
      <c r="E562" s="9"/>
      <c r="F562" s="9"/>
      <c r="G562" s="9"/>
      <c r="H562" s="9"/>
      <c r="I562" s="9"/>
      <c r="J562" s="9"/>
      <c r="K562" s="9"/>
      <c r="L562" s="9"/>
      <c r="M562" s="9"/>
      <c r="N562" s="11"/>
    </row>
    <row r="563" spans="1:14" x14ac:dyDescent="0.2">
      <c r="A563" s="12"/>
      <c r="B563" s="13"/>
      <c r="C563" s="14"/>
      <c r="D563" s="13"/>
      <c r="E563" s="13"/>
      <c r="F563" s="13"/>
      <c r="G563" s="13"/>
      <c r="H563" s="13"/>
      <c r="I563" s="13"/>
      <c r="J563" s="13"/>
      <c r="K563" s="13"/>
      <c r="L563" s="13"/>
      <c r="M563" s="13"/>
      <c r="N563" s="15"/>
    </row>
    <row r="564" spans="1:14" x14ac:dyDescent="0.2">
      <c r="A564" s="8"/>
      <c r="B564" s="9"/>
      <c r="C564" s="10"/>
      <c r="D564" s="9"/>
      <c r="E564" s="9"/>
      <c r="F564" s="9"/>
      <c r="G564" s="9"/>
      <c r="H564" s="9"/>
      <c r="I564" s="9"/>
      <c r="J564" s="9"/>
      <c r="K564" s="9"/>
      <c r="L564" s="9"/>
      <c r="M564" s="9"/>
      <c r="N564" s="11"/>
    </row>
    <row r="565" spans="1:14" x14ac:dyDescent="0.2">
      <c r="A565" s="12"/>
      <c r="B565" s="13"/>
      <c r="C565" s="14"/>
      <c r="D565" s="13"/>
      <c r="E565" s="13"/>
      <c r="F565" s="13"/>
      <c r="G565" s="13"/>
      <c r="H565" s="13"/>
      <c r="I565" s="13"/>
      <c r="J565" s="13"/>
      <c r="K565" s="13"/>
      <c r="L565" s="13"/>
      <c r="M565" s="13"/>
      <c r="N565" s="15"/>
    </row>
    <row r="566" spans="1:14" x14ac:dyDescent="0.2">
      <c r="A566" s="8"/>
      <c r="B566" s="9"/>
      <c r="C566" s="10"/>
      <c r="D566" s="9"/>
      <c r="E566" s="9"/>
      <c r="F566" s="9"/>
      <c r="G566" s="9"/>
      <c r="H566" s="9"/>
      <c r="I566" s="9"/>
      <c r="J566" s="9"/>
      <c r="K566" s="9"/>
      <c r="L566" s="9"/>
      <c r="M566" s="9"/>
      <c r="N566" s="11"/>
    </row>
    <row r="567" spans="1:14" x14ac:dyDescent="0.2">
      <c r="A567" s="12"/>
      <c r="B567" s="13"/>
      <c r="C567" s="14"/>
      <c r="D567" s="13"/>
      <c r="E567" s="13"/>
      <c r="F567" s="13"/>
      <c r="G567" s="13"/>
      <c r="H567" s="13"/>
      <c r="I567" s="13"/>
      <c r="J567" s="13"/>
      <c r="K567" s="13"/>
      <c r="L567" s="13"/>
      <c r="M567" s="13"/>
      <c r="N567" s="15"/>
    </row>
    <row r="568" spans="1:14" x14ac:dyDescent="0.2">
      <c r="A568" s="8"/>
      <c r="B568" s="9"/>
      <c r="C568" s="10"/>
      <c r="D568" s="9"/>
      <c r="E568" s="9"/>
      <c r="F568" s="9"/>
      <c r="G568" s="9"/>
      <c r="H568" s="9"/>
      <c r="I568" s="9"/>
      <c r="J568" s="9"/>
      <c r="K568" s="9"/>
      <c r="L568" s="9"/>
      <c r="M568" s="9"/>
      <c r="N568" s="11"/>
    </row>
    <row r="569" spans="1:14" x14ac:dyDescent="0.2">
      <c r="A569" s="12"/>
      <c r="B569" s="13"/>
      <c r="C569" s="14"/>
      <c r="D569" s="13"/>
      <c r="E569" s="13"/>
      <c r="F569" s="13"/>
      <c r="G569" s="13"/>
      <c r="H569" s="13"/>
      <c r="I569" s="13"/>
      <c r="J569" s="13"/>
      <c r="K569" s="13"/>
      <c r="L569" s="13"/>
      <c r="M569" s="13"/>
      <c r="N569" s="15"/>
    </row>
    <row r="570" spans="1:14" x14ac:dyDescent="0.2">
      <c r="A570" s="8"/>
      <c r="B570" s="9"/>
      <c r="C570" s="10"/>
      <c r="D570" s="9"/>
      <c r="E570" s="9"/>
      <c r="F570" s="9"/>
      <c r="G570" s="9"/>
      <c r="H570" s="9"/>
      <c r="I570" s="9"/>
      <c r="J570" s="9"/>
      <c r="K570" s="9"/>
      <c r="L570" s="9"/>
      <c r="M570" s="9"/>
      <c r="N570" s="11"/>
    </row>
    <row r="571" spans="1:14" x14ac:dyDescent="0.2">
      <c r="A571" s="12"/>
      <c r="B571" s="13"/>
      <c r="C571" s="14"/>
      <c r="D571" s="13"/>
      <c r="E571" s="13"/>
      <c r="F571" s="13"/>
      <c r="G571" s="13"/>
      <c r="H571" s="13"/>
      <c r="I571" s="13"/>
      <c r="J571" s="13"/>
      <c r="K571" s="13"/>
      <c r="L571" s="13"/>
      <c r="M571" s="13"/>
      <c r="N571" s="15"/>
    </row>
    <row r="572" spans="1:14" x14ac:dyDescent="0.2">
      <c r="A572" s="8"/>
      <c r="B572" s="9"/>
      <c r="C572" s="10"/>
      <c r="D572" s="9"/>
      <c r="E572" s="9"/>
      <c r="F572" s="9"/>
      <c r="G572" s="9"/>
      <c r="H572" s="9"/>
      <c r="I572" s="9"/>
      <c r="J572" s="9"/>
      <c r="K572" s="9"/>
      <c r="L572" s="9"/>
      <c r="M572" s="9"/>
      <c r="N572" s="11"/>
    </row>
    <row r="573" spans="1:14" x14ac:dyDescent="0.2">
      <c r="A573" s="12"/>
      <c r="B573" s="13"/>
      <c r="C573" s="14"/>
      <c r="D573" s="13"/>
      <c r="E573" s="13"/>
      <c r="F573" s="13"/>
      <c r="G573" s="13"/>
      <c r="H573" s="13"/>
      <c r="I573" s="13"/>
      <c r="J573" s="13"/>
      <c r="K573" s="13"/>
      <c r="L573" s="13"/>
      <c r="M573" s="13"/>
      <c r="N573" s="15"/>
    </row>
    <row r="574" spans="1:14" x14ac:dyDescent="0.2">
      <c r="A574" s="8"/>
      <c r="B574" s="9"/>
      <c r="C574" s="10"/>
      <c r="D574" s="9"/>
      <c r="E574" s="9"/>
      <c r="F574" s="9"/>
      <c r="G574" s="9"/>
      <c r="H574" s="9"/>
      <c r="I574" s="9"/>
      <c r="J574" s="9"/>
      <c r="K574" s="9"/>
      <c r="L574" s="9"/>
      <c r="M574" s="9"/>
      <c r="N574" s="11"/>
    </row>
    <row r="575" spans="1:14" x14ac:dyDescent="0.2">
      <c r="A575" s="12"/>
      <c r="B575" s="13"/>
      <c r="C575" s="14"/>
      <c r="D575" s="13"/>
      <c r="E575" s="13"/>
      <c r="F575" s="13"/>
      <c r="G575" s="13"/>
      <c r="H575" s="13"/>
      <c r="I575" s="13"/>
      <c r="J575" s="13"/>
      <c r="K575" s="13"/>
      <c r="L575" s="13"/>
      <c r="M575" s="13"/>
      <c r="N575" s="15"/>
    </row>
    <row r="576" spans="1:14" x14ac:dyDescent="0.2">
      <c r="A576" s="8"/>
      <c r="B576" s="9"/>
      <c r="C576" s="10"/>
      <c r="D576" s="9"/>
      <c r="E576" s="9"/>
      <c r="F576" s="9"/>
      <c r="G576" s="9"/>
      <c r="H576" s="9"/>
      <c r="I576" s="9"/>
      <c r="J576" s="9"/>
      <c r="K576" s="9"/>
      <c r="L576" s="9"/>
      <c r="M576" s="9"/>
      <c r="N576" s="11"/>
    </row>
    <row r="577" spans="1:14" x14ac:dyDescent="0.2">
      <c r="A577" s="12"/>
      <c r="B577" s="13"/>
      <c r="C577" s="14"/>
      <c r="D577" s="13"/>
      <c r="E577" s="13"/>
      <c r="F577" s="13"/>
      <c r="G577" s="13"/>
      <c r="H577" s="13"/>
      <c r="I577" s="13"/>
      <c r="J577" s="13"/>
      <c r="K577" s="13"/>
      <c r="L577" s="13"/>
      <c r="M577" s="13"/>
      <c r="N577" s="15"/>
    </row>
    <row r="578" spans="1:14" x14ac:dyDescent="0.2">
      <c r="A578" s="8"/>
      <c r="B578" s="9"/>
      <c r="C578" s="10"/>
      <c r="D578" s="9"/>
      <c r="E578" s="9"/>
      <c r="F578" s="9"/>
      <c r="G578" s="9"/>
      <c r="H578" s="9"/>
      <c r="I578" s="9"/>
      <c r="J578" s="9"/>
      <c r="K578" s="9"/>
      <c r="L578" s="9"/>
      <c r="M578" s="9"/>
      <c r="N578" s="11"/>
    </row>
    <row r="579" spans="1:14" x14ac:dyDescent="0.2">
      <c r="A579" s="12"/>
      <c r="B579" s="13"/>
      <c r="C579" s="14"/>
      <c r="D579" s="13"/>
      <c r="E579" s="13"/>
      <c r="F579" s="13"/>
      <c r="G579" s="13"/>
      <c r="H579" s="13"/>
      <c r="I579" s="13"/>
      <c r="J579" s="13"/>
      <c r="K579" s="13"/>
      <c r="L579" s="13"/>
      <c r="M579" s="13"/>
      <c r="N579" s="15"/>
    </row>
    <row r="580" spans="1:14" x14ac:dyDescent="0.2">
      <c r="A580" s="8"/>
      <c r="B580" s="9"/>
      <c r="C580" s="10"/>
      <c r="D580" s="9"/>
      <c r="E580" s="9"/>
      <c r="F580" s="9"/>
      <c r="G580" s="9"/>
      <c r="H580" s="9"/>
      <c r="I580" s="9"/>
      <c r="J580" s="9"/>
      <c r="K580" s="9"/>
      <c r="L580" s="9"/>
      <c r="M580" s="9"/>
      <c r="N580" s="11"/>
    </row>
    <row r="581" spans="1:14" x14ac:dyDescent="0.2">
      <c r="A581" s="12"/>
      <c r="B581" s="13"/>
      <c r="C581" s="14"/>
      <c r="D581" s="13"/>
      <c r="E581" s="13"/>
      <c r="F581" s="13"/>
      <c r="G581" s="13"/>
      <c r="H581" s="13"/>
      <c r="I581" s="13"/>
      <c r="J581" s="13"/>
      <c r="K581" s="13"/>
      <c r="L581" s="13"/>
      <c r="M581" s="13"/>
      <c r="N581" s="15"/>
    </row>
    <row r="582" spans="1:14" x14ac:dyDescent="0.2">
      <c r="A582" s="8"/>
      <c r="B582" s="9"/>
      <c r="C582" s="10"/>
      <c r="D582" s="9"/>
      <c r="E582" s="9"/>
      <c r="F582" s="9"/>
      <c r="G582" s="9"/>
      <c r="H582" s="9"/>
      <c r="I582" s="9"/>
      <c r="J582" s="9"/>
      <c r="K582" s="9"/>
      <c r="L582" s="9"/>
      <c r="M582" s="9"/>
      <c r="N582" s="11"/>
    </row>
    <row r="583" spans="1:14" x14ac:dyDescent="0.2">
      <c r="A583" s="12"/>
      <c r="B583" s="13"/>
      <c r="C583" s="14"/>
      <c r="D583" s="13"/>
      <c r="E583" s="13"/>
      <c r="F583" s="13"/>
      <c r="G583" s="13"/>
      <c r="H583" s="13"/>
      <c r="I583" s="13"/>
      <c r="J583" s="13"/>
      <c r="K583" s="13"/>
      <c r="L583" s="13"/>
      <c r="M583" s="13"/>
      <c r="N583" s="15"/>
    </row>
    <row r="584" spans="1:14" x14ac:dyDescent="0.2">
      <c r="A584" s="8"/>
      <c r="B584" s="9"/>
      <c r="C584" s="10"/>
      <c r="D584" s="9"/>
      <c r="E584" s="9"/>
      <c r="F584" s="9"/>
      <c r="G584" s="9"/>
      <c r="H584" s="9"/>
      <c r="I584" s="9"/>
      <c r="J584" s="9"/>
      <c r="K584" s="9"/>
      <c r="L584" s="9"/>
      <c r="M584" s="9"/>
      <c r="N584" s="11"/>
    </row>
    <row r="585" spans="1:14" x14ac:dyDescent="0.2">
      <c r="A585" s="12"/>
      <c r="B585" s="13"/>
      <c r="C585" s="14"/>
      <c r="D585" s="13"/>
      <c r="E585" s="13"/>
      <c r="F585" s="13"/>
      <c r="G585" s="13"/>
      <c r="H585" s="13"/>
      <c r="I585" s="13"/>
      <c r="J585" s="13"/>
      <c r="K585" s="13"/>
      <c r="L585" s="13"/>
      <c r="M585" s="13"/>
      <c r="N585" s="15"/>
    </row>
    <row r="586" spans="1:14" x14ac:dyDescent="0.2">
      <c r="A586" s="8"/>
      <c r="B586" s="9"/>
      <c r="C586" s="10"/>
      <c r="D586" s="9"/>
      <c r="E586" s="9"/>
      <c r="F586" s="9"/>
      <c r="G586" s="9"/>
      <c r="H586" s="9"/>
      <c r="I586" s="9"/>
      <c r="J586" s="9"/>
      <c r="K586" s="9"/>
      <c r="L586" s="9"/>
      <c r="M586" s="9"/>
      <c r="N586" s="11"/>
    </row>
    <row r="587" spans="1:14" x14ac:dyDescent="0.2">
      <c r="A587" s="12"/>
      <c r="B587" s="13"/>
      <c r="C587" s="14"/>
      <c r="D587" s="13"/>
      <c r="E587" s="13"/>
      <c r="F587" s="13"/>
      <c r="G587" s="13"/>
      <c r="H587" s="13"/>
      <c r="I587" s="13"/>
      <c r="J587" s="13"/>
      <c r="K587" s="13"/>
      <c r="L587" s="13"/>
      <c r="M587" s="13"/>
      <c r="N587" s="15"/>
    </row>
    <row r="588" spans="1:14" x14ac:dyDescent="0.2">
      <c r="A588" s="8"/>
      <c r="B588" s="9"/>
      <c r="C588" s="10"/>
      <c r="D588" s="9"/>
      <c r="E588" s="9"/>
      <c r="F588" s="9"/>
      <c r="G588" s="9"/>
      <c r="H588" s="9"/>
      <c r="I588" s="9"/>
      <c r="J588" s="9"/>
      <c r="K588" s="9"/>
      <c r="L588" s="9"/>
      <c r="M588" s="9"/>
      <c r="N588" s="11"/>
    </row>
    <row r="589" spans="1:14" x14ac:dyDescent="0.2">
      <c r="A589" s="12"/>
      <c r="B589" s="13"/>
      <c r="C589" s="14"/>
      <c r="D589" s="13"/>
      <c r="E589" s="13"/>
      <c r="F589" s="13"/>
      <c r="G589" s="13"/>
      <c r="H589" s="13"/>
      <c r="I589" s="13"/>
      <c r="J589" s="13"/>
      <c r="K589" s="13"/>
      <c r="L589" s="13"/>
      <c r="M589" s="13"/>
      <c r="N589" s="15"/>
    </row>
    <row r="590" spans="1:14" x14ac:dyDescent="0.2">
      <c r="A590" s="8"/>
      <c r="B590" s="9"/>
      <c r="C590" s="10"/>
      <c r="D590" s="9"/>
      <c r="E590" s="9"/>
      <c r="F590" s="9"/>
      <c r="G590" s="9"/>
      <c r="H590" s="9"/>
      <c r="I590" s="9"/>
      <c r="J590" s="9"/>
      <c r="K590" s="9"/>
      <c r="L590" s="9"/>
      <c r="M590" s="9"/>
      <c r="N590" s="11"/>
    </row>
    <row r="591" spans="1:14" x14ac:dyDescent="0.2">
      <c r="A591" s="12"/>
      <c r="B591" s="13"/>
      <c r="C591" s="14"/>
      <c r="D591" s="13"/>
      <c r="E591" s="13"/>
      <c r="F591" s="13"/>
      <c r="G591" s="13"/>
      <c r="H591" s="13"/>
      <c r="I591" s="13"/>
      <c r="J591" s="13"/>
      <c r="K591" s="13"/>
      <c r="L591" s="13"/>
      <c r="M591" s="13"/>
      <c r="N591" s="15"/>
    </row>
    <row r="592" spans="1:14" x14ac:dyDescent="0.2">
      <c r="A592" s="8"/>
      <c r="B592" s="9"/>
      <c r="C592" s="10"/>
      <c r="D592" s="9"/>
      <c r="E592" s="9"/>
      <c r="F592" s="9"/>
      <c r="G592" s="9"/>
      <c r="H592" s="9"/>
      <c r="I592" s="9"/>
      <c r="J592" s="9"/>
      <c r="K592" s="9"/>
      <c r="L592" s="9"/>
      <c r="M592" s="9"/>
      <c r="N592" s="11"/>
    </row>
    <row r="593" spans="1:14" x14ac:dyDescent="0.2">
      <c r="A593" s="12"/>
      <c r="B593" s="13"/>
      <c r="C593" s="14"/>
      <c r="D593" s="13"/>
      <c r="E593" s="13"/>
      <c r="F593" s="13"/>
      <c r="G593" s="13"/>
      <c r="H593" s="13"/>
      <c r="I593" s="13"/>
      <c r="J593" s="13"/>
      <c r="K593" s="13"/>
      <c r="L593" s="13"/>
      <c r="M593" s="13"/>
      <c r="N593" s="15"/>
    </row>
    <row r="594" spans="1:14" x14ac:dyDescent="0.2">
      <c r="A594" s="8"/>
      <c r="B594" s="9"/>
      <c r="C594" s="10"/>
      <c r="D594" s="9"/>
      <c r="E594" s="9"/>
      <c r="F594" s="9"/>
      <c r="G594" s="9"/>
      <c r="H594" s="9"/>
      <c r="I594" s="9"/>
      <c r="J594" s="9"/>
      <c r="K594" s="9"/>
      <c r="L594" s="9"/>
      <c r="M594" s="9"/>
      <c r="N594" s="11"/>
    </row>
    <row r="595" spans="1:14" x14ac:dyDescent="0.2">
      <c r="A595" s="12"/>
      <c r="B595" s="13"/>
      <c r="C595" s="14"/>
      <c r="D595" s="13"/>
      <c r="E595" s="13"/>
      <c r="F595" s="13"/>
      <c r="G595" s="13"/>
      <c r="H595" s="13"/>
      <c r="I595" s="13"/>
      <c r="J595" s="13"/>
      <c r="K595" s="13"/>
      <c r="L595" s="13"/>
      <c r="M595" s="13"/>
      <c r="N595" s="15"/>
    </row>
    <row r="596" spans="1:14" x14ac:dyDescent="0.2">
      <c r="A596" s="8"/>
      <c r="B596" s="9"/>
      <c r="C596" s="10"/>
      <c r="D596" s="9"/>
      <c r="E596" s="9"/>
      <c r="F596" s="9"/>
      <c r="G596" s="9"/>
      <c r="H596" s="9"/>
      <c r="I596" s="9"/>
      <c r="J596" s="9"/>
      <c r="K596" s="9"/>
      <c r="L596" s="9"/>
      <c r="M596" s="9"/>
      <c r="N596" s="11"/>
    </row>
    <row r="597" spans="1:14" x14ac:dyDescent="0.2">
      <c r="A597" s="12"/>
      <c r="B597" s="13"/>
      <c r="C597" s="14"/>
      <c r="D597" s="13"/>
      <c r="E597" s="13"/>
      <c r="F597" s="13"/>
      <c r="G597" s="13"/>
      <c r="H597" s="13"/>
      <c r="I597" s="13"/>
      <c r="J597" s="13"/>
      <c r="K597" s="13"/>
      <c r="L597" s="13"/>
      <c r="M597" s="13"/>
      <c r="N597" s="15"/>
    </row>
    <row r="598" spans="1:14" x14ac:dyDescent="0.2">
      <c r="A598" s="8"/>
      <c r="B598" s="9"/>
      <c r="C598" s="10"/>
      <c r="D598" s="9"/>
      <c r="E598" s="9"/>
      <c r="F598" s="9"/>
      <c r="G598" s="9"/>
      <c r="H598" s="9"/>
      <c r="I598" s="9"/>
      <c r="J598" s="9"/>
      <c r="K598" s="9"/>
      <c r="L598" s="9"/>
      <c r="M598" s="9"/>
      <c r="N598" s="11"/>
    </row>
    <row r="599" spans="1:14" x14ac:dyDescent="0.2">
      <c r="A599" s="12"/>
      <c r="B599" s="13"/>
      <c r="C599" s="14"/>
      <c r="D599" s="13"/>
      <c r="E599" s="13"/>
      <c r="F599" s="13"/>
      <c r="G599" s="13"/>
      <c r="H599" s="13"/>
      <c r="I599" s="13"/>
      <c r="J599" s="13"/>
      <c r="K599" s="13"/>
      <c r="L599" s="13"/>
      <c r="M599" s="13"/>
      <c r="N599" s="15"/>
    </row>
    <row r="600" spans="1:14" x14ac:dyDescent="0.2">
      <c r="A600" s="8"/>
      <c r="B600" s="9"/>
      <c r="C600" s="10"/>
      <c r="D600" s="9"/>
      <c r="E600" s="9"/>
      <c r="F600" s="9"/>
      <c r="G600" s="9"/>
      <c r="H600" s="9"/>
      <c r="I600" s="9"/>
      <c r="J600" s="9"/>
      <c r="K600" s="9"/>
      <c r="L600" s="9"/>
      <c r="M600" s="9"/>
      <c r="N600" s="11"/>
    </row>
    <row r="601" spans="1:14" x14ac:dyDescent="0.2">
      <c r="A601" s="12"/>
      <c r="B601" s="13"/>
      <c r="C601" s="14"/>
      <c r="D601" s="13"/>
      <c r="E601" s="13"/>
      <c r="F601" s="13"/>
      <c r="G601" s="13"/>
      <c r="H601" s="13"/>
      <c r="I601" s="13"/>
      <c r="J601" s="13"/>
      <c r="K601" s="13"/>
      <c r="L601" s="13"/>
      <c r="M601" s="13"/>
      <c r="N601" s="15"/>
    </row>
    <row r="602" spans="1:14" x14ac:dyDescent="0.2">
      <c r="A602" s="8"/>
      <c r="B602" s="9"/>
      <c r="C602" s="10"/>
      <c r="D602" s="9"/>
      <c r="E602" s="9"/>
      <c r="F602" s="9"/>
      <c r="G602" s="9"/>
      <c r="H602" s="9"/>
      <c r="I602" s="9"/>
      <c r="J602" s="9"/>
      <c r="K602" s="9"/>
      <c r="L602" s="9"/>
      <c r="M602" s="9"/>
      <c r="N602" s="11"/>
    </row>
    <row r="603" spans="1:14" x14ac:dyDescent="0.2">
      <c r="A603" s="12"/>
      <c r="B603" s="13"/>
      <c r="C603" s="14"/>
      <c r="D603" s="13"/>
      <c r="E603" s="13"/>
      <c r="F603" s="13"/>
      <c r="G603" s="13"/>
      <c r="H603" s="13"/>
      <c r="I603" s="13"/>
      <c r="J603" s="13"/>
      <c r="K603" s="13"/>
      <c r="L603" s="13"/>
      <c r="M603" s="13"/>
      <c r="N603" s="15"/>
    </row>
    <row r="604" spans="1:14" x14ac:dyDescent="0.2">
      <c r="A604" s="8"/>
      <c r="B604" s="9"/>
      <c r="C604" s="10"/>
      <c r="D604" s="9"/>
      <c r="E604" s="9"/>
      <c r="F604" s="9"/>
      <c r="G604" s="9"/>
      <c r="H604" s="9"/>
      <c r="I604" s="9"/>
      <c r="J604" s="9"/>
      <c r="K604" s="9"/>
      <c r="L604" s="9"/>
      <c r="M604" s="9"/>
      <c r="N604" s="11"/>
    </row>
    <row r="605" spans="1:14" x14ac:dyDescent="0.2">
      <c r="A605" s="12"/>
      <c r="B605" s="13"/>
      <c r="C605" s="14"/>
      <c r="D605" s="13"/>
      <c r="E605" s="13"/>
      <c r="F605" s="13"/>
      <c r="G605" s="13"/>
      <c r="H605" s="13"/>
      <c r="I605" s="13"/>
      <c r="J605" s="13"/>
      <c r="K605" s="13"/>
      <c r="L605" s="13"/>
      <c r="M605" s="13"/>
      <c r="N605" s="15"/>
    </row>
    <row r="606" spans="1:14" x14ac:dyDescent="0.2">
      <c r="A606" s="8"/>
      <c r="B606" s="9"/>
      <c r="C606" s="10"/>
      <c r="D606" s="9"/>
      <c r="E606" s="9"/>
      <c r="F606" s="9"/>
      <c r="G606" s="9"/>
      <c r="H606" s="9"/>
      <c r="I606" s="9"/>
      <c r="J606" s="9"/>
      <c r="K606" s="9"/>
      <c r="L606" s="9"/>
      <c r="M606" s="9"/>
      <c r="N606" s="11"/>
    </row>
    <row r="607" spans="1:14" x14ac:dyDescent="0.2">
      <c r="A607" s="12"/>
      <c r="B607" s="13"/>
      <c r="C607" s="14"/>
      <c r="D607" s="13"/>
      <c r="E607" s="13"/>
      <c r="F607" s="13"/>
      <c r="G607" s="13"/>
      <c r="H607" s="13"/>
      <c r="I607" s="13"/>
      <c r="J607" s="13"/>
      <c r="K607" s="13"/>
      <c r="L607" s="13"/>
      <c r="M607" s="13"/>
      <c r="N607" s="15"/>
    </row>
    <row r="608" spans="1:14" x14ac:dyDescent="0.2">
      <c r="A608" s="8"/>
      <c r="B608" s="9"/>
      <c r="C608" s="10"/>
      <c r="D608" s="9"/>
      <c r="E608" s="9"/>
      <c r="F608" s="9"/>
      <c r="G608" s="9"/>
      <c r="H608" s="9"/>
      <c r="I608" s="9"/>
      <c r="J608" s="9"/>
      <c r="K608" s="9"/>
      <c r="L608" s="9"/>
      <c r="M608" s="9"/>
      <c r="N608" s="11"/>
    </row>
    <row r="609" spans="1:14" x14ac:dyDescent="0.2">
      <c r="A609" s="12"/>
      <c r="B609" s="13"/>
      <c r="C609" s="14"/>
      <c r="D609" s="13"/>
      <c r="E609" s="13"/>
      <c r="F609" s="13"/>
      <c r="G609" s="13"/>
      <c r="H609" s="13"/>
      <c r="I609" s="13"/>
      <c r="J609" s="13"/>
      <c r="K609" s="13"/>
      <c r="L609" s="13"/>
      <c r="M609" s="13"/>
      <c r="N609" s="15"/>
    </row>
    <row r="610" spans="1:14" x14ac:dyDescent="0.2">
      <c r="A610" s="8"/>
      <c r="B610" s="9"/>
      <c r="C610" s="10"/>
      <c r="D610" s="9"/>
      <c r="E610" s="9"/>
      <c r="F610" s="9"/>
      <c r="G610" s="9"/>
      <c r="H610" s="9"/>
      <c r="I610" s="9"/>
      <c r="J610" s="9"/>
      <c r="K610" s="9"/>
      <c r="L610" s="9"/>
      <c r="M610" s="9"/>
      <c r="N610" s="11"/>
    </row>
    <row r="611" spans="1:14" x14ac:dyDescent="0.2">
      <c r="A611" s="12"/>
      <c r="B611" s="13"/>
      <c r="C611" s="14"/>
      <c r="D611" s="13"/>
      <c r="E611" s="13"/>
      <c r="F611" s="13"/>
      <c r="G611" s="13"/>
      <c r="H611" s="13"/>
      <c r="I611" s="13"/>
      <c r="J611" s="13"/>
      <c r="K611" s="13"/>
      <c r="L611" s="13"/>
      <c r="M611" s="13"/>
      <c r="N611" s="15"/>
    </row>
    <row r="612" spans="1:14" x14ac:dyDescent="0.2">
      <c r="A612" s="8"/>
      <c r="B612" s="9"/>
      <c r="C612" s="10"/>
      <c r="D612" s="9"/>
      <c r="E612" s="9"/>
      <c r="F612" s="9"/>
      <c r="G612" s="9"/>
      <c r="H612" s="9"/>
      <c r="I612" s="9"/>
      <c r="J612" s="9"/>
      <c r="K612" s="9"/>
      <c r="L612" s="9"/>
      <c r="M612" s="9"/>
      <c r="N612" s="11"/>
    </row>
    <row r="613" spans="1:14" x14ac:dyDescent="0.2">
      <c r="A613" s="12"/>
      <c r="B613" s="13"/>
      <c r="C613" s="14"/>
      <c r="D613" s="13"/>
      <c r="E613" s="13"/>
      <c r="F613" s="13"/>
      <c r="G613" s="13"/>
      <c r="H613" s="13"/>
      <c r="I613" s="13"/>
      <c r="J613" s="13"/>
      <c r="K613" s="13"/>
      <c r="L613" s="13"/>
      <c r="M613" s="13"/>
      <c r="N613" s="15"/>
    </row>
    <row r="614" spans="1:14" x14ac:dyDescent="0.2">
      <c r="A614" s="8"/>
      <c r="B614" s="9"/>
      <c r="C614" s="10"/>
      <c r="D614" s="9"/>
      <c r="E614" s="9"/>
      <c r="F614" s="9"/>
      <c r="G614" s="9"/>
      <c r="H614" s="9"/>
      <c r="I614" s="9"/>
      <c r="J614" s="9"/>
      <c r="K614" s="9"/>
      <c r="L614" s="9"/>
      <c r="M614" s="9"/>
      <c r="N614" s="11"/>
    </row>
    <row r="615" spans="1:14" x14ac:dyDescent="0.2">
      <c r="A615" s="12"/>
      <c r="B615" s="13"/>
      <c r="C615" s="14"/>
      <c r="D615" s="13"/>
      <c r="E615" s="13"/>
      <c r="F615" s="13"/>
      <c r="G615" s="13"/>
      <c r="H615" s="13"/>
      <c r="I615" s="13"/>
      <c r="J615" s="13"/>
      <c r="K615" s="13"/>
      <c r="L615" s="13"/>
      <c r="M615" s="13"/>
      <c r="N615" s="15"/>
    </row>
    <row r="616" spans="1:14" x14ac:dyDescent="0.2">
      <c r="A616" s="8"/>
      <c r="B616" s="9"/>
      <c r="C616" s="10"/>
      <c r="D616" s="9"/>
      <c r="E616" s="9"/>
      <c r="F616" s="9"/>
      <c r="G616" s="9"/>
      <c r="H616" s="9"/>
      <c r="I616" s="9"/>
      <c r="J616" s="9"/>
      <c r="K616" s="9"/>
      <c r="L616" s="9"/>
      <c r="M616" s="9"/>
      <c r="N616" s="11"/>
    </row>
    <row r="617" spans="1:14" x14ac:dyDescent="0.2">
      <c r="A617" s="12"/>
      <c r="B617" s="13"/>
      <c r="C617" s="14"/>
      <c r="D617" s="13"/>
      <c r="E617" s="13"/>
      <c r="F617" s="13"/>
      <c r="G617" s="13"/>
      <c r="H617" s="13"/>
      <c r="I617" s="13"/>
      <c r="J617" s="13"/>
      <c r="K617" s="13"/>
      <c r="L617" s="13"/>
      <c r="M617" s="13"/>
      <c r="N617" s="15"/>
    </row>
    <row r="618" spans="1:14" x14ac:dyDescent="0.2">
      <c r="A618" s="8"/>
      <c r="B618" s="9"/>
      <c r="C618" s="10"/>
      <c r="D618" s="9"/>
      <c r="E618" s="9"/>
      <c r="F618" s="9"/>
      <c r="G618" s="9"/>
      <c r="H618" s="9"/>
      <c r="I618" s="9"/>
      <c r="J618" s="9"/>
      <c r="K618" s="9"/>
      <c r="L618" s="9"/>
      <c r="M618" s="9"/>
      <c r="N618" s="11"/>
    </row>
    <row r="619" spans="1:14" x14ac:dyDescent="0.2">
      <c r="A619" s="12"/>
      <c r="B619" s="13"/>
      <c r="C619" s="14"/>
      <c r="D619" s="13"/>
      <c r="E619" s="13"/>
      <c r="F619" s="13"/>
      <c r="G619" s="13"/>
      <c r="H619" s="13"/>
      <c r="I619" s="13"/>
      <c r="J619" s="13"/>
      <c r="K619" s="13"/>
      <c r="L619" s="13"/>
      <c r="M619" s="13"/>
      <c r="N619" s="15"/>
    </row>
    <row r="620" spans="1:14" x14ac:dyDescent="0.2">
      <c r="A620" s="8"/>
      <c r="B620" s="9"/>
      <c r="C620" s="10"/>
      <c r="D620" s="9"/>
      <c r="E620" s="9"/>
      <c r="F620" s="9"/>
      <c r="G620" s="9"/>
      <c r="H620" s="9"/>
      <c r="I620" s="9"/>
      <c r="J620" s="9"/>
      <c r="K620" s="9"/>
      <c r="L620" s="9"/>
      <c r="M620" s="9"/>
      <c r="N620" s="11"/>
    </row>
    <row r="621" spans="1:14" x14ac:dyDescent="0.2">
      <c r="A621" s="12"/>
      <c r="B621" s="13"/>
      <c r="C621" s="14"/>
      <c r="D621" s="13"/>
      <c r="E621" s="13"/>
      <c r="F621" s="13"/>
      <c r="G621" s="13"/>
      <c r="H621" s="13"/>
      <c r="I621" s="13"/>
      <c r="J621" s="13"/>
      <c r="K621" s="13"/>
      <c r="L621" s="13"/>
      <c r="M621" s="13"/>
      <c r="N621" s="15"/>
    </row>
    <row r="622" spans="1:14" x14ac:dyDescent="0.2">
      <c r="A622" s="8"/>
      <c r="B622" s="9"/>
      <c r="C622" s="10"/>
      <c r="D622" s="9"/>
      <c r="E622" s="9"/>
      <c r="F622" s="9"/>
      <c r="G622" s="9"/>
      <c r="H622" s="9"/>
      <c r="I622" s="9"/>
      <c r="J622" s="9"/>
      <c r="K622" s="9"/>
      <c r="L622" s="9"/>
      <c r="M622" s="9"/>
      <c r="N622" s="11"/>
    </row>
    <row r="623" spans="1:14" x14ac:dyDescent="0.2">
      <c r="A623" s="12"/>
      <c r="B623" s="13"/>
      <c r="C623" s="14"/>
      <c r="D623" s="13"/>
      <c r="E623" s="13"/>
      <c r="F623" s="13"/>
      <c r="G623" s="13"/>
      <c r="H623" s="13"/>
      <c r="I623" s="13"/>
      <c r="J623" s="13"/>
      <c r="K623" s="13"/>
      <c r="L623" s="13"/>
      <c r="M623" s="13"/>
      <c r="N623" s="15"/>
    </row>
    <row r="624" spans="1:14" x14ac:dyDescent="0.2">
      <c r="A624" s="8"/>
      <c r="B624" s="9"/>
      <c r="C624" s="10"/>
      <c r="D624" s="9"/>
      <c r="E624" s="9"/>
      <c r="F624" s="9"/>
      <c r="G624" s="9"/>
      <c r="H624" s="9"/>
      <c r="I624" s="9"/>
      <c r="J624" s="9"/>
      <c r="K624" s="9"/>
      <c r="L624" s="9"/>
      <c r="M624" s="9"/>
      <c r="N624" s="11"/>
    </row>
    <row r="625" spans="1:14" x14ac:dyDescent="0.2">
      <c r="A625" s="12"/>
      <c r="B625" s="13"/>
      <c r="C625" s="14"/>
      <c r="D625" s="13"/>
      <c r="E625" s="13"/>
      <c r="F625" s="13"/>
      <c r="G625" s="13"/>
      <c r="H625" s="13"/>
      <c r="I625" s="13"/>
      <c r="J625" s="13"/>
      <c r="K625" s="13"/>
      <c r="L625" s="13"/>
      <c r="M625" s="13"/>
      <c r="N625" s="15"/>
    </row>
    <row r="626" spans="1:14" x14ac:dyDescent="0.2">
      <c r="A626" s="8"/>
      <c r="B626" s="9"/>
      <c r="C626" s="10"/>
      <c r="D626" s="9"/>
      <c r="E626" s="9"/>
      <c r="F626" s="9"/>
      <c r="G626" s="9"/>
      <c r="H626" s="9"/>
      <c r="I626" s="9"/>
      <c r="J626" s="9"/>
      <c r="K626" s="9"/>
      <c r="L626" s="9"/>
      <c r="M626" s="9"/>
      <c r="N626" s="11"/>
    </row>
    <row r="627" spans="1:14" x14ac:dyDescent="0.2">
      <c r="A627" s="12"/>
      <c r="B627" s="13"/>
      <c r="C627" s="14"/>
      <c r="D627" s="13"/>
      <c r="E627" s="13"/>
      <c r="F627" s="13"/>
      <c r="G627" s="13"/>
      <c r="H627" s="13"/>
      <c r="I627" s="13"/>
      <c r="J627" s="13"/>
      <c r="K627" s="13"/>
      <c r="L627" s="13"/>
      <c r="M627" s="13"/>
      <c r="N627" s="15"/>
    </row>
    <row r="628" spans="1:14" x14ac:dyDescent="0.2">
      <c r="A628" s="8"/>
      <c r="B628" s="9"/>
      <c r="C628" s="10"/>
      <c r="D628" s="9"/>
      <c r="E628" s="9"/>
      <c r="F628" s="9"/>
      <c r="G628" s="9"/>
      <c r="H628" s="9"/>
      <c r="I628" s="9"/>
      <c r="J628" s="9"/>
      <c r="K628" s="9"/>
      <c r="L628" s="9"/>
      <c r="M628" s="9"/>
      <c r="N628" s="11"/>
    </row>
    <row r="629" spans="1:14" x14ac:dyDescent="0.2">
      <c r="A629" s="12"/>
      <c r="B629" s="13"/>
      <c r="C629" s="14"/>
      <c r="D629" s="13"/>
      <c r="E629" s="13"/>
      <c r="F629" s="13"/>
      <c r="G629" s="13"/>
      <c r="H629" s="13"/>
      <c r="I629" s="13"/>
      <c r="J629" s="13"/>
      <c r="K629" s="13"/>
      <c r="L629" s="13"/>
      <c r="M629" s="13"/>
      <c r="N629" s="15"/>
    </row>
    <row r="630" spans="1:14" x14ac:dyDescent="0.2">
      <c r="A630" s="8"/>
      <c r="B630" s="9"/>
      <c r="C630" s="10"/>
      <c r="D630" s="9"/>
      <c r="E630" s="9"/>
      <c r="F630" s="9"/>
      <c r="G630" s="9"/>
      <c r="H630" s="9"/>
      <c r="I630" s="9"/>
      <c r="J630" s="9"/>
      <c r="K630" s="9"/>
      <c r="L630" s="9"/>
      <c r="M630" s="9"/>
      <c r="N630" s="11"/>
    </row>
    <row r="631" spans="1:14" x14ac:dyDescent="0.2">
      <c r="A631" s="12"/>
      <c r="B631" s="13"/>
      <c r="C631" s="14"/>
      <c r="D631" s="13"/>
      <c r="E631" s="13"/>
      <c r="F631" s="13"/>
      <c r="G631" s="13"/>
      <c r="H631" s="13"/>
      <c r="I631" s="13"/>
      <c r="J631" s="13"/>
      <c r="K631" s="13"/>
      <c r="L631" s="13"/>
      <c r="M631" s="13"/>
      <c r="N631" s="15"/>
    </row>
    <row r="632" spans="1:14" x14ac:dyDescent="0.2">
      <c r="A632" s="8"/>
      <c r="B632" s="9"/>
      <c r="C632" s="10"/>
      <c r="D632" s="9"/>
      <c r="E632" s="9"/>
      <c r="F632" s="9"/>
      <c r="G632" s="9"/>
      <c r="H632" s="9"/>
      <c r="I632" s="9"/>
      <c r="J632" s="9"/>
      <c r="K632" s="9"/>
      <c r="L632" s="9"/>
      <c r="M632" s="9"/>
      <c r="N632" s="11"/>
    </row>
    <row r="633" spans="1:14" x14ac:dyDescent="0.2">
      <c r="A633" s="12"/>
      <c r="B633" s="13"/>
      <c r="C633" s="14"/>
      <c r="D633" s="13"/>
      <c r="E633" s="13"/>
      <c r="F633" s="13"/>
      <c r="G633" s="13"/>
      <c r="H633" s="13"/>
      <c r="I633" s="13"/>
      <c r="J633" s="13"/>
      <c r="K633" s="13"/>
      <c r="L633" s="13"/>
      <c r="M633" s="13"/>
      <c r="N633" s="15"/>
    </row>
    <row r="634" spans="1:14" x14ac:dyDescent="0.2">
      <c r="A634" s="8"/>
      <c r="B634" s="9"/>
      <c r="C634" s="10"/>
      <c r="D634" s="9"/>
      <c r="E634" s="9"/>
      <c r="F634" s="9"/>
      <c r="G634" s="9"/>
      <c r="H634" s="9"/>
      <c r="I634" s="9"/>
      <c r="J634" s="9"/>
      <c r="K634" s="9"/>
      <c r="L634" s="9"/>
      <c r="M634" s="9"/>
      <c r="N634" s="11"/>
    </row>
    <row r="635" spans="1:14" x14ac:dyDescent="0.2">
      <c r="A635" s="12"/>
      <c r="B635" s="13"/>
      <c r="C635" s="14"/>
      <c r="D635" s="13"/>
      <c r="E635" s="13"/>
      <c r="F635" s="13"/>
      <c r="G635" s="13"/>
      <c r="H635" s="13"/>
      <c r="I635" s="13"/>
      <c r="J635" s="13"/>
      <c r="K635" s="13"/>
      <c r="L635" s="13"/>
      <c r="M635" s="13"/>
      <c r="N635" s="15"/>
    </row>
    <row r="636" spans="1:14" x14ac:dyDescent="0.2">
      <c r="A636" s="8"/>
      <c r="B636" s="9"/>
      <c r="C636" s="10"/>
      <c r="D636" s="9"/>
      <c r="E636" s="9"/>
      <c r="F636" s="9"/>
      <c r="G636" s="9"/>
      <c r="H636" s="9"/>
      <c r="I636" s="9"/>
      <c r="J636" s="9"/>
      <c r="K636" s="9"/>
      <c r="L636" s="9"/>
      <c r="M636" s="9"/>
      <c r="N636" s="11"/>
    </row>
    <row r="637" spans="1:14" x14ac:dyDescent="0.2">
      <c r="A637" s="12"/>
      <c r="B637" s="13"/>
      <c r="C637" s="14"/>
      <c r="D637" s="13"/>
      <c r="E637" s="13"/>
      <c r="F637" s="13"/>
      <c r="G637" s="13"/>
      <c r="H637" s="13"/>
      <c r="I637" s="13"/>
      <c r="J637" s="13"/>
      <c r="K637" s="13"/>
      <c r="L637" s="13"/>
      <c r="M637" s="13"/>
      <c r="N637" s="15"/>
    </row>
    <row r="638" spans="1:14" x14ac:dyDescent="0.2">
      <c r="A638" s="8"/>
      <c r="B638" s="9"/>
      <c r="C638" s="10"/>
      <c r="D638" s="9"/>
      <c r="E638" s="9"/>
      <c r="F638" s="9"/>
      <c r="G638" s="9"/>
      <c r="H638" s="9"/>
      <c r="I638" s="9"/>
      <c r="J638" s="9"/>
      <c r="K638" s="9"/>
      <c r="L638" s="9"/>
      <c r="M638" s="9"/>
      <c r="N638" s="11"/>
    </row>
    <row r="639" spans="1:14" x14ac:dyDescent="0.2">
      <c r="A639" s="12"/>
      <c r="B639" s="13"/>
      <c r="C639" s="14"/>
      <c r="D639" s="13"/>
      <c r="E639" s="13"/>
      <c r="F639" s="13"/>
      <c r="G639" s="13"/>
      <c r="H639" s="13"/>
      <c r="I639" s="13"/>
      <c r="J639" s="13"/>
      <c r="K639" s="13"/>
      <c r="L639" s="13"/>
      <c r="M639" s="13"/>
      <c r="N639" s="15"/>
    </row>
    <row r="640" spans="1:14" x14ac:dyDescent="0.2">
      <c r="A640" s="8"/>
      <c r="B640" s="9"/>
      <c r="C640" s="10"/>
      <c r="D640" s="9"/>
      <c r="E640" s="9"/>
      <c r="F640" s="9"/>
      <c r="G640" s="9"/>
      <c r="H640" s="9"/>
      <c r="I640" s="9"/>
      <c r="J640" s="9"/>
      <c r="K640" s="9"/>
      <c r="L640" s="9"/>
      <c r="M640" s="9"/>
      <c r="N640" s="11"/>
    </row>
    <row r="641" spans="1:14" x14ac:dyDescent="0.2">
      <c r="A641" s="12"/>
      <c r="B641" s="13"/>
      <c r="C641" s="14"/>
      <c r="D641" s="13"/>
      <c r="E641" s="13"/>
      <c r="F641" s="13"/>
      <c r="G641" s="13"/>
      <c r="H641" s="13"/>
      <c r="I641" s="13"/>
      <c r="J641" s="13"/>
      <c r="K641" s="13"/>
      <c r="L641" s="13"/>
      <c r="M641" s="13"/>
      <c r="N641" s="15"/>
    </row>
    <row r="642" spans="1:14" x14ac:dyDescent="0.2">
      <c r="A642" s="8"/>
      <c r="B642" s="9"/>
      <c r="C642" s="10"/>
      <c r="D642" s="9"/>
      <c r="E642" s="9"/>
      <c r="F642" s="9"/>
      <c r="G642" s="9"/>
      <c r="H642" s="9"/>
      <c r="I642" s="9"/>
      <c r="J642" s="9"/>
      <c r="K642" s="9"/>
      <c r="L642" s="9"/>
      <c r="M642" s="9"/>
      <c r="N642" s="11"/>
    </row>
    <row r="643" spans="1:14" x14ac:dyDescent="0.2">
      <c r="A643" s="12"/>
      <c r="B643" s="13"/>
      <c r="C643" s="14"/>
      <c r="D643" s="13"/>
      <c r="E643" s="13"/>
      <c r="F643" s="13"/>
      <c r="G643" s="13"/>
      <c r="H643" s="13"/>
      <c r="I643" s="13"/>
      <c r="J643" s="13"/>
      <c r="K643" s="13"/>
      <c r="L643" s="13"/>
      <c r="M643" s="13"/>
      <c r="N643" s="15"/>
    </row>
    <row r="644" spans="1:14" x14ac:dyDescent="0.2">
      <c r="A644" s="8"/>
      <c r="B644" s="9"/>
      <c r="C644" s="10"/>
      <c r="D644" s="9"/>
      <c r="E644" s="9"/>
      <c r="F644" s="9"/>
      <c r="G644" s="9"/>
      <c r="H644" s="9"/>
      <c r="I644" s="9"/>
      <c r="J644" s="9"/>
      <c r="K644" s="9"/>
      <c r="L644" s="9"/>
      <c r="M644" s="9"/>
      <c r="N644" s="11"/>
    </row>
    <row r="645" spans="1:14" x14ac:dyDescent="0.2">
      <c r="A645" s="12"/>
      <c r="B645" s="13"/>
      <c r="C645" s="14"/>
      <c r="D645" s="13"/>
      <c r="E645" s="13"/>
      <c r="F645" s="13"/>
      <c r="G645" s="13"/>
      <c r="H645" s="13"/>
      <c r="I645" s="13"/>
      <c r="J645" s="13"/>
      <c r="K645" s="13"/>
      <c r="L645" s="13"/>
      <c r="M645" s="13"/>
      <c r="N645" s="15"/>
    </row>
    <row r="646" spans="1:14" x14ac:dyDescent="0.2">
      <c r="A646" s="8"/>
      <c r="B646" s="9"/>
      <c r="C646" s="10"/>
      <c r="D646" s="9"/>
      <c r="E646" s="9"/>
      <c r="F646" s="9"/>
      <c r="G646" s="9"/>
      <c r="H646" s="9"/>
      <c r="I646" s="9"/>
      <c r="J646" s="9"/>
      <c r="K646" s="9"/>
      <c r="L646" s="9"/>
      <c r="M646" s="9"/>
      <c r="N646" s="11"/>
    </row>
    <row r="647" spans="1:14" x14ac:dyDescent="0.2">
      <c r="A647" s="12"/>
      <c r="B647" s="13"/>
      <c r="C647" s="14"/>
      <c r="D647" s="13"/>
      <c r="E647" s="13"/>
      <c r="F647" s="13"/>
      <c r="G647" s="13"/>
      <c r="H647" s="13"/>
      <c r="I647" s="13"/>
      <c r="J647" s="13"/>
      <c r="K647" s="13"/>
      <c r="L647" s="13"/>
      <c r="M647" s="13"/>
      <c r="N647" s="15"/>
    </row>
    <row r="648" spans="1:14" x14ac:dyDescent="0.2">
      <c r="A648" s="8"/>
      <c r="B648" s="9"/>
      <c r="C648" s="10"/>
      <c r="D648" s="9"/>
      <c r="E648" s="9"/>
      <c r="F648" s="9"/>
      <c r="G648" s="9"/>
      <c r="H648" s="9"/>
      <c r="I648" s="9"/>
      <c r="J648" s="9"/>
      <c r="K648" s="9"/>
      <c r="L648" s="9"/>
      <c r="M648" s="9"/>
      <c r="N648" s="11"/>
    </row>
    <row r="649" spans="1:14" x14ac:dyDescent="0.2">
      <c r="A649" s="12"/>
      <c r="B649" s="13"/>
      <c r="C649" s="14"/>
      <c r="D649" s="13"/>
      <c r="E649" s="13"/>
      <c r="F649" s="13"/>
      <c r="G649" s="13"/>
      <c r="H649" s="13"/>
      <c r="I649" s="13"/>
      <c r="J649" s="13"/>
      <c r="K649" s="13"/>
      <c r="L649" s="13"/>
      <c r="M649" s="13"/>
      <c r="N649" s="15"/>
    </row>
    <row r="650" spans="1:14" x14ac:dyDescent="0.2">
      <c r="A650" s="8"/>
      <c r="B650" s="9"/>
      <c r="C650" s="10"/>
      <c r="D650" s="9"/>
      <c r="E650" s="9"/>
      <c r="F650" s="9"/>
      <c r="G650" s="9"/>
      <c r="H650" s="9"/>
      <c r="I650" s="9"/>
      <c r="J650" s="9"/>
      <c r="K650" s="9"/>
      <c r="L650" s="9"/>
      <c r="M650" s="9"/>
      <c r="N650" s="11"/>
    </row>
    <row r="651" spans="1:14" x14ac:dyDescent="0.2">
      <c r="A651" s="12"/>
      <c r="B651" s="13"/>
      <c r="C651" s="14"/>
      <c r="D651" s="13"/>
      <c r="E651" s="13"/>
      <c r="F651" s="13"/>
      <c r="G651" s="13"/>
      <c r="H651" s="13"/>
      <c r="I651" s="13"/>
      <c r="J651" s="13"/>
      <c r="K651" s="13"/>
      <c r="L651" s="13"/>
      <c r="M651" s="13"/>
      <c r="N651" s="15"/>
    </row>
    <row r="652" spans="1:14" x14ac:dyDescent="0.2">
      <c r="A652" s="8"/>
      <c r="B652" s="9"/>
      <c r="C652" s="10"/>
      <c r="D652" s="9"/>
      <c r="E652" s="9"/>
      <c r="F652" s="9"/>
      <c r="G652" s="9"/>
      <c r="H652" s="9"/>
      <c r="I652" s="9"/>
      <c r="J652" s="9"/>
      <c r="K652" s="9"/>
      <c r="L652" s="9"/>
      <c r="M652" s="9"/>
      <c r="N652" s="11"/>
    </row>
    <row r="653" spans="1:14" x14ac:dyDescent="0.2">
      <c r="A653" s="12"/>
      <c r="B653" s="13"/>
      <c r="C653" s="14"/>
      <c r="D653" s="13"/>
      <c r="E653" s="13"/>
      <c r="F653" s="13"/>
      <c r="G653" s="13"/>
      <c r="H653" s="13"/>
      <c r="I653" s="13"/>
      <c r="J653" s="13"/>
      <c r="K653" s="13"/>
      <c r="L653" s="13"/>
      <c r="M653" s="13"/>
      <c r="N653" s="15"/>
    </row>
    <row r="654" spans="1:14" x14ac:dyDescent="0.2">
      <c r="A654" s="8"/>
      <c r="B654" s="9"/>
      <c r="C654" s="10"/>
      <c r="D654" s="9"/>
      <c r="E654" s="9"/>
      <c r="F654" s="9"/>
      <c r="G654" s="9"/>
      <c r="H654" s="9"/>
      <c r="I654" s="9"/>
      <c r="J654" s="9"/>
      <c r="K654" s="9"/>
      <c r="L654" s="9"/>
      <c r="M654" s="9"/>
      <c r="N654" s="11"/>
    </row>
    <row r="655" spans="1:14" x14ac:dyDescent="0.2">
      <c r="A655" s="12"/>
      <c r="B655" s="13"/>
      <c r="C655" s="14"/>
      <c r="D655" s="13"/>
      <c r="E655" s="13"/>
      <c r="F655" s="13"/>
      <c r="G655" s="13"/>
      <c r="H655" s="13"/>
      <c r="I655" s="13"/>
      <c r="J655" s="13"/>
      <c r="K655" s="13"/>
      <c r="L655" s="13"/>
      <c r="M655" s="13"/>
      <c r="N655" s="15"/>
    </row>
    <row r="656" spans="1:14" x14ac:dyDescent="0.2">
      <c r="A656" s="8"/>
      <c r="B656" s="9"/>
      <c r="C656" s="10"/>
      <c r="D656" s="9"/>
      <c r="E656" s="9"/>
      <c r="F656" s="9"/>
      <c r="G656" s="9"/>
      <c r="H656" s="9"/>
      <c r="I656" s="9"/>
      <c r="J656" s="9"/>
      <c r="K656" s="9"/>
      <c r="L656" s="9"/>
      <c r="M656" s="9"/>
      <c r="N656" s="11"/>
    </row>
    <row r="657" spans="1:14" x14ac:dyDescent="0.2">
      <c r="A657" s="12"/>
      <c r="B657" s="13"/>
      <c r="C657" s="14"/>
      <c r="D657" s="13"/>
      <c r="E657" s="13"/>
      <c r="F657" s="13"/>
      <c r="G657" s="13"/>
      <c r="H657" s="13"/>
      <c r="I657" s="13"/>
      <c r="J657" s="13"/>
      <c r="K657" s="13"/>
      <c r="L657" s="13"/>
      <c r="M657" s="13"/>
      <c r="N657" s="15"/>
    </row>
    <row r="658" spans="1:14" x14ac:dyDescent="0.2">
      <c r="A658" s="8"/>
      <c r="B658" s="9"/>
      <c r="C658" s="10"/>
      <c r="D658" s="9"/>
      <c r="E658" s="9"/>
      <c r="F658" s="9"/>
      <c r="G658" s="9"/>
      <c r="H658" s="9"/>
      <c r="I658" s="9"/>
      <c r="J658" s="9"/>
      <c r="K658" s="9"/>
      <c r="L658" s="9"/>
      <c r="M658" s="9"/>
      <c r="N658" s="11"/>
    </row>
    <row r="659" spans="1:14" x14ac:dyDescent="0.2">
      <c r="A659" s="12"/>
      <c r="B659" s="13"/>
      <c r="C659" s="14"/>
      <c r="D659" s="13"/>
      <c r="E659" s="13"/>
      <c r="F659" s="13"/>
      <c r="G659" s="13"/>
      <c r="H659" s="13"/>
      <c r="I659" s="13"/>
      <c r="J659" s="13"/>
      <c r="K659" s="13"/>
      <c r="L659" s="13"/>
      <c r="M659" s="13"/>
      <c r="N659" s="15"/>
    </row>
    <row r="660" spans="1:14" x14ac:dyDescent="0.2">
      <c r="A660" s="8"/>
      <c r="B660" s="9"/>
      <c r="C660" s="10"/>
      <c r="D660" s="9"/>
      <c r="E660" s="9"/>
      <c r="F660" s="9"/>
      <c r="G660" s="9"/>
      <c r="H660" s="9"/>
      <c r="I660" s="9"/>
      <c r="J660" s="9"/>
      <c r="K660" s="9"/>
      <c r="L660" s="9"/>
      <c r="M660" s="9"/>
      <c r="N660" s="11"/>
    </row>
    <row r="661" spans="1:14" x14ac:dyDescent="0.2">
      <c r="A661" s="12"/>
      <c r="B661" s="13"/>
      <c r="C661" s="14"/>
      <c r="D661" s="13"/>
      <c r="E661" s="13"/>
      <c r="F661" s="13"/>
      <c r="G661" s="13"/>
      <c r="H661" s="13"/>
      <c r="I661" s="13"/>
      <c r="J661" s="13"/>
      <c r="K661" s="13"/>
      <c r="L661" s="13"/>
      <c r="M661" s="13"/>
      <c r="N661" s="15"/>
    </row>
    <row r="662" spans="1:14" x14ac:dyDescent="0.2">
      <c r="A662" s="8"/>
      <c r="B662" s="9"/>
      <c r="C662" s="10"/>
      <c r="D662" s="9"/>
      <c r="E662" s="9"/>
      <c r="F662" s="9"/>
      <c r="G662" s="9"/>
      <c r="H662" s="9"/>
      <c r="I662" s="9"/>
      <c r="J662" s="9"/>
      <c r="K662" s="9"/>
      <c r="L662" s="9"/>
      <c r="M662" s="9"/>
      <c r="N662" s="11"/>
    </row>
    <row r="663" spans="1:14" x14ac:dyDescent="0.2">
      <c r="A663" s="12"/>
      <c r="B663" s="13"/>
      <c r="C663" s="14"/>
      <c r="D663" s="13"/>
      <c r="E663" s="13"/>
      <c r="F663" s="13"/>
      <c r="G663" s="13"/>
      <c r="H663" s="13"/>
      <c r="I663" s="13"/>
      <c r="J663" s="13"/>
      <c r="K663" s="13"/>
      <c r="L663" s="13"/>
      <c r="M663" s="13"/>
      <c r="N663" s="15"/>
    </row>
    <row r="664" spans="1:14" x14ac:dyDescent="0.2">
      <c r="A664" s="8"/>
      <c r="B664" s="9"/>
      <c r="C664" s="10"/>
      <c r="D664" s="9"/>
      <c r="E664" s="9"/>
      <c r="F664" s="9"/>
      <c r="G664" s="9"/>
      <c r="H664" s="9"/>
      <c r="I664" s="9"/>
      <c r="J664" s="9"/>
      <c r="K664" s="9"/>
      <c r="L664" s="9"/>
      <c r="M664" s="9"/>
      <c r="N664" s="11"/>
    </row>
    <row r="665" spans="1:14" x14ac:dyDescent="0.2">
      <c r="A665" s="12"/>
      <c r="B665" s="13"/>
      <c r="C665" s="14"/>
      <c r="D665" s="13"/>
      <c r="E665" s="13"/>
      <c r="F665" s="13"/>
      <c r="G665" s="13"/>
      <c r="H665" s="13"/>
      <c r="I665" s="13"/>
      <c r="J665" s="13"/>
      <c r="K665" s="13"/>
      <c r="L665" s="13"/>
      <c r="M665" s="13"/>
      <c r="N665" s="15"/>
    </row>
    <row r="666" spans="1:14" x14ac:dyDescent="0.2">
      <c r="A666" s="8"/>
      <c r="B666" s="9"/>
      <c r="C666" s="10"/>
      <c r="D666" s="9"/>
      <c r="E666" s="9"/>
      <c r="F666" s="9"/>
      <c r="G666" s="9"/>
      <c r="H666" s="9"/>
      <c r="I666" s="9"/>
      <c r="J666" s="9"/>
      <c r="K666" s="9"/>
      <c r="L666" s="9"/>
      <c r="M666" s="9"/>
      <c r="N666" s="11"/>
    </row>
    <row r="667" spans="1:14" x14ac:dyDescent="0.2">
      <c r="A667" s="12"/>
      <c r="B667" s="13"/>
      <c r="C667" s="14"/>
      <c r="D667" s="13"/>
      <c r="E667" s="13"/>
      <c r="F667" s="13"/>
      <c r="G667" s="13"/>
      <c r="H667" s="13"/>
      <c r="I667" s="13"/>
      <c r="J667" s="13"/>
      <c r="K667" s="13"/>
      <c r="L667" s="13"/>
      <c r="M667" s="13"/>
      <c r="N667" s="15"/>
    </row>
    <row r="668" spans="1:14" x14ac:dyDescent="0.2">
      <c r="A668" s="8"/>
      <c r="B668" s="9"/>
      <c r="C668" s="10"/>
      <c r="D668" s="9"/>
      <c r="E668" s="9"/>
      <c r="F668" s="9"/>
      <c r="G668" s="9"/>
      <c r="H668" s="9"/>
      <c r="I668" s="9"/>
      <c r="J668" s="9"/>
      <c r="K668" s="9"/>
      <c r="L668" s="9"/>
      <c r="M668" s="9"/>
      <c r="N668" s="11"/>
    </row>
    <row r="669" spans="1:14" x14ac:dyDescent="0.2">
      <c r="A669" s="12"/>
      <c r="B669" s="13"/>
      <c r="C669" s="14"/>
      <c r="D669" s="13"/>
      <c r="E669" s="13"/>
      <c r="F669" s="13"/>
      <c r="G669" s="13"/>
      <c r="H669" s="13"/>
      <c r="I669" s="13"/>
      <c r="J669" s="13"/>
      <c r="K669" s="13"/>
      <c r="L669" s="13"/>
      <c r="M669" s="13"/>
      <c r="N669" s="15"/>
    </row>
    <row r="670" spans="1:14" x14ac:dyDescent="0.2">
      <c r="A670" s="8"/>
      <c r="B670" s="9"/>
      <c r="C670" s="10"/>
      <c r="D670" s="9"/>
      <c r="E670" s="9"/>
      <c r="F670" s="9"/>
      <c r="G670" s="9"/>
      <c r="H670" s="9"/>
      <c r="I670" s="9"/>
      <c r="J670" s="9"/>
      <c r="K670" s="9"/>
      <c r="L670" s="9"/>
      <c r="M670" s="9"/>
      <c r="N670" s="11"/>
    </row>
    <row r="671" spans="1:14" x14ac:dyDescent="0.2">
      <c r="A671" s="12"/>
      <c r="B671" s="13"/>
      <c r="C671" s="14"/>
      <c r="D671" s="13"/>
      <c r="E671" s="13"/>
      <c r="F671" s="13"/>
      <c r="G671" s="13"/>
      <c r="H671" s="13"/>
      <c r="I671" s="13"/>
      <c r="J671" s="13"/>
      <c r="K671" s="13"/>
      <c r="L671" s="13"/>
      <c r="M671" s="13"/>
      <c r="N671" s="15"/>
    </row>
    <row r="672" spans="1:14" x14ac:dyDescent="0.2">
      <c r="A672" s="8"/>
      <c r="B672" s="9"/>
      <c r="C672" s="10"/>
      <c r="D672" s="9"/>
      <c r="E672" s="9"/>
      <c r="F672" s="9"/>
      <c r="G672" s="9"/>
      <c r="H672" s="9"/>
      <c r="I672" s="9"/>
      <c r="J672" s="9"/>
      <c r="K672" s="9"/>
      <c r="L672" s="9"/>
      <c r="M672" s="9"/>
      <c r="N672" s="11"/>
    </row>
    <row r="673" spans="1:14" x14ac:dyDescent="0.2">
      <c r="A673" s="12"/>
      <c r="B673" s="13"/>
      <c r="C673" s="14"/>
      <c r="D673" s="13"/>
      <c r="E673" s="13"/>
      <c r="F673" s="13"/>
      <c r="G673" s="13"/>
      <c r="H673" s="13"/>
      <c r="I673" s="13"/>
      <c r="J673" s="13"/>
      <c r="K673" s="13"/>
      <c r="L673" s="13"/>
      <c r="M673" s="13"/>
      <c r="N673" s="15"/>
    </row>
    <row r="674" spans="1:14" x14ac:dyDescent="0.2">
      <c r="A674" s="8"/>
      <c r="B674" s="9"/>
      <c r="C674" s="10"/>
      <c r="D674" s="9"/>
      <c r="E674" s="9"/>
      <c r="F674" s="9"/>
      <c r="G674" s="9"/>
      <c r="H674" s="9"/>
      <c r="I674" s="9"/>
      <c r="J674" s="9"/>
      <c r="K674" s="9"/>
      <c r="L674" s="9"/>
      <c r="M674" s="9"/>
      <c r="N674" s="11"/>
    </row>
    <row r="675" spans="1:14" x14ac:dyDescent="0.2">
      <c r="A675" s="12"/>
      <c r="B675" s="13"/>
      <c r="C675" s="14"/>
      <c r="D675" s="13"/>
      <c r="E675" s="13"/>
      <c r="F675" s="13"/>
      <c r="G675" s="13"/>
      <c r="H675" s="13"/>
      <c r="I675" s="13"/>
      <c r="J675" s="13"/>
      <c r="K675" s="13"/>
      <c r="L675" s="13"/>
      <c r="M675" s="13"/>
      <c r="N675" s="15"/>
    </row>
    <row r="676" spans="1:14" x14ac:dyDescent="0.2">
      <c r="A676" s="8"/>
      <c r="B676" s="9"/>
      <c r="C676" s="10"/>
      <c r="D676" s="9"/>
      <c r="E676" s="9"/>
      <c r="F676" s="9"/>
      <c r="G676" s="9"/>
      <c r="H676" s="9"/>
      <c r="I676" s="9"/>
      <c r="J676" s="9"/>
      <c r="K676" s="9"/>
      <c r="L676" s="9"/>
      <c r="M676" s="9"/>
      <c r="N676" s="11"/>
    </row>
    <row r="677" spans="1:14" x14ac:dyDescent="0.2">
      <c r="A677" s="12"/>
      <c r="B677" s="13"/>
      <c r="C677" s="14"/>
      <c r="D677" s="13"/>
      <c r="E677" s="13"/>
      <c r="F677" s="13"/>
      <c r="G677" s="13"/>
      <c r="H677" s="13"/>
      <c r="I677" s="13"/>
      <c r="J677" s="13"/>
      <c r="K677" s="13"/>
      <c r="L677" s="13"/>
      <c r="M677" s="13"/>
      <c r="N677" s="15"/>
    </row>
    <row r="678" spans="1:14" x14ac:dyDescent="0.2">
      <c r="A678" s="8"/>
      <c r="B678" s="9"/>
      <c r="C678" s="10"/>
      <c r="D678" s="9"/>
      <c r="E678" s="9"/>
      <c r="F678" s="9"/>
      <c r="G678" s="9"/>
      <c r="H678" s="9"/>
      <c r="I678" s="9"/>
      <c r="J678" s="9"/>
      <c r="K678" s="9"/>
      <c r="L678" s="9"/>
      <c r="M678" s="9"/>
      <c r="N678" s="11"/>
    </row>
    <row r="679" spans="1:14" x14ac:dyDescent="0.2">
      <c r="A679" s="12"/>
      <c r="B679" s="13"/>
      <c r="C679" s="14"/>
      <c r="D679" s="13"/>
      <c r="E679" s="13"/>
      <c r="F679" s="13"/>
      <c r="G679" s="13"/>
      <c r="H679" s="13"/>
      <c r="I679" s="13"/>
      <c r="J679" s="13"/>
      <c r="K679" s="13"/>
      <c r="L679" s="13"/>
      <c r="M679" s="13"/>
      <c r="N679" s="15"/>
    </row>
    <row r="680" spans="1:14" x14ac:dyDescent="0.2">
      <c r="A680" s="8"/>
      <c r="B680" s="9"/>
      <c r="C680" s="10"/>
      <c r="D680" s="9"/>
      <c r="E680" s="9"/>
      <c r="F680" s="9"/>
      <c r="G680" s="9"/>
      <c r="H680" s="9"/>
      <c r="I680" s="9"/>
      <c r="J680" s="9"/>
      <c r="K680" s="9"/>
      <c r="L680" s="9"/>
      <c r="M680" s="9"/>
      <c r="N680" s="11"/>
    </row>
    <row r="681" spans="1:14" x14ac:dyDescent="0.2">
      <c r="A681" s="12"/>
      <c r="B681" s="13"/>
      <c r="C681" s="14"/>
      <c r="D681" s="13"/>
      <c r="E681" s="13"/>
      <c r="F681" s="13"/>
      <c r="G681" s="13"/>
      <c r="H681" s="13"/>
      <c r="I681" s="13"/>
      <c r="J681" s="13"/>
      <c r="K681" s="13"/>
      <c r="L681" s="13"/>
      <c r="M681" s="13"/>
      <c r="N681" s="15"/>
    </row>
    <row r="682" spans="1:14" x14ac:dyDescent="0.2">
      <c r="A682" s="8"/>
      <c r="B682" s="9"/>
      <c r="C682" s="10"/>
      <c r="D682" s="9"/>
      <c r="E682" s="9"/>
      <c r="F682" s="9"/>
      <c r="G682" s="9"/>
      <c r="H682" s="9"/>
      <c r="I682" s="9"/>
      <c r="J682" s="9"/>
      <c r="K682" s="9"/>
      <c r="L682" s="9"/>
      <c r="M682" s="9"/>
      <c r="N682" s="11"/>
    </row>
    <row r="683" spans="1:14" x14ac:dyDescent="0.2">
      <c r="A683" s="12"/>
      <c r="B683" s="13"/>
      <c r="C683" s="14"/>
      <c r="D683" s="13"/>
      <c r="E683" s="13"/>
      <c r="F683" s="13"/>
      <c r="G683" s="13"/>
      <c r="H683" s="13"/>
      <c r="I683" s="13"/>
      <c r="J683" s="13"/>
      <c r="K683" s="13"/>
      <c r="L683" s="13"/>
      <c r="M683" s="13"/>
      <c r="N683" s="15"/>
    </row>
    <row r="684" spans="1:14" x14ac:dyDescent="0.2">
      <c r="A684" s="8"/>
      <c r="B684" s="9"/>
      <c r="C684" s="10"/>
      <c r="D684" s="9"/>
      <c r="E684" s="9"/>
      <c r="F684" s="9"/>
      <c r="G684" s="9"/>
      <c r="H684" s="9"/>
      <c r="I684" s="9"/>
      <c r="J684" s="9"/>
      <c r="K684" s="9"/>
      <c r="L684" s="9"/>
      <c r="M684" s="9"/>
      <c r="N684" s="11"/>
    </row>
    <row r="685" spans="1:14" x14ac:dyDescent="0.2">
      <c r="A685" s="12"/>
      <c r="B685" s="13"/>
      <c r="C685" s="14"/>
      <c r="D685" s="13"/>
      <c r="E685" s="13"/>
      <c r="F685" s="13"/>
      <c r="G685" s="13"/>
      <c r="H685" s="13"/>
      <c r="I685" s="13"/>
      <c r="J685" s="13"/>
      <c r="K685" s="13"/>
      <c r="L685" s="13"/>
      <c r="M685" s="13"/>
      <c r="N685" s="15"/>
    </row>
    <row r="686" spans="1:14" x14ac:dyDescent="0.2">
      <c r="A686" s="8"/>
      <c r="B686" s="9"/>
      <c r="C686" s="10"/>
      <c r="D686" s="9"/>
      <c r="E686" s="9"/>
      <c r="F686" s="9"/>
      <c r="G686" s="9"/>
      <c r="H686" s="9"/>
      <c r="I686" s="9"/>
      <c r="J686" s="9"/>
      <c r="K686" s="9"/>
      <c r="L686" s="9"/>
      <c r="M686" s="9"/>
      <c r="N686" s="11"/>
    </row>
    <row r="687" spans="1:14" x14ac:dyDescent="0.2">
      <c r="A687" s="12"/>
      <c r="B687" s="13"/>
      <c r="C687" s="14"/>
      <c r="D687" s="13"/>
      <c r="E687" s="13"/>
      <c r="F687" s="13"/>
      <c r="G687" s="13"/>
      <c r="H687" s="13"/>
      <c r="I687" s="13"/>
      <c r="J687" s="13"/>
      <c r="K687" s="13"/>
      <c r="L687" s="13"/>
      <c r="M687" s="13"/>
      <c r="N687" s="15"/>
    </row>
    <row r="688" spans="1:14" x14ac:dyDescent="0.2">
      <c r="A688" s="8"/>
      <c r="B688" s="9"/>
      <c r="C688" s="10"/>
      <c r="D688" s="9"/>
      <c r="E688" s="9"/>
      <c r="F688" s="9"/>
      <c r="G688" s="9"/>
      <c r="H688" s="9"/>
      <c r="I688" s="9"/>
      <c r="J688" s="9"/>
      <c r="K688" s="9"/>
      <c r="L688" s="9"/>
      <c r="M688" s="9"/>
      <c r="N688" s="11"/>
    </row>
    <row r="689" spans="1:14" x14ac:dyDescent="0.2">
      <c r="A689" s="12"/>
      <c r="B689" s="13"/>
      <c r="C689" s="14"/>
      <c r="D689" s="13"/>
      <c r="E689" s="13"/>
      <c r="F689" s="13"/>
      <c r="G689" s="13"/>
      <c r="H689" s="13"/>
      <c r="I689" s="13"/>
      <c r="J689" s="13"/>
      <c r="K689" s="13"/>
      <c r="L689" s="13"/>
      <c r="M689" s="13"/>
      <c r="N689" s="15"/>
    </row>
    <row r="690" spans="1:14" x14ac:dyDescent="0.2">
      <c r="A690" s="8"/>
      <c r="B690" s="9"/>
      <c r="C690" s="10"/>
      <c r="D690" s="9"/>
      <c r="E690" s="9"/>
      <c r="F690" s="9"/>
      <c r="G690" s="9"/>
      <c r="H690" s="9"/>
      <c r="I690" s="9"/>
      <c r="J690" s="9"/>
      <c r="K690" s="9"/>
      <c r="L690" s="9"/>
      <c r="M690" s="9"/>
      <c r="N690" s="11"/>
    </row>
    <row r="691" spans="1:14" x14ac:dyDescent="0.2">
      <c r="A691" s="12"/>
      <c r="B691" s="13"/>
      <c r="C691" s="14"/>
      <c r="D691" s="13"/>
      <c r="E691" s="13"/>
      <c r="F691" s="13"/>
      <c r="G691" s="13"/>
      <c r="H691" s="13"/>
      <c r="I691" s="13"/>
      <c r="J691" s="13"/>
      <c r="K691" s="13"/>
      <c r="L691" s="13"/>
      <c r="M691" s="13"/>
      <c r="N691" s="15"/>
    </row>
    <row r="692" spans="1:14" x14ac:dyDescent="0.2">
      <c r="A692" s="8"/>
      <c r="B692" s="9"/>
      <c r="C692" s="10"/>
      <c r="D692" s="9"/>
      <c r="E692" s="9"/>
      <c r="F692" s="9"/>
      <c r="G692" s="9"/>
      <c r="H692" s="9"/>
      <c r="I692" s="9"/>
      <c r="J692" s="9"/>
      <c r="K692" s="9"/>
      <c r="L692" s="9"/>
      <c r="M692" s="9"/>
      <c r="N692" s="11"/>
    </row>
    <row r="693" spans="1:14" x14ac:dyDescent="0.2">
      <c r="A693" s="12"/>
      <c r="B693" s="13"/>
      <c r="C693" s="14"/>
      <c r="D693" s="13"/>
      <c r="E693" s="13"/>
      <c r="F693" s="13"/>
      <c r="G693" s="13"/>
      <c r="H693" s="13"/>
      <c r="I693" s="13"/>
      <c r="J693" s="13"/>
      <c r="K693" s="13"/>
      <c r="L693" s="13"/>
      <c r="M693" s="13"/>
      <c r="N693" s="15"/>
    </row>
    <row r="694" spans="1:14" x14ac:dyDescent="0.2">
      <c r="A694" s="8"/>
      <c r="B694" s="9"/>
      <c r="C694" s="10"/>
      <c r="D694" s="9"/>
      <c r="E694" s="9"/>
      <c r="F694" s="9"/>
      <c r="G694" s="9"/>
      <c r="H694" s="9"/>
      <c r="I694" s="9"/>
      <c r="J694" s="9"/>
      <c r="K694" s="9"/>
      <c r="L694" s="9"/>
      <c r="M694" s="9"/>
      <c r="N694" s="11"/>
    </row>
    <row r="695" spans="1:14" x14ac:dyDescent="0.2">
      <c r="A695" s="12"/>
      <c r="B695" s="13"/>
      <c r="C695" s="14"/>
      <c r="D695" s="13"/>
      <c r="E695" s="13"/>
      <c r="F695" s="13"/>
      <c r="G695" s="13"/>
      <c r="H695" s="13"/>
      <c r="I695" s="13"/>
      <c r="J695" s="13"/>
      <c r="K695" s="13"/>
      <c r="L695" s="13"/>
      <c r="M695" s="13"/>
      <c r="N695" s="15"/>
    </row>
    <row r="696" spans="1:14" x14ac:dyDescent="0.2">
      <c r="A696" s="8"/>
      <c r="B696" s="9"/>
      <c r="C696" s="10"/>
      <c r="D696" s="9"/>
      <c r="E696" s="9"/>
      <c r="F696" s="9"/>
      <c r="G696" s="9"/>
      <c r="H696" s="9"/>
      <c r="I696" s="9"/>
      <c r="J696" s="9"/>
      <c r="K696" s="9"/>
      <c r="L696" s="9"/>
      <c r="M696" s="9"/>
      <c r="N696" s="11"/>
    </row>
    <row r="697" spans="1:14" x14ac:dyDescent="0.2">
      <c r="A697" s="12"/>
      <c r="B697" s="13"/>
      <c r="C697" s="14"/>
      <c r="D697" s="13"/>
      <c r="E697" s="13"/>
      <c r="F697" s="13"/>
      <c r="G697" s="13"/>
      <c r="H697" s="13"/>
      <c r="I697" s="13"/>
      <c r="J697" s="13"/>
      <c r="K697" s="13"/>
      <c r="L697" s="13"/>
      <c r="M697" s="13"/>
      <c r="N697" s="15"/>
    </row>
    <row r="698" spans="1:14" x14ac:dyDescent="0.2">
      <c r="A698" s="8"/>
      <c r="B698" s="9"/>
      <c r="C698" s="10"/>
      <c r="D698" s="9"/>
      <c r="E698" s="9"/>
      <c r="F698" s="9"/>
      <c r="G698" s="9"/>
      <c r="H698" s="9"/>
      <c r="I698" s="9"/>
      <c r="J698" s="9"/>
      <c r="K698" s="9"/>
      <c r="L698" s="9"/>
      <c r="M698" s="9"/>
      <c r="N698" s="11"/>
    </row>
    <row r="699" spans="1:14" x14ac:dyDescent="0.2">
      <c r="A699" s="12"/>
      <c r="B699" s="13"/>
      <c r="C699" s="14"/>
      <c r="D699" s="13"/>
      <c r="E699" s="13"/>
      <c r="F699" s="13"/>
      <c r="G699" s="13"/>
      <c r="H699" s="13"/>
      <c r="I699" s="13"/>
      <c r="J699" s="13"/>
      <c r="K699" s="13"/>
      <c r="L699" s="13"/>
      <c r="M699" s="13"/>
      <c r="N699" s="15"/>
    </row>
    <row r="700" spans="1:14" x14ac:dyDescent="0.2">
      <c r="A700" s="8"/>
      <c r="B700" s="9"/>
      <c r="C700" s="10"/>
      <c r="D700" s="9"/>
      <c r="E700" s="9"/>
      <c r="F700" s="9"/>
      <c r="G700" s="9"/>
      <c r="H700" s="9"/>
      <c r="I700" s="9"/>
      <c r="J700" s="9"/>
      <c r="K700" s="9"/>
      <c r="L700" s="9"/>
      <c r="M700" s="9"/>
      <c r="N700" s="11"/>
    </row>
    <row r="701" spans="1:14" x14ac:dyDescent="0.2">
      <c r="A701" s="12"/>
      <c r="B701" s="13"/>
      <c r="C701" s="14"/>
      <c r="D701" s="13"/>
      <c r="E701" s="13"/>
      <c r="F701" s="13"/>
      <c r="G701" s="13"/>
      <c r="H701" s="13"/>
      <c r="I701" s="13"/>
      <c r="J701" s="13"/>
      <c r="K701" s="13"/>
      <c r="L701" s="13"/>
      <c r="M701" s="13"/>
      <c r="N701" s="15"/>
    </row>
    <row r="702" spans="1:14" x14ac:dyDescent="0.2">
      <c r="A702" s="8"/>
      <c r="B702" s="9"/>
      <c r="C702" s="10"/>
      <c r="D702" s="9"/>
      <c r="E702" s="9"/>
      <c r="F702" s="9"/>
      <c r="G702" s="9"/>
      <c r="H702" s="9"/>
      <c r="I702" s="9"/>
      <c r="J702" s="9"/>
      <c r="K702" s="9"/>
      <c r="L702" s="9"/>
      <c r="M702" s="9"/>
      <c r="N702" s="11"/>
    </row>
    <row r="703" spans="1:14" x14ac:dyDescent="0.2">
      <c r="A703" s="12"/>
      <c r="B703" s="13"/>
      <c r="C703" s="14"/>
      <c r="D703" s="13"/>
      <c r="E703" s="13"/>
      <c r="F703" s="13"/>
      <c r="G703" s="13"/>
      <c r="H703" s="13"/>
      <c r="I703" s="13"/>
      <c r="J703" s="13"/>
      <c r="K703" s="13"/>
      <c r="L703" s="13"/>
      <c r="M703" s="13"/>
      <c r="N703" s="15"/>
    </row>
    <row r="704" spans="1:14" x14ac:dyDescent="0.2">
      <c r="A704" s="8"/>
      <c r="B704" s="9"/>
      <c r="C704" s="10"/>
      <c r="D704" s="9"/>
      <c r="E704" s="9"/>
      <c r="F704" s="9"/>
      <c r="G704" s="9"/>
      <c r="H704" s="9"/>
      <c r="I704" s="9"/>
      <c r="J704" s="9"/>
      <c r="K704" s="9"/>
      <c r="L704" s="9"/>
      <c r="M704" s="9"/>
      <c r="N704" s="11"/>
    </row>
    <row r="705" spans="1:14" x14ac:dyDescent="0.2">
      <c r="A705" s="12"/>
      <c r="B705" s="13"/>
      <c r="C705" s="14"/>
      <c r="D705" s="13"/>
      <c r="E705" s="13"/>
      <c r="F705" s="13"/>
      <c r="G705" s="13"/>
      <c r="H705" s="13"/>
      <c r="I705" s="13"/>
      <c r="J705" s="13"/>
      <c r="K705" s="13"/>
      <c r="L705" s="13"/>
      <c r="M705" s="13"/>
      <c r="N705" s="15"/>
    </row>
    <row r="706" spans="1:14" x14ac:dyDescent="0.2">
      <c r="A706" s="8"/>
      <c r="B706" s="9"/>
      <c r="C706" s="10"/>
      <c r="D706" s="9"/>
      <c r="E706" s="9"/>
      <c r="F706" s="9"/>
      <c r="G706" s="9"/>
      <c r="H706" s="9"/>
      <c r="I706" s="9"/>
      <c r="J706" s="9"/>
      <c r="K706" s="9"/>
      <c r="L706" s="9"/>
      <c r="M706" s="9"/>
      <c r="N706" s="11"/>
    </row>
    <row r="707" spans="1:14" x14ac:dyDescent="0.2">
      <c r="A707" s="12"/>
      <c r="B707" s="13"/>
      <c r="C707" s="14"/>
      <c r="D707" s="13"/>
      <c r="E707" s="13"/>
      <c r="F707" s="13"/>
      <c r="G707" s="13"/>
      <c r="H707" s="13"/>
      <c r="I707" s="13"/>
      <c r="J707" s="13"/>
      <c r="K707" s="13"/>
      <c r="L707" s="13"/>
      <c r="M707" s="13"/>
      <c r="N707" s="15"/>
    </row>
    <row r="708" spans="1:14" x14ac:dyDescent="0.2">
      <c r="A708" s="8"/>
      <c r="B708" s="9"/>
      <c r="C708" s="10"/>
      <c r="D708" s="9"/>
      <c r="E708" s="9"/>
      <c r="F708" s="9"/>
      <c r="G708" s="9"/>
      <c r="H708" s="9"/>
      <c r="I708" s="9"/>
      <c r="J708" s="9"/>
      <c r="K708" s="9"/>
      <c r="L708" s="9"/>
      <c r="M708" s="9"/>
      <c r="N708" s="11"/>
    </row>
    <row r="709" spans="1:14" x14ac:dyDescent="0.2">
      <c r="A709" s="12"/>
      <c r="B709" s="13"/>
      <c r="C709" s="14"/>
      <c r="D709" s="13"/>
      <c r="E709" s="13"/>
      <c r="F709" s="13"/>
      <c r="G709" s="13"/>
      <c r="H709" s="13"/>
      <c r="I709" s="13"/>
      <c r="J709" s="13"/>
      <c r="K709" s="13"/>
      <c r="L709" s="13"/>
      <c r="M709" s="13"/>
      <c r="N709" s="15"/>
    </row>
    <row r="710" spans="1:14" x14ac:dyDescent="0.2">
      <c r="A710" s="8"/>
      <c r="B710" s="9"/>
      <c r="C710" s="10"/>
      <c r="D710" s="9"/>
      <c r="E710" s="9"/>
      <c r="F710" s="9"/>
      <c r="G710" s="9"/>
      <c r="H710" s="9"/>
      <c r="I710" s="9"/>
      <c r="J710" s="9"/>
      <c r="K710" s="9"/>
      <c r="L710" s="9"/>
      <c r="M710" s="9"/>
      <c r="N710" s="11"/>
    </row>
    <row r="711" spans="1:14" x14ac:dyDescent="0.2">
      <c r="A711" s="12"/>
      <c r="B711" s="13"/>
      <c r="C711" s="14"/>
      <c r="D711" s="13"/>
      <c r="E711" s="13"/>
      <c r="F711" s="13"/>
      <c r="G711" s="13"/>
      <c r="H711" s="13"/>
      <c r="I711" s="13"/>
      <c r="J711" s="13"/>
      <c r="K711" s="13"/>
      <c r="L711" s="13"/>
      <c r="M711" s="13"/>
      <c r="N711" s="15"/>
    </row>
    <row r="712" spans="1:14" x14ac:dyDescent="0.2">
      <c r="A712" s="8"/>
      <c r="B712" s="9"/>
      <c r="C712" s="10"/>
      <c r="D712" s="9"/>
      <c r="E712" s="9"/>
      <c r="F712" s="9"/>
      <c r="G712" s="9"/>
      <c r="H712" s="9"/>
      <c r="I712" s="9"/>
      <c r="J712" s="9"/>
      <c r="K712" s="9"/>
      <c r="L712" s="9"/>
      <c r="M712" s="9"/>
      <c r="N712" s="11"/>
    </row>
    <row r="713" spans="1:14" x14ac:dyDescent="0.2">
      <c r="A713" s="12"/>
      <c r="B713" s="13"/>
      <c r="C713" s="14"/>
      <c r="D713" s="13"/>
      <c r="E713" s="13"/>
      <c r="F713" s="13"/>
      <c r="G713" s="13"/>
      <c r="H713" s="13"/>
      <c r="I713" s="13"/>
      <c r="J713" s="13"/>
      <c r="K713" s="13"/>
      <c r="L713" s="13"/>
      <c r="M713" s="13"/>
      <c r="N713" s="15"/>
    </row>
    <row r="714" spans="1:14" x14ac:dyDescent="0.2">
      <c r="A714" s="8"/>
      <c r="B714" s="9"/>
      <c r="C714" s="10"/>
      <c r="D714" s="9"/>
      <c r="E714" s="9"/>
      <c r="F714" s="9"/>
      <c r="G714" s="9"/>
      <c r="H714" s="9"/>
      <c r="I714" s="9"/>
      <c r="J714" s="9"/>
      <c r="K714" s="9"/>
      <c r="L714" s="9"/>
      <c r="M714" s="9"/>
      <c r="N714" s="11"/>
    </row>
    <row r="715" spans="1:14" x14ac:dyDescent="0.2">
      <c r="A715" s="12"/>
      <c r="B715" s="13"/>
      <c r="C715" s="14"/>
      <c r="D715" s="13"/>
      <c r="E715" s="13"/>
      <c r="F715" s="13"/>
      <c r="G715" s="13"/>
      <c r="H715" s="13"/>
      <c r="I715" s="13"/>
      <c r="J715" s="13"/>
      <c r="K715" s="13"/>
      <c r="L715" s="13"/>
      <c r="M715" s="13"/>
      <c r="N715" s="15"/>
    </row>
    <row r="716" spans="1:14" x14ac:dyDescent="0.2">
      <c r="A716" s="8"/>
      <c r="B716" s="9"/>
      <c r="C716" s="10"/>
      <c r="D716" s="9"/>
      <c r="E716" s="9"/>
      <c r="F716" s="9"/>
      <c r="G716" s="9"/>
      <c r="H716" s="9"/>
      <c r="I716" s="9"/>
      <c r="J716" s="9"/>
      <c r="K716" s="9"/>
      <c r="L716" s="9"/>
      <c r="M716" s="9"/>
      <c r="N716" s="11"/>
    </row>
    <row r="717" spans="1:14" x14ac:dyDescent="0.2">
      <c r="A717" s="12"/>
      <c r="B717" s="13"/>
      <c r="C717" s="14"/>
      <c r="D717" s="13"/>
      <c r="E717" s="13"/>
      <c r="F717" s="13"/>
      <c r="G717" s="13"/>
      <c r="H717" s="13"/>
      <c r="I717" s="13"/>
      <c r="J717" s="13"/>
      <c r="K717" s="13"/>
      <c r="L717" s="13"/>
      <c r="M717" s="13"/>
      <c r="N717" s="15"/>
    </row>
    <row r="718" spans="1:14" x14ac:dyDescent="0.2">
      <c r="A718" s="8"/>
      <c r="B718" s="9"/>
      <c r="C718" s="10"/>
      <c r="D718" s="9"/>
      <c r="E718" s="9"/>
      <c r="F718" s="9"/>
      <c r="G718" s="9"/>
      <c r="H718" s="9"/>
      <c r="I718" s="9"/>
      <c r="J718" s="9"/>
      <c r="K718" s="9"/>
      <c r="L718" s="9"/>
      <c r="M718" s="9"/>
      <c r="N718" s="11"/>
    </row>
    <row r="719" spans="1:14" x14ac:dyDescent="0.2">
      <c r="A719" s="12"/>
      <c r="B719" s="13"/>
      <c r="C719" s="14"/>
      <c r="D719" s="13"/>
      <c r="E719" s="13"/>
      <c r="F719" s="13"/>
      <c r="G719" s="13"/>
      <c r="H719" s="13"/>
      <c r="I719" s="13"/>
      <c r="J719" s="13"/>
      <c r="K719" s="13"/>
      <c r="L719" s="13"/>
      <c r="M719" s="13"/>
      <c r="N719" s="15"/>
    </row>
    <row r="720" spans="1:14" x14ac:dyDescent="0.2">
      <c r="A720" s="8"/>
      <c r="B720" s="9"/>
      <c r="C720" s="10"/>
      <c r="D720" s="9"/>
      <c r="E720" s="9"/>
      <c r="F720" s="9"/>
      <c r="G720" s="9"/>
      <c r="H720" s="9"/>
      <c r="I720" s="9"/>
      <c r="J720" s="9"/>
      <c r="K720" s="9"/>
      <c r="L720" s="9"/>
      <c r="M720" s="9"/>
      <c r="N720" s="11"/>
    </row>
    <row r="721" spans="1:14" x14ac:dyDescent="0.2">
      <c r="A721" s="12"/>
      <c r="B721" s="13"/>
      <c r="C721" s="14"/>
      <c r="D721" s="13"/>
      <c r="E721" s="13"/>
      <c r="F721" s="13"/>
      <c r="G721" s="13"/>
      <c r="H721" s="13"/>
      <c r="I721" s="13"/>
      <c r="J721" s="13"/>
      <c r="K721" s="13"/>
      <c r="L721" s="13"/>
      <c r="M721" s="13"/>
      <c r="N721" s="15"/>
    </row>
    <row r="722" spans="1:14" x14ac:dyDescent="0.2">
      <c r="A722" s="8"/>
      <c r="B722" s="9"/>
      <c r="C722" s="10"/>
      <c r="D722" s="9"/>
      <c r="E722" s="9"/>
      <c r="F722" s="9"/>
      <c r="G722" s="9"/>
      <c r="H722" s="9"/>
      <c r="I722" s="9"/>
      <c r="J722" s="9"/>
      <c r="K722" s="9"/>
      <c r="L722" s="9"/>
      <c r="M722" s="9"/>
      <c r="N722" s="11"/>
    </row>
    <row r="723" spans="1:14" x14ac:dyDescent="0.2">
      <c r="A723" s="12"/>
      <c r="B723" s="13"/>
      <c r="C723" s="14"/>
      <c r="D723" s="13"/>
      <c r="E723" s="13"/>
      <c r="F723" s="13"/>
      <c r="G723" s="13"/>
      <c r="H723" s="13"/>
      <c r="I723" s="13"/>
      <c r="J723" s="13"/>
      <c r="K723" s="13"/>
      <c r="L723" s="13"/>
      <c r="M723" s="13"/>
      <c r="N723" s="15"/>
    </row>
    <row r="724" spans="1:14" x14ac:dyDescent="0.2">
      <c r="A724" s="8"/>
      <c r="B724" s="9"/>
      <c r="C724" s="10"/>
      <c r="D724" s="9"/>
      <c r="E724" s="9"/>
      <c r="F724" s="9"/>
      <c r="G724" s="9"/>
      <c r="H724" s="9"/>
      <c r="I724" s="9"/>
      <c r="J724" s="9"/>
      <c r="K724" s="9"/>
      <c r="L724" s="9"/>
      <c r="M724" s="9"/>
      <c r="N724" s="11"/>
    </row>
    <row r="725" spans="1:14" x14ac:dyDescent="0.2">
      <c r="A725" s="12"/>
      <c r="B725" s="13"/>
      <c r="C725" s="14"/>
      <c r="D725" s="13"/>
      <c r="E725" s="13"/>
      <c r="F725" s="13"/>
      <c r="G725" s="13"/>
      <c r="H725" s="13"/>
      <c r="I725" s="13"/>
      <c r="J725" s="13"/>
      <c r="K725" s="13"/>
      <c r="L725" s="13"/>
      <c r="M725" s="13"/>
      <c r="N725" s="15"/>
    </row>
    <row r="726" spans="1:14" x14ac:dyDescent="0.2">
      <c r="A726" s="8"/>
      <c r="B726" s="9"/>
      <c r="C726" s="10"/>
      <c r="D726" s="9"/>
      <c r="E726" s="9"/>
      <c r="F726" s="9"/>
      <c r="G726" s="9"/>
      <c r="H726" s="9"/>
      <c r="I726" s="9"/>
      <c r="J726" s="9"/>
      <c r="K726" s="9"/>
      <c r="L726" s="9"/>
      <c r="M726" s="9"/>
      <c r="N726" s="11"/>
    </row>
    <row r="727" spans="1:14" x14ac:dyDescent="0.2">
      <c r="A727" s="12"/>
      <c r="B727" s="13"/>
      <c r="C727" s="14"/>
      <c r="D727" s="13"/>
      <c r="E727" s="13"/>
      <c r="F727" s="13"/>
      <c r="G727" s="13"/>
      <c r="H727" s="13"/>
      <c r="I727" s="13"/>
      <c r="J727" s="13"/>
      <c r="K727" s="13"/>
      <c r="L727" s="13"/>
      <c r="M727" s="13"/>
      <c r="N727" s="15"/>
    </row>
    <row r="728" spans="1:14" x14ac:dyDescent="0.2">
      <c r="A728" s="8"/>
      <c r="B728" s="9"/>
      <c r="C728" s="10"/>
      <c r="D728" s="9"/>
      <c r="E728" s="9"/>
      <c r="F728" s="9"/>
      <c r="G728" s="9"/>
      <c r="H728" s="9"/>
      <c r="I728" s="9"/>
      <c r="J728" s="9"/>
      <c r="K728" s="9"/>
      <c r="L728" s="9"/>
      <c r="M728" s="9"/>
      <c r="N728" s="11"/>
    </row>
    <row r="729" spans="1:14" x14ac:dyDescent="0.2">
      <c r="A729" s="12"/>
      <c r="B729" s="13"/>
      <c r="C729" s="14"/>
      <c r="D729" s="13"/>
      <c r="E729" s="13"/>
      <c r="F729" s="13"/>
      <c r="G729" s="13"/>
      <c r="H729" s="13"/>
      <c r="I729" s="13"/>
      <c r="J729" s="13"/>
      <c r="K729" s="13"/>
      <c r="L729" s="13"/>
      <c r="M729" s="13"/>
      <c r="N729" s="15"/>
    </row>
    <row r="730" spans="1:14" x14ac:dyDescent="0.2">
      <c r="A730" s="8"/>
      <c r="B730" s="9"/>
      <c r="C730" s="10"/>
      <c r="D730" s="9"/>
      <c r="E730" s="9"/>
      <c r="F730" s="9"/>
      <c r="G730" s="9"/>
      <c r="H730" s="9"/>
      <c r="I730" s="9"/>
      <c r="J730" s="9"/>
      <c r="K730" s="9"/>
      <c r="L730" s="9"/>
      <c r="M730" s="9"/>
      <c r="N730" s="11"/>
    </row>
    <row r="731" spans="1:14" x14ac:dyDescent="0.2">
      <c r="A731" s="12"/>
      <c r="B731" s="13"/>
      <c r="C731" s="14"/>
      <c r="D731" s="13"/>
      <c r="E731" s="13"/>
      <c r="F731" s="13"/>
      <c r="G731" s="13"/>
      <c r="H731" s="13"/>
      <c r="I731" s="13"/>
      <c r="J731" s="13"/>
      <c r="K731" s="13"/>
      <c r="L731" s="13"/>
      <c r="M731" s="13"/>
      <c r="N731" s="15"/>
    </row>
    <row r="732" spans="1:14" x14ac:dyDescent="0.2">
      <c r="A732" s="8"/>
      <c r="B732" s="9"/>
      <c r="C732" s="10"/>
      <c r="D732" s="9"/>
      <c r="E732" s="9"/>
      <c r="F732" s="9"/>
      <c r="G732" s="9"/>
      <c r="H732" s="9"/>
      <c r="I732" s="9"/>
      <c r="J732" s="9"/>
      <c r="K732" s="9"/>
      <c r="L732" s="9"/>
      <c r="M732" s="9"/>
      <c r="N732" s="11"/>
    </row>
    <row r="733" spans="1:14" x14ac:dyDescent="0.2">
      <c r="A733" s="12"/>
      <c r="B733" s="13"/>
      <c r="C733" s="14"/>
      <c r="D733" s="13"/>
      <c r="E733" s="13"/>
      <c r="F733" s="13"/>
      <c r="G733" s="13"/>
      <c r="H733" s="13"/>
      <c r="I733" s="13"/>
      <c r="J733" s="13"/>
      <c r="K733" s="13"/>
      <c r="L733" s="13"/>
      <c r="M733" s="13"/>
      <c r="N733" s="15"/>
    </row>
    <row r="734" spans="1:14" x14ac:dyDescent="0.2">
      <c r="A734" s="8"/>
      <c r="B734" s="9"/>
      <c r="C734" s="10"/>
      <c r="D734" s="9"/>
      <c r="E734" s="9"/>
      <c r="F734" s="9"/>
      <c r="G734" s="9"/>
      <c r="H734" s="9"/>
      <c r="I734" s="9"/>
      <c r="J734" s="9"/>
      <c r="K734" s="9"/>
      <c r="L734" s="9"/>
      <c r="M734" s="9"/>
      <c r="N734" s="11"/>
    </row>
    <row r="735" spans="1:14" x14ac:dyDescent="0.2">
      <c r="A735" s="12"/>
      <c r="B735" s="13"/>
      <c r="C735" s="14"/>
      <c r="D735" s="13"/>
      <c r="E735" s="13"/>
      <c r="F735" s="13"/>
      <c r="G735" s="13"/>
      <c r="H735" s="13"/>
      <c r="I735" s="13"/>
      <c r="J735" s="13"/>
      <c r="K735" s="13"/>
      <c r="L735" s="13"/>
      <c r="M735" s="13"/>
      <c r="N735" s="15"/>
    </row>
    <row r="736" spans="1:14" x14ac:dyDescent="0.2">
      <c r="A736" s="8"/>
      <c r="B736" s="9"/>
      <c r="C736" s="10"/>
      <c r="D736" s="9"/>
      <c r="E736" s="9"/>
      <c r="F736" s="9"/>
      <c r="G736" s="9"/>
      <c r="H736" s="9"/>
      <c r="I736" s="9"/>
      <c r="J736" s="9"/>
      <c r="K736" s="9"/>
      <c r="L736" s="9"/>
      <c r="M736" s="9"/>
      <c r="N736" s="11"/>
    </row>
    <row r="737" spans="1:14" x14ac:dyDescent="0.2">
      <c r="A737" s="12"/>
      <c r="B737" s="13"/>
      <c r="C737" s="14"/>
      <c r="D737" s="13"/>
      <c r="E737" s="13"/>
      <c r="F737" s="13"/>
      <c r="G737" s="13"/>
      <c r="H737" s="13"/>
      <c r="I737" s="13"/>
      <c r="J737" s="13"/>
      <c r="K737" s="13"/>
      <c r="L737" s="13"/>
      <c r="M737" s="13"/>
      <c r="N737" s="15"/>
    </row>
    <row r="738" spans="1:14" x14ac:dyDescent="0.2">
      <c r="A738" s="8"/>
      <c r="B738" s="9"/>
      <c r="C738" s="10"/>
      <c r="D738" s="9"/>
      <c r="E738" s="9"/>
      <c r="F738" s="9"/>
      <c r="G738" s="9"/>
      <c r="H738" s="9"/>
      <c r="I738" s="9"/>
      <c r="J738" s="9"/>
      <c r="K738" s="9"/>
      <c r="L738" s="9"/>
      <c r="M738" s="9"/>
      <c r="N738" s="11"/>
    </row>
    <row r="739" spans="1:14" x14ac:dyDescent="0.2">
      <c r="A739" s="12"/>
      <c r="B739" s="13"/>
      <c r="C739" s="14"/>
      <c r="D739" s="13"/>
      <c r="E739" s="13"/>
      <c r="F739" s="13"/>
      <c r="G739" s="13"/>
      <c r="H739" s="13"/>
      <c r="I739" s="13"/>
      <c r="J739" s="13"/>
      <c r="K739" s="13"/>
      <c r="L739" s="13"/>
      <c r="M739" s="13"/>
      <c r="N739" s="15"/>
    </row>
    <row r="740" spans="1:14" x14ac:dyDescent="0.2">
      <c r="A740" s="8"/>
      <c r="B740" s="9"/>
      <c r="C740" s="10"/>
      <c r="D740" s="9"/>
      <c r="E740" s="9"/>
      <c r="F740" s="9"/>
      <c r="G740" s="9"/>
      <c r="H740" s="9"/>
      <c r="I740" s="9"/>
      <c r="J740" s="9"/>
      <c r="K740" s="9"/>
      <c r="L740" s="9"/>
      <c r="M740" s="9"/>
      <c r="N740" s="11"/>
    </row>
    <row r="741" spans="1:14" x14ac:dyDescent="0.2">
      <c r="A741" s="12"/>
      <c r="B741" s="13"/>
      <c r="C741" s="14"/>
      <c r="D741" s="13"/>
      <c r="E741" s="13"/>
      <c r="F741" s="13"/>
      <c r="G741" s="13"/>
      <c r="H741" s="13"/>
      <c r="I741" s="13"/>
      <c r="J741" s="13"/>
      <c r="K741" s="13"/>
      <c r="L741" s="13"/>
      <c r="M741" s="13"/>
      <c r="N741" s="15"/>
    </row>
    <row r="742" spans="1:14" x14ac:dyDescent="0.2">
      <c r="A742" s="8"/>
      <c r="B742" s="9"/>
      <c r="C742" s="10"/>
      <c r="D742" s="9"/>
      <c r="E742" s="9"/>
      <c r="F742" s="9"/>
      <c r="G742" s="9"/>
      <c r="H742" s="9"/>
      <c r="I742" s="9"/>
      <c r="J742" s="9"/>
      <c r="K742" s="9"/>
      <c r="L742" s="9"/>
      <c r="M742" s="9"/>
      <c r="N742" s="11"/>
    </row>
    <row r="743" spans="1:14" x14ac:dyDescent="0.2">
      <c r="A743" s="12"/>
      <c r="B743" s="13"/>
      <c r="C743" s="14"/>
      <c r="D743" s="13"/>
      <c r="E743" s="13"/>
      <c r="F743" s="13"/>
      <c r="G743" s="13"/>
      <c r="H743" s="13"/>
      <c r="I743" s="13"/>
      <c r="J743" s="13"/>
      <c r="K743" s="13"/>
      <c r="L743" s="13"/>
      <c r="M743" s="13"/>
      <c r="N743" s="15"/>
    </row>
    <row r="744" spans="1:14" x14ac:dyDescent="0.2">
      <c r="A744" s="8"/>
      <c r="B744" s="9"/>
      <c r="C744" s="10"/>
      <c r="D744" s="9"/>
      <c r="E744" s="9"/>
      <c r="F744" s="9"/>
      <c r="G744" s="9"/>
      <c r="H744" s="9"/>
      <c r="I744" s="9"/>
      <c r="J744" s="9"/>
      <c r="K744" s="9"/>
      <c r="L744" s="9"/>
      <c r="M744" s="9"/>
      <c r="N744" s="11"/>
    </row>
    <row r="745" spans="1:14" x14ac:dyDescent="0.2">
      <c r="A745" s="12"/>
      <c r="B745" s="13"/>
      <c r="C745" s="14"/>
      <c r="D745" s="13"/>
      <c r="E745" s="13"/>
      <c r="F745" s="13"/>
      <c r="G745" s="13"/>
      <c r="H745" s="13"/>
      <c r="I745" s="13"/>
      <c r="J745" s="13"/>
      <c r="K745" s="13"/>
      <c r="L745" s="13"/>
      <c r="M745" s="13"/>
      <c r="N745" s="15"/>
    </row>
    <row r="746" spans="1:14" x14ac:dyDescent="0.2">
      <c r="A746" s="8"/>
      <c r="B746" s="9"/>
      <c r="C746" s="10"/>
      <c r="D746" s="9"/>
      <c r="E746" s="9"/>
      <c r="F746" s="9"/>
      <c r="G746" s="9"/>
      <c r="H746" s="9"/>
      <c r="I746" s="9"/>
      <c r="J746" s="9"/>
      <c r="K746" s="9"/>
      <c r="L746" s="9"/>
      <c r="M746" s="9"/>
      <c r="N746" s="11"/>
    </row>
    <row r="747" spans="1:14" x14ac:dyDescent="0.2">
      <c r="A747" s="12"/>
      <c r="B747" s="13"/>
      <c r="C747" s="14"/>
      <c r="D747" s="13"/>
      <c r="E747" s="13"/>
      <c r="F747" s="13"/>
      <c r="G747" s="13"/>
      <c r="H747" s="13"/>
      <c r="I747" s="13"/>
      <c r="J747" s="13"/>
      <c r="K747" s="13"/>
      <c r="L747" s="13"/>
      <c r="M747" s="13"/>
      <c r="N747" s="15"/>
    </row>
    <row r="748" spans="1:14" x14ac:dyDescent="0.2">
      <c r="A748" s="8"/>
      <c r="B748" s="9"/>
      <c r="C748" s="10"/>
      <c r="D748" s="9"/>
      <c r="E748" s="9"/>
      <c r="F748" s="9"/>
      <c r="G748" s="9"/>
      <c r="H748" s="9"/>
      <c r="I748" s="9"/>
      <c r="J748" s="9"/>
      <c r="K748" s="9"/>
      <c r="L748" s="9"/>
      <c r="M748" s="9"/>
      <c r="N748" s="11"/>
    </row>
    <row r="749" spans="1:14" x14ac:dyDescent="0.2">
      <c r="A749" s="12"/>
      <c r="B749" s="13"/>
      <c r="C749" s="14"/>
      <c r="D749" s="13"/>
      <c r="E749" s="13"/>
      <c r="F749" s="13"/>
      <c r="G749" s="13"/>
      <c r="H749" s="13"/>
      <c r="I749" s="13"/>
      <c r="J749" s="13"/>
      <c r="K749" s="13"/>
      <c r="L749" s="13"/>
      <c r="M749" s="13"/>
      <c r="N749" s="15"/>
    </row>
    <row r="750" spans="1:14" x14ac:dyDescent="0.2">
      <c r="A750" s="8"/>
      <c r="B750" s="9"/>
      <c r="C750" s="10"/>
      <c r="D750" s="9"/>
      <c r="E750" s="9"/>
      <c r="F750" s="9"/>
      <c r="G750" s="9"/>
      <c r="H750" s="9"/>
      <c r="I750" s="9"/>
      <c r="J750" s="9"/>
      <c r="K750" s="9"/>
      <c r="L750" s="9"/>
      <c r="M750" s="9"/>
      <c r="N750" s="11"/>
    </row>
    <row r="751" spans="1:14" x14ac:dyDescent="0.2">
      <c r="A751" s="12"/>
      <c r="B751" s="13"/>
      <c r="C751" s="14"/>
      <c r="D751" s="13"/>
      <c r="E751" s="13"/>
      <c r="F751" s="13"/>
      <c r="G751" s="13"/>
      <c r="H751" s="13"/>
      <c r="I751" s="13"/>
      <c r="J751" s="13"/>
      <c r="K751" s="13"/>
      <c r="L751" s="13"/>
      <c r="M751" s="13"/>
      <c r="N751" s="15"/>
    </row>
    <row r="752" spans="1:14" x14ac:dyDescent="0.2">
      <c r="A752" s="8"/>
      <c r="B752" s="9"/>
      <c r="C752" s="10"/>
      <c r="D752" s="9"/>
      <c r="E752" s="9"/>
      <c r="F752" s="9"/>
      <c r="G752" s="9"/>
      <c r="H752" s="9"/>
      <c r="I752" s="9"/>
      <c r="J752" s="9"/>
      <c r="K752" s="9"/>
      <c r="L752" s="9"/>
      <c r="M752" s="9"/>
      <c r="N752" s="11"/>
    </row>
    <row r="753" spans="1:14" x14ac:dyDescent="0.2">
      <c r="A753" s="12"/>
      <c r="B753" s="13"/>
      <c r="C753" s="14"/>
      <c r="D753" s="13"/>
      <c r="E753" s="13"/>
      <c r="F753" s="13"/>
      <c r="G753" s="13"/>
      <c r="H753" s="13"/>
      <c r="I753" s="13"/>
      <c r="J753" s="13"/>
      <c r="K753" s="13"/>
      <c r="L753" s="13"/>
      <c r="M753" s="13"/>
      <c r="N753" s="15"/>
    </row>
    <row r="754" spans="1:14" x14ac:dyDescent="0.2">
      <c r="A754" s="8"/>
      <c r="B754" s="9"/>
      <c r="C754" s="10"/>
      <c r="D754" s="9"/>
      <c r="E754" s="9"/>
      <c r="F754" s="9"/>
      <c r="G754" s="9"/>
      <c r="H754" s="9"/>
      <c r="I754" s="9"/>
      <c r="J754" s="9"/>
      <c r="K754" s="9"/>
      <c r="L754" s="9"/>
      <c r="M754" s="9"/>
      <c r="N754" s="11"/>
    </row>
    <row r="755" spans="1:14" x14ac:dyDescent="0.2">
      <c r="A755" s="12"/>
      <c r="B755" s="13"/>
      <c r="C755" s="14"/>
      <c r="D755" s="13"/>
      <c r="E755" s="13"/>
      <c r="F755" s="13"/>
      <c r="G755" s="13"/>
      <c r="H755" s="13"/>
      <c r="I755" s="13"/>
      <c r="J755" s="13"/>
      <c r="K755" s="13"/>
      <c r="L755" s="13"/>
      <c r="M755" s="13"/>
      <c r="N755" s="15"/>
    </row>
    <row r="756" spans="1:14" x14ac:dyDescent="0.2">
      <c r="A756" s="8"/>
      <c r="B756" s="9"/>
      <c r="C756" s="10"/>
      <c r="D756" s="9"/>
      <c r="E756" s="9"/>
      <c r="F756" s="9"/>
      <c r="G756" s="9"/>
      <c r="H756" s="9"/>
      <c r="I756" s="9"/>
      <c r="J756" s="9"/>
      <c r="K756" s="9"/>
      <c r="L756" s="9"/>
      <c r="M756" s="9"/>
      <c r="N756" s="11"/>
    </row>
    <row r="757" spans="1:14" x14ac:dyDescent="0.2">
      <c r="A757" s="12"/>
      <c r="B757" s="13"/>
      <c r="C757" s="14"/>
      <c r="D757" s="13"/>
      <c r="E757" s="13"/>
      <c r="F757" s="13"/>
      <c r="G757" s="13"/>
      <c r="H757" s="13"/>
      <c r="I757" s="13"/>
      <c r="J757" s="13"/>
      <c r="K757" s="13"/>
      <c r="L757" s="13"/>
      <c r="M757" s="13"/>
      <c r="N757" s="15"/>
    </row>
    <row r="758" spans="1:14" x14ac:dyDescent="0.2">
      <c r="A758" s="8"/>
      <c r="B758" s="9"/>
      <c r="C758" s="10"/>
      <c r="D758" s="9"/>
      <c r="E758" s="9"/>
      <c r="F758" s="9"/>
      <c r="G758" s="9"/>
      <c r="H758" s="9"/>
      <c r="I758" s="9"/>
      <c r="J758" s="9"/>
      <c r="K758" s="9"/>
      <c r="L758" s="9"/>
      <c r="M758" s="9"/>
      <c r="N758" s="11"/>
    </row>
    <row r="759" spans="1:14" x14ac:dyDescent="0.2">
      <c r="A759" s="12"/>
      <c r="B759" s="13"/>
      <c r="C759" s="14"/>
      <c r="D759" s="13"/>
      <c r="E759" s="13"/>
      <c r="F759" s="13"/>
      <c r="G759" s="13"/>
      <c r="H759" s="13"/>
      <c r="I759" s="13"/>
      <c r="J759" s="13"/>
      <c r="K759" s="13"/>
      <c r="L759" s="13"/>
      <c r="M759" s="13"/>
      <c r="N759" s="15"/>
    </row>
    <row r="760" spans="1:14" x14ac:dyDescent="0.2">
      <c r="A760" s="8"/>
      <c r="B760" s="9"/>
      <c r="C760" s="10"/>
      <c r="D760" s="9"/>
      <c r="E760" s="9"/>
      <c r="F760" s="9"/>
      <c r="G760" s="9"/>
      <c r="H760" s="9"/>
      <c r="I760" s="9"/>
      <c r="J760" s="9"/>
      <c r="K760" s="9"/>
      <c r="L760" s="9"/>
      <c r="M760" s="9"/>
      <c r="N760" s="11"/>
    </row>
    <row r="761" spans="1:14" x14ac:dyDescent="0.2">
      <c r="A761" s="12"/>
      <c r="B761" s="13"/>
      <c r="C761" s="14"/>
      <c r="D761" s="13"/>
      <c r="E761" s="13"/>
      <c r="F761" s="13"/>
      <c r="G761" s="13"/>
      <c r="H761" s="13"/>
      <c r="I761" s="13"/>
      <c r="J761" s="13"/>
      <c r="K761" s="13"/>
      <c r="L761" s="13"/>
      <c r="M761" s="13"/>
      <c r="N761" s="15"/>
    </row>
    <row r="762" spans="1:14" x14ac:dyDescent="0.2">
      <c r="A762" s="8"/>
      <c r="B762" s="9"/>
      <c r="C762" s="10"/>
      <c r="D762" s="9"/>
      <c r="E762" s="9"/>
      <c r="F762" s="9"/>
      <c r="G762" s="9"/>
      <c r="H762" s="9"/>
      <c r="I762" s="9"/>
      <c r="J762" s="9"/>
      <c r="K762" s="9"/>
      <c r="L762" s="9"/>
      <c r="M762" s="9"/>
      <c r="N762" s="11"/>
    </row>
    <row r="763" spans="1:14" x14ac:dyDescent="0.2">
      <c r="A763" s="12"/>
      <c r="B763" s="13"/>
      <c r="C763" s="14"/>
      <c r="D763" s="13"/>
      <c r="E763" s="13"/>
      <c r="F763" s="13"/>
      <c r="G763" s="13"/>
      <c r="H763" s="13"/>
      <c r="I763" s="13"/>
      <c r="J763" s="13"/>
      <c r="K763" s="13"/>
      <c r="L763" s="13"/>
      <c r="M763" s="13"/>
      <c r="N763" s="15"/>
    </row>
    <row r="764" spans="1:14" x14ac:dyDescent="0.2">
      <c r="A764" s="8"/>
      <c r="B764" s="9"/>
      <c r="C764" s="10"/>
      <c r="D764" s="9"/>
      <c r="E764" s="9"/>
      <c r="F764" s="9"/>
      <c r="G764" s="9"/>
      <c r="H764" s="9"/>
      <c r="I764" s="9"/>
      <c r="J764" s="9"/>
      <c r="K764" s="9"/>
      <c r="L764" s="9"/>
      <c r="M764" s="9"/>
      <c r="N764" s="11"/>
    </row>
    <row r="765" spans="1:14" x14ac:dyDescent="0.2">
      <c r="A765" s="12"/>
      <c r="B765" s="13"/>
      <c r="C765" s="14"/>
      <c r="D765" s="13"/>
      <c r="E765" s="13"/>
      <c r="F765" s="13"/>
      <c r="G765" s="13"/>
      <c r="H765" s="13"/>
      <c r="I765" s="13"/>
      <c r="J765" s="13"/>
      <c r="K765" s="13"/>
      <c r="L765" s="13"/>
      <c r="M765" s="13"/>
      <c r="N765" s="15"/>
    </row>
    <row r="766" spans="1:14" x14ac:dyDescent="0.2">
      <c r="A766" s="8"/>
      <c r="B766" s="9"/>
      <c r="C766" s="10"/>
      <c r="D766" s="9"/>
      <c r="E766" s="9"/>
      <c r="F766" s="9"/>
      <c r="G766" s="9"/>
      <c r="H766" s="9"/>
      <c r="I766" s="9"/>
      <c r="J766" s="9"/>
      <c r="K766" s="9"/>
      <c r="L766" s="9"/>
      <c r="M766" s="9"/>
      <c r="N766" s="11"/>
    </row>
    <row r="767" spans="1:14" x14ac:dyDescent="0.2">
      <c r="A767" s="12"/>
      <c r="B767" s="13"/>
      <c r="C767" s="14"/>
      <c r="D767" s="13"/>
      <c r="E767" s="13"/>
      <c r="F767" s="13"/>
      <c r="G767" s="13"/>
      <c r="H767" s="13"/>
      <c r="I767" s="13"/>
      <c r="J767" s="13"/>
      <c r="K767" s="13"/>
      <c r="L767" s="13"/>
      <c r="M767" s="13"/>
      <c r="N767" s="15"/>
    </row>
    <row r="768" spans="1:14" x14ac:dyDescent="0.2">
      <c r="A768" s="8"/>
      <c r="B768" s="9"/>
      <c r="C768" s="10"/>
      <c r="D768" s="9"/>
      <c r="E768" s="9"/>
      <c r="F768" s="9"/>
      <c r="G768" s="9"/>
      <c r="H768" s="9"/>
      <c r="I768" s="9"/>
      <c r="J768" s="9"/>
      <c r="K768" s="9"/>
      <c r="L768" s="9"/>
      <c r="M768" s="9"/>
      <c r="N768" s="11"/>
    </row>
    <row r="769" spans="1:14" x14ac:dyDescent="0.2">
      <c r="A769" s="12"/>
      <c r="B769" s="13"/>
      <c r="C769" s="14"/>
      <c r="D769" s="13"/>
      <c r="E769" s="13"/>
      <c r="F769" s="13"/>
      <c r="G769" s="13"/>
      <c r="H769" s="13"/>
      <c r="I769" s="13"/>
      <c r="J769" s="13"/>
      <c r="K769" s="13"/>
      <c r="L769" s="13"/>
      <c r="M769" s="13"/>
      <c r="N769" s="15"/>
    </row>
    <row r="770" spans="1:14" x14ac:dyDescent="0.2">
      <c r="A770" s="8"/>
      <c r="B770" s="9"/>
      <c r="C770" s="10"/>
      <c r="D770" s="9"/>
      <c r="E770" s="9"/>
      <c r="F770" s="9"/>
      <c r="G770" s="9"/>
      <c r="H770" s="9"/>
      <c r="I770" s="9"/>
      <c r="J770" s="9"/>
      <c r="K770" s="9"/>
      <c r="L770" s="9"/>
      <c r="M770" s="9"/>
      <c r="N770" s="11"/>
    </row>
    <row r="771" spans="1:14" x14ac:dyDescent="0.2">
      <c r="A771" s="12"/>
      <c r="B771" s="13"/>
      <c r="C771" s="14"/>
      <c r="D771" s="13"/>
      <c r="E771" s="13"/>
      <c r="F771" s="13"/>
      <c r="G771" s="13"/>
      <c r="H771" s="13"/>
      <c r="I771" s="13"/>
      <c r="J771" s="13"/>
      <c r="K771" s="13"/>
      <c r="L771" s="13"/>
      <c r="M771" s="13"/>
      <c r="N771" s="15"/>
    </row>
    <row r="772" spans="1:14" x14ac:dyDescent="0.2">
      <c r="A772" s="8"/>
      <c r="B772" s="9"/>
      <c r="C772" s="10"/>
      <c r="D772" s="9"/>
      <c r="E772" s="9"/>
      <c r="F772" s="9"/>
      <c r="G772" s="9"/>
      <c r="H772" s="9"/>
      <c r="I772" s="9"/>
      <c r="J772" s="9"/>
      <c r="K772" s="9"/>
      <c r="L772" s="9"/>
      <c r="M772" s="9"/>
      <c r="N772" s="11"/>
    </row>
    <row r="773" spans="1:14" x14ac:dyDescent="0.2">
      <c r="A773" s="12"/>
      <c r="B773" s="13"/>
      <c r="C773" s="14"/>
      <c r="D773" s="13"/>
      <c r="E773" s="13"/>
      <c r="F773" s="13"/>
      <c r="G773" s="13"/>
      <c r="H773" s="13"/>
      <c r="I773" s="13"/>
      <c r="J773" s="13"/>
      <c r="K773" s="13"/>
      <c r="L773" s="13"/>
      <c r="M773" s="13"/>
      <c r="N773" s="15"/>
    </row>
    <row r="774" spans="1:14" x14ac:dyDescent="0.2">
      <c r="A774" s="8"/>
      <c r="B774" s="9"/>
      <c r="C774" s="10"/>
      <c r="D774" s="9"/>
      <c r="E774" s="9"/>
      <c r="F774" s="9"/>
      <c r="G774" s="9"/>
      <c r="H774" s="9"/>
      <c r="I774" s="9"/>
      <c r="J774" s="9"/>
      <c r="K774" s="9"/>
      <c r="L774" s="9"/>
      <c r="M774" s="9"/>
      <c r="N774" s="11"/>
    </row>
    <row r="775" spans="1:14" x14ac:dyDescent="0.2">
      <c r="A775" s="12"/>
      <c r="B775" s="13"/>
      <c r="C775" s="14"/>
      <c r="D775" s="13"/>
      <c r="E775" s="13"/>
      <c r="F775" s="13"/>
      <c r="G775" s="13"/>
      <c r="H775" s="13"/>
      <c r="I775" s="13"/>
      <c r="J775" s="13"/>
      <c r="K775" s="13"/>
      <c r="L775" s="13"/>
      <c r="M775" s="13"/>
      <c r="N775" s="15"/>
    </row>
    <row r="776" spans="1:14" x14ac:dyDescent="0.2">
      <c r="A776" s="8"/>
      <c r="B776" s="9"/>
      <c r="C776" s="10"/>
      <c r="D776" s="9"/>
      <c r="E776" s="9"/>
      <c r="F776" s="9"/>
      <c r="G776" s="9"/>
      <c r="H776" s="9"/>
      <c r="I776" s="9"/>
      <c r="J776" s="9"/>
      <c r="K776" s="9"/>
      <c r="L776" s="9"/>
      <c r="M776" s="9"/>
      <c r="N776" s="11"/>
    </row>
    <row r="777" spans="1:14" x14ac:dyDescent="0.2">
      <c r="A777" s="12"/>
      <c r="B777" s="13"/>
      <c r="C777" s="14"/>
      <c r="D777" s="13"/>
      <c r="E777" s="13"/>
      <c r="F777" s="13"/>
      <c r="G777" s="13"/>
      <c r="H777" s="13"/>
      <c r="I777" s="13"/>
      <c r="J777" s="13"/>
      <c r="K777" s="13"/>
      <c r="L777" s="13"/>
      <c r="M777" s="13"/>
      <c r="N777" s="15"/>
    </row>
    <row r="778" spans="1:14" x14ac:dyDescent="0.2">
      <c r="A778" s="8"/>
      <c r="B778" s="9"/>
      <c r="C778" s="10"/>
      <c r="D778" s="9"/>
      <c r="E778" s="9"/>
      <c r="F778" s="9"/>
      <c r="G778" s="9"/>
      <c r="H778" s="9"/>
      <c r="I778" s="9"/>
      <c r="J778" s="9"/>
      <c r="K778" s="9"/>
      <c r="L778" s="9"/>
      <c r="M778" s="9"/>
      <c r="N778" s="11"/>
    </row>
    <row r="779" spans="1:14" x14ac:dyDescent="0.2">
      <c r="A779" s="12"/>
      <c r="B779" s="13"/>
      <c r="C779" s="14"/>
      <c r="D779" s="13"/>
      <c r="E779" s="13"/>
      <c r="F779" s="13"/>
      <c r="G779" s="13"/>
      <c r="H779" s="13"/>
      <c r="I779" s="13"/>
      <c r="J779" s="13"/>
      <c r="K779" s="13"/>
      <c r="L779" s="13"/>
      <c r="M779" s="13"/>
      <c r="N779" s="15"/>
    </row>
    <row r="780" spans="1:14" x14ac:dyDescent="0.2">
      <c r="A780" s="8"/>
      <c r="B780" s="9"/>
      <c r="C780" s="10"/>
      <c r="D780" s="9"/>
      <c r="E780" s="9"/>
      <c r="F780" s="9"/>
      <c r="G780" s="9"/>
      <c r="H780" s="9"/>
      <c r="I780" s="9"/>
      <c r="J780" s="9"/>
      <c r="K780" s="9"/>
      <c r="L780" s="9"/>
      <c r="M780" s="9"/>
      <c r="N780" s="11"/>
    </row>
    <row r="781" spans="1:14" x14ac:dyDescent="0.2">
      <c r="A781" s="12"/>
      <c r="B781" s="13"/>
      <c r="C781" s="14"/>
      <c r="D781" s="13"/>
      <c r="E781" s="13"/>
      <c r="F781" s="13"/>
      <c r="G781" s="13"/>
      <c r="H781" s="13"/>
      <c r="I781" s="13"/>
      <c r="J781" s="13"/>
      <c r="K781" s="13"/>
      <c r="L781" s="13"/>
      <c r="M781" s="13"/>
      <c r="N781" s="15"/>
    </row>
    <row r="782" spans="1:14" x14ac:dyDescent="0.2">
      <c r="A782" s="8"/>
      <c r="B782" s="9"/>
      <c r="C782" s="10"/>
      <c r="D782" s="9"/>
      <c r="E782" s="9"/>
      <c r="F782" s="9"/>
      <c r="G782" s="9"/>
      <c r="H782" s="9"/>
      <c r="I782" s="9"/>
      <c r="J782" s="9"/>
      <c r="K782" s="9"/>
      <c r="L782" s="9"/>
      <c r="M782" s="9"/>
      <c r="N782" s="11"/>
    </row>
    <row r="783" spans="1:14" x14ac:dyDescent="0.2">
      <c r="A783" s="12"/>
      <c r="B783" s="13"/>
      <c r="C783" s="14"/>
      <c r="D783" s="13"/>
      <c r="E783" s="13"/>
      <c r="F783" s="13"/>
      <c r="G783" s="13"/>
      <c r="H783" s="13"/>
      <c r="I783" s="13"/>
      <c r="J783" s="13"/>
      <c r="K783" s="13"/>
      <c r="L783" s="13"/>
      <c r="M783" s="13"/>
      <c r="N783" s="15"/>
    </row>
    <row r="784" spans="1:14" x14ac:dyDescent="0.2">
      <c r="A784" s="8"/>
      <c r="B784" s="9"/>
      <c r="C784" s="10"/>
      <c r="D784" s="9"/>
      <c r="E784" s="9"/>
      <c r="F784" s="9"/>
      <c r="G784" s="9"/>
      <c r="H784" s="9"/>
      <c r="I784" s="9"/>
      <c r="J784" s="9"/>
      <c r="K784" s="9"/>
      <c r="L784" s="9"/>
      <c r="M784" s="9"/>
      <c r="N784" s="11"/>
    </row>
    <row r="785" spans="1:14" x14ac:dyDescent="0.2">
      <c r="A785" s="12"/>
      <c r="B785" s="13"/>
      <c r="C785" s="14"/>
      <c r="D785" s="13"/>
      <c r="E785" s="13"/>
      <c r="F785" s="13"/>
      <c r="G785" s="13"/>
      <c r="H785" s="13"/>
      <c r="I785" s="13"/>
      <c r="J785" s="13"/>
      <c r="K785" s="13"/>
      <c r="L785" s="13"/>
      <c r="M785" s="13"/>
      <c r="N785" s="15"/>
    </row>
    <row r="786" spans="1:14" x14ac:dyDescent="0.2">
      <c r="A786" s="8"/>
      <c r="B786" s="9"/>
      <c r="C786" s="10"/>
      <c r="D786" s="9"/>
      <c r="E786" s="9"/>
      <c r="F786" s="9"/>
      <c r="G786" s="9"/>
      <c r="H786" s="9"/>
      <c r="I786" s="9"/>
      <c r="J786" s="9"/>
      <c r="K786" s="9"/>
      <c r="L786" s="9"/>
      <c r="M786" s="9"/>
      <c r="N786" s="11"/>
    </row>
    <row r="787" spans="1:14" x14ac:dyDescent="0.2">
      <c r="A787" s="12"/>
      <c r="B787" s="13"/>
      <c r="C787" s="14"/>
      <c r="D787" s="13"/>
      <c r="E787" s="13"/>
      <c r="F787" s="13"/>
      <c r="G787" s="13"/>
      <c r="H787" s="13"/>
      <c r="I787" s="13"/>
      <c r="J787" s="13"/>
      <c r="K787" s="13"/>
      <c r="L787" s="13"/>
      <c r="M787" s="13"/>
      <c r="N787" s="15"/>
    </row>
    <row r="788" spans="1:14" x14ac:dyDescent="0.2">
      <c r="A788" s="8"/>
      <c r="B788" s="9"/>
      <c r="C788" s="10"/>
      <c r="D788" s="9"/>
      <c r="E788" s="9"/>
      <c r="F788" s="9"/>
      <c r="G788" s="9"/>
      <c r="H788" s="9"/>
      <c r="I788" s="9"/>
      <c r="J788" s="9"/>
      <c r="K788" s="9"/>
      <c r="L788" s="9"/>
      <c r="M788" s="9"/>
      <c r="N788" s="11"/>
    </row>
    <row r="789" spans="1:14" x14ac:dyDescent="0.2">
      <c r="A789" s="12"/>
      <c r="B789" s="13"/>
      <c r="C789" s="14"/>
      <c r="D789" s="13"/>
      <c r="E789" s="13"/>
      <c r="F789" s="13"/>
      <c r="G789" s="13"/>
      <c r="H789" s="13"/>
      <c r="I789" s="13"/>
      <c r="J789" s="13"/>
      <c r="K789" s="13"/>
      <c r="L789" s="13"/>
      <c r="M789" s="13"/>
      <c r="N789" s="15"/>
    </row>
    <row r="790" spans="1:14" x14ac:dyDescent="0.2">
      <c r="A790" s="8"/>
      <c r="B790" s="9"/>
      <c r="C790" s="10"/>
      <c r="D790" s="9"/>
      <c r="E790" s="9"/>
      <c r="F790" s="9"/>
      <c r="G790" s="9"/>
      <c r="H790" s="9"/>
      <c r="I790" s="9"/>
      <c r="J790" s="9"/>
      <c r="K790" s="9"/>
      <c r="L790" s="9"/>
      <c r="M790" s="9"/>
      <c r="N790" s="11"/>
    </row>
    <row r="791" spans="1:14" x14ac:dyDescent="0.2">
      <c r="A791" s="12"/>
      <c r="B791" s="13"/>
      <c r="C791" s="14"/>
      <c r="D791" s="13"/>
      <c r="E791" s="13"/>
      <c r="F791" s="13"/>
      <c r="G791" s="13"/>
      <c r="H791" s="13"/>
      <c r="I791" s="13"/>
      <c r="J791" s="13"/>
      <c r="K791" s="13"/>
      <c r="L791" s="13"/>
      <c r="M791" s="13"/>
      <c r="N791" s="15"/>
    </row>
    <row r="792" spans="1:14" x14ac:dyDescent="0.2">
      <c r="A792" s="8"/>
      <c r="B792" s="9"/>
      <c r="C792" s="10"/>
      <c r="D792" s="9"/>
      <c r="E792" s="9"/>
      <c r="F792" s="9"/>
      <c r="G792" s="9"/>
      <c r="H792" s="9"/>
      <c r="I792" s="9"/>
      <c r="J792" s="9"/>
      <c r="K792" s="9"/>
      <c r="L792" s="9"/>
      <c r="M792" s="9"/>
      <c r="N792" s="11"/>
    </row>
    <row r="793" spans="1:14" x14ac:dyDescent="0.2">
      <c r="A793" s="12"/>
      <c r="B793" s="13"/>
      <c r="C793" s="14"/>
      <c r="D793" s="13"/>
      <c r="E793" s="13"/>
      <c r="F793" s="13"/>
      <c r="G793" s="13"/>
      <c r="H793" s="13"/>
      <c r="I793" s="13"/>
      <c r="J793" s="13"/>
      <c r="K793" s="13"/>
      <c r="L793" s="13"/>
      <c r="M793" s="13"/>
      <c r="N793" s="15"/>
    </row>
    <row r="794" spans="1:14" x14ac:dyDescent="0.2">
      <c r="A794" s="8"/>
      <c r="B794" s="9"/>
      <c r="C794" s="10"/>
      <c r="D794" s="9"/>
      <c r="E794" s="9"/>
      <c r="F794" s="9"/>
      <c r="G794" s="9"/>
      <c r="H794" s="9"/>
      <c r="I794" s="9"/>
      <c r="J794" s="9"/>
      <c r="K794" s="9"/>
      <c r="L794" s="9"/>
      <c r="M794" s="9"/>
      <c r="N794" s="11"/>
    </row>
    <row r="795" spans="1:14" x14ac:dyDescent="0.2">
      <c r="A795" s="12"/>
      <c r="B795" s="13"/>
      <c r="C795" s="14"/>
      <c r="D795" s="13"/>
      <c r="E795" s="13"/>
      <c r="F795" s="13"/>
      <c r="G795" s="13"/>
      <c r="H795" s="13"/>
      <c r="I795" s="13"/>
      <c r="J795" s="13"/>
      <c r="K795" s="13"/>
      <c r="L795" s="13"/>
      <c r="M795" s="13"/>
      <c r="N795" s="15"/>
    </row>
    <row r="796" spans="1:14" x14ac:dyDescent="0.2">
      <c r="A796" s="8"/>
      <c r="B796" s="9"/>
      <c r="C796" s="10"/>
      <c r="D796" s="9"/>
      <c r="E796" s="9"/>
      <c r="F796" s="9"/>
      <c r="G796" s="9"/>
      <c r="H796" s="9"/>
      <c r="I796" s="9"/>
      <c r="J796" s="9"/>
      <c r="K796" s="9"/>
      <c r="L796" s="9"/>
      <c r="M796" s="9"/>
      <c r="N796" s="11"/>
    </row>
    <row r="797" spans="1:14" x14ac:dyDescent="0.2">
      <c r="A797" s="12"/>
      <c r="B797" s="13"/>
      <c r="C797" s="14"/>
      <c r="D797" s="13"/>
      <c r="E797" s="13"/>
      <c r="F797" s="13"/>
      <c r="G797" s="13"/>
      <c r="H797" s="13"/>
      <c r="I797" s="13"/>
      <c r="J797" s="13"/>
      <c r="K797" s="13"/>
      <c r="L797" s="13"/>
      <c r="M797" s="13"/>
      <c r="N797" s="15"/>
    </row>
    <row r="798" spans="1:14" x14ac:dyDescent="0.2">
      <c r="A798" s="8"/>
      <c r="B798" s="9"/>
      <c r="C798" s="10"/>
      <c r="D798" s="9"/>
      <c r="E798" s="9"/>
      <c r="F798" s="9"/>
      <c r="G798" s="9"/>
      <c r="H798" s="9"/>
      <c r="I798" s="9"/>
      <c r="J798" s="9"/>
      <c r="K798" s="9"/>
      <c r="L798" s="9"/>
      <c r="M798" s="9"/>
      <c r="N798" s="11"/>
    </row>
    <row r="799" spans="1:14" x14ac:dyDescent="0.2">
      <c r="A799" s="12"/>
      <c r="B799" s="13"/>
      <c r="C799" s="14"/>
      <c r="D799" s="13"/>
      <c r="E799" s="13"/>
      <c r="F799" s="13"/>
      <c r="G799" s="13"/>
      <c r="H799" s="13"/>
      <c r="I799" s="13"/>
      <c r="J799" s="13"/>
      <c r="K799" s="13"/>
      <c r="L799" s="13"/>
      <c r="M799" s="13"/>
      <c r="N799" s="15"/>
    </row>
    <row r="800" spans="1:14" x14ac:dyDescent="0.2">
      <c r="A800" s="8"/>
      <c r="B800" s="9"/>
      <c r="C800" s="10"/>
      <c r="D800" s="9"/>
      <c r="E800" s="9"/>
      <c r="F800" s="9"/>
      <c r="G800" s="9"/>
      <c r="H800" s="9"/>
      <c r="I800" s="9"/>
      <c r="J800" s="9"/>
      <c r="K800" s="9"/>
      <c r="L800" s="9"/>
      <c r="M800" s="9"/>
      <c r="N800" s="11"/>
    </row>
    <row r="801" spans="1:14" x14ac:dyDescent="0.2">
      <c r="A801" s="12"/>
      <c r="B801" s="13"/>
      <c r="C801" s="14"/>
      <c r="D801" s="13"/>
      <c r="E801" s="13"/>
      <c r="F801" s="13"/>
      <c r="G801" s="13"/>
      <c r="H801" s="13"/>
      <c r="I801" s="13"/>
      <c r="J801" s="13"/>
      <c r="K801" s="13"/>
      <c r="L801" s="13"/>
      <c r="M801" s="13"/>
      <c r="N801" s="15"/>
    </row>
    <row r="802" spans="1:14" x14ac:dyDescent="0.2">
      <c r="A802" s="8"/>
      <c r="B802" s="9"/>
      <c r="C802" s="10"/>
      <c r="D802" s="9"/>
      <c r="E802" s="9"/>
      <c r="F802" s="9"/>
      <c r="G802" s="9"/>
      <c r="H802" s="9"/>
      <c r="I802" s="9"/>
      <c r="J802" s="9"/>
      <c r="K802" s="9"/>
      <c r="L802" s="9"/>
      <c r="M802" s="9"/>
      <c r="N802" s="11"/>
    </row>
    <row r="803" spans="1:14" x14ac:dyDescent="0.2">
      <c r="A803" s="12"/>
      <c r="B803" s="13"/>
      <c r="C803" s="14"/>
      <c r="D803" s="13"/>
      <c r="E803" s="13"/>
      <c r="F803" s="13"/>
      <c r="G803" s="13"/>
      <c r="H803" s="13"/>
      <c r="I803" s="13"/>
      <c r="J803" s="13"/>
      <c r="K803" s="13"/>
      <c r="L803" s="13"/>
      <c r="M803" s="13"/>
      <c r="N803" s="15"/>
    </row>
    <row r="804" spans="1:14" x14ac:dyDescent="0.2">
      <c r="A804" s="8"/>
      <c r="B804" s="9"/>
      <c r="C804" s="10"/>
      <c r="D804" s="9"/>
      <c r="E804" s="9"/>
      <c r="F804" s="9"/>
      <c r="G804" s="9"/>
      <c r="H804" s="9"/>
      <c r="I804" s="9"/>
      <c r="J804" s="9"/>
      <c r="K804" s="9"/>
      <c r="L804" s="9"/>
      <c r="M804" s="9"/>
      <c r="N804" s="11"/>
    </row>
    <row r="805" spans="1:14" x14ac:dyDescent="0.2">
      <c r="A805" s="12"/>
      <c r="B805" s="13"/>
      <c r="C805" s="14"/>
      <c r="D805" s="13"/>
      <c r="E805" s="13"/>
      <c r="F805" s="13"/>
      <c r="G805" s="13"/>
      <c r="H805" s="13"/>
      <c r="I805" s="13"/>
      <c r="J805" s="13"/>
      <c r="K805" s="13"/>
      <c r="L805" s="13"/>
      <c r="M805" s="13"/>
      <c r="N805" s="15"/>
    </row>
    <row r="806" spans="1:14" x14ac:dyDescent="0.2">
      <c r="A806" s="8"/>
      <c r="B806" s="9"/>
      <c r="C806" s="10"/>
      <c r="D806" s="9"/>
      <c r="E806" s="9"/>
      <c r="F806" s="9"/>
      <c r="G806" s="9"/>
      <c r="H806" s="9"/>
      <c r="I806" s="9"/>
      <c r="J806" s="9"/>
      <c r="K806" s="9"/>
      <c r="L806" s="9"/>
      <c r="M806" s="9"/>
      <c r="N806" s="11"/>
    </row>
    <row r="807" spans="1:14" x14ac:dyDescent="0.2">
      <c r="A807" s="12"/>
      <c r="B807" s="13"/>
      <c r="C807" s="14"/>
      <c r="D807" s="13"/>
      <c r="E807" s="13"/>
      <c r="F807" s="13"/>
      <c r="G807" s="13"/>
      <c r="H807" s="13"/>
      <c r="I807" s="13"/>
      <c r="J807" s="13"/>
      <c r="K807" s="13"/>
      <c r="L807" s="13"/>
      <c r="M807" s="13"/>
      <c r="N807" s="15"/>
    </row>
    <row r="808" spans="1:14" x14ac:dyDescent="0.2">
      <c r="A808" s="8"/>
      <c r="B808" s="9"/>
      <c r="C808" s="10"/>
      <c r="D808" s="9"/>
      <c r="E808" s="9"/>
      <c r="F808" s="9"/>
      <c r="G808" s="9"/>
      <c r="H808" s="9"/>
      <c r="I808" s="9"/>
      <c r="J808" s="9"/>
      <c r="K808" s="9"/>
      <c r="L808" s="9"/>
      <c r="M808" s="9"/>
      <c r="N808" s="11"/>
    </row>
    <row r="809" spans="1:14" x14ac:dyDescent="0.2">
      <c r="A809" s="12"/>
      <c r="B809" s="13"/>
      <c r="C809" s="14"/>
      <c r="D809" s="13"/>
      <c r="E809" s="13"/>
      <c r="F809" s="13"/>
      <c r="G809" s="13"/>
      <c r="H809" s="13"/>
      <c r="I809" s="13"/>
      <c r="J809" s="13"/>
      <c r="K809" s="13"/>
      <c r="L809" s="13"/>
      <c r="M809" s="13"/>
      <c r="N809" s="15"/>
    </row>
    <row r="810" spans="1:14" x14ac:dyDescent="0.2">
      <c r="A810" s="8"/>
      <c r="B810" s="9"/>
      <c r="C810" s="10"/>
      <c r="D810" s="9"/>
      <c r="E810" s="9"/>
      <c r="F810" s="9"/>
      <c r="G810" s="9"/>
      <c r="H810" s="9"/>
      <c r="I810" s="9"/>
      <c r="J810" s="9"/>
      <c r="K810" s="9"/>
      <c r="L810" s="9"/>
      <c r="M810" s="9"/>
      <c r="N810" s="11"/>
    </row>
    <row r="811" spans="1:14" x14ac:dyDescent="0.2">
      <c r="A811" s="12"/>
      <c r="B811" s="13"/>
      <c r="C811" s="14"/>
      <c r="D811" s="13"/>
      <c r="E811" s="13"/>
      <c r="F811" s="13"/>
      <c r="G811" s="13"/>
      <c r="H811" s="13"/>
      <c r="I811" s="13"/>
      <c r="J811" s="13"/>
      <c r="K811" s="13"/>
      <c r="L811" s="13"/>
      <c r="M811" s="13"/>
      <c r="N811" s="15"/>
    </row>
    <row r="812" spans="1:14" x14ac:dyDescent="0.2">
      <c r="A812" s="8"/>
      <c r="B812" s="9"/>
      <c r="C812" s="10"/>
      <c r="D812" s="9"/>
      <c r="E812" s="9"/>
      <c r="F812" s="9"/>
      <c r="G812" s="9"/>
      <c r="H812" s="9"/>
      <c r="I812" s="9"/>
      <c r="J812" s="9"/>
      <c r="K812" s="9"/>
      <c r="L812" s="9"/>
      <c r="M812" s="9"/>
      <c r="N812" s="11"/>
    </row>
    <row r="813" spans="1:14" x14ac:dyDescent="0.2">
      <c r="A813" s="12"/>
      <c r="B813" s="13"/>
      <c r="C813" s="14"/>
      <c r="D813" s="13"/>
      <c r="E813" s="13"/>
      <c r="F813" s="13"/>
      <c r="G813" s="13"/>
      <c r="H813" s="13"/>
      <c r="I813" s="13"/>
      <c r="J813" s="13"/>
      <c r="K813" s="13"/>
      <c r="L813" s="13"/>
      <c r="M813" s="13"/>
      <c r="N813" s="15"/>
    </row>
    <row r="814" spans="1:14" x14ac:dyDescent="0.2">
      <c r="A814" s="8"/>
      <c r="B814" s="9"/>
      <c r="C814" s="10"/>
      <c r="D814" s="9"/>
      <c r="E814" s="9"/>
      <c r="F814" s="9"/>
      <c r="G814" s="9"/>
      <c r="H814" s="9"/>
      <c r="I814" s="9"/>
      <c r="J814" s="9"/>
      <c r="K814" s="9"/>
      <c r="L814" s="9"/>
      <c r="M814" s="9"/>
      <c r="N814" s="11"/>
    </row>
    <row r="815" spans="1:14" x14ac:dyDescent="0.2">
      <c r="A815" s="12"/>
      <c r="B815" s="13"/>
      <c r="C815" s="14"/>
      <c r="D815" s="13"/>
      <c r="E815" s="13"/>
      <c r="F815" s="13"/>
      <c r="G815" s="13"/>
      <c r="H815" s="13"/>
      <c r="I815" s="13"/>
      <c r="J815" s="13"/>
      <c r="K815" s="13"/>
      <c r="L815" s="13"/>
      <c r="M815" s="13"/>
      <c r="N815" s="15"/>
    </row>
    <row r="816" spans="1:14" x14ac:dyDescent="0.2">
      <c r="A816" s="8"/>
      <c r="B816" s="9"/>
      <c r="C816" s="10"/>
      <c r="D816" s="9"/>
      <c r="E816" s="9"/>
      <c r="F816" s="9"/>
      <c r="G816" s="9"/>
      <c r="H816" s="9"/>
      <c r="I816" s="9"/>
      <c r="J816" s="9"/>
      <c r="K816" s="9"/>
      <c r="L816" s="9"/>
      <c r="M816" s="9"/>
      <c r="N816" s="11"/>
    </row>
    <row r="817" spans="1:14" x14ac:dyDescent="0.2">
      <c r="A817" s="12"/>
      <c r="B817" s="13"/>
      <c r="C817" s="14"/>
      <c r="D817" s="13"/>
      <c r="E817" s="13"/>
      <c r="F817" s="13"/>
      <c r="G817" s="13"/>
      <c r="H817" s="13"/>
      <c r="I817" s="13"/>
      <c r="J817" s="13"/>
      <c r="K817" s="13"/>
      <c r="L817" s="13"/>
      <c r="M817" s="13"/>
      <c r="N817" s="15"/>
    </row>
    <row r="818" spans="1:14" x14ac:dyDescent="0.2">
      <c r="A818" s="8"/>
      <c r="B818" s="9"/>
      <c r="C818" s="10"/>
      <c r="D818" s="9"/>
      <c r="E818" s="9"/>
      <c r="F818" s="9"/>
      <c r="G818" s="9"/>
      <c r="H818" s="9"/>
      <c r="I818" s="9"/>
      <c r="J818" s="9"/>
      <c r="K818" s="9"/>
      <c r="L818" s="9"/>
      <c r="M818" s="9"/>
      <c r="N818" s="11"/>
    </row>
    <row r="819" spans="1:14" x14ac:dyDescent="0.2">
      <c r="A819" s="12"/>
      <c r="B819" s="13"/>
      <c r="C819" s="14"/>
      <c r="D819" s="13"/>
      <c r="E819" s="13"/>
      <c r="F819" s="13"/>
      <c r="G819" s="13"/>
      <c r="H819" s="13"/>
      <c r="I819" s="13"/>
      <c r="J819" s="13"/>
      <c r="K819" s="13"/>
      <c r="L819" s="13"/>
      <c r="M819" s="13"/>
      <c r="N819" s="15"/>
    </row>
    <row r="820" spans="1:14" x14ac:dyDescent="0.2">
      <c r="A820" s="8"/>
      <c r="B820" s="9"/>
      <c r="C820" s="10"/>
      <c r="D820" s="9"/>
      <c r="E820" s="9"/>
      <c r="F820" s="9"/>
      <c r="G820" s="9"/>
      <c r="H820" s="9"/>
      <c r="I820" s="9"/>
      <c r="J820" s="9"/>
      <c r="K820" s="9"/>
      <c r="L820" s="9"/>
      <c r="M820" s="9"/>
      <c r="N820" s="11"/>
    </row>
    <row r="821" spans="1:14" x14ac:dyDescent="0.2">
      <c r="A821" s="12"/>
      <c r="B821" s="13"/>
      <c r="C821" s="14"/>
      <c r="D821" s="13"/>
      <c r="E821" s="13"/>
      <c r="F821" s="13"/>
      <c r="G821" s="13"/>
      <c r="H821" s="13"/>
      <c r="I821" s="13"/>
      <c r="J821" s="13"/>
      <c r="K821" s="13"/>
      <c r="L821" s="13"/>
      <c r="M821" s="13"/>
      <c r="N821" s="15"/>
    </row>
    <row r="822" spans="1:14" x14ac:dyDescent="0.2">
      <c r="A822" s="8"/>
      <c r="B822" s="9"/>
      <c r="C822" s="10"/>
      <c r="D822" s="9"/>
      <c r="E822" s="9"/>
      <c r="F822" s="9"/>
      <c r="G822" s="9"/>
      <c r="H822" s="9"/>
      <c r="I822" s="9"/>
      <c r="J822" s="9"/>
      <c r="K822" s="9"/>
      <c r="L822" s="9"/>
      <c r="M822" s="9"/>
      <c r="N822" s="11"/>
    </row>
    <row r="823" spans="1:14" x14ac:dyDescent="0.2">
      <c r="A823" s="12"/>
      <c r="B823" s="13"/>
      <c r="C823" s="14"/>
      <c r="D823" s="13"/>
      <c r="E823" s="13"/>
      <c r="F823" s="13"/>
      <c r="G823" s="13"/>
      <c r="H823" s="13"/>
      <c r="I823" s="13"/>
      <c r="J823" s="13"/>
      <c r="K823" s="13"/>
      <c r="L823" s="13"/>
      <c r="M823" s="13"/>
      <c r="N823" s="15"/>
    </row>
    <row r="824" spans="1:14" x14ac:dyDescent="0.2">
      <c r="A824" s="8"/>
      <c r="B824" s="9"/>
      <c r="C824" s="10"/>
      <c r="D824" s="9"/>
      <c r="E824" s="9"/>
      <c r="F824" s="9"/>
      <c r="G824" s="9"/>
      <c r="H824" s="9"/>
      <c r="I824" s="9"/>
      <c r="J824" s="9"/>
      <c r="K824" s="9"/>
      <c r="L824" s="9"/>
      <c r="M824" s="9"/>
      <c r="N824" s="11"/>
    </row>
    <row r="825" spans="1:14" x14ac:dyDescent="0.2">
      <c r="A825" s="12"/>
      <c r="B825" s="13"/>
      <c r="C825" s="14"/>
      <c r="D825" s="13"/>
      <c r="E825" s="13"/>
      <c r="F825" s="13"/>
      <c r="G825" s="13"/>
      <c r="H825" s="13"/>
      <c r="I825" s="13"/>
      <c r="J825" s="13"/>
      <c r="K825" s="13"/>
      <c r="L825" s="13"/>
      <c r="M825" s="13"/>
      <c r="N825" s="15"/>
    </row>
    <row r="826" spans="1:14" x14ac:dyDescent="0.2">
      <c r="A826" s="8"/>
      <c r="B826" s="9"/>
      <c r="C826" s="10"/>
      <c r="D826" s="9"/>
      <c r="E826" s="9"/>
      <c r="F826" s="9"/>
      <c r="G826" s="9"/>
      <c r="H826" s="9"/>
      <c r="I826" s="9"/>
      <c r="J826" s="9"/>
      <c r="K826" s="9"/>
      <c r="L826" s="9"/>
      <c r="M826" s="9"/>
      <c r="N826" s="11"/>
    </row>
    <row r="827" spans="1:14" x14ac:dyDescent="0.2">
      <c r="A827" s="12"/>
      <c r="B827" s="13"/>
      <c r="C827" s="14"/>
      <c r="D827" s="13"/>
      <c r="E827" s="13"/>
      <c r="F827" s="13"/>
      <c r="G827" s="13"/>
      <c r="H827" s="13"/>
      <c r="I827" s="13"/>
      <c r="J827" s="13"/>
      <c r="K827" s="13"/>
      <c r="L827" s="13"/>
      <c r="M827" s="13"/>
      <c r="N827" s="15"/>
    </row>
    <row r="828" spans="1:14" x14ac:dyDescent="0.2">
      <c r="A828" s="8"/>
      <c r="B828" s="9"/>
      <c r="C828" s="10"/>
      <c r="D828" s="9"/>
      <c r="E828" s="9"/>
      <c r="F828" s="9"/>
      <c r="G828" s="9"/>
      <c r="H828" s="9"/>
      <c r="I828" s="9"/>
      <c r="J828" s="9"/>
      <c r="K828" s="9"/>
      <c r="L828" s="9"/>
      <c r="M828" s="9"/>
      <c r="N828" s="11"/>
    </row>
    <row r="829" spans="1:14" x14ac:dyDescent="0.2">
      <c r="A829" s="12"/>
      <c r="B829" s="13"/>
      <c r="C829" s="14"/>
      <c r="D829" s="13"/>
      <c r="E829" s="13"/>
      <c r="F829" s="13"/>
      <c r="G829" s="13"/>
      <c r="H829" s="13"/>
      <c r="I829" s="13"/>
      <c r="J829" s="13"/>
      <c r="K829" s="13"/>
      <c r="L829" s="13"/>
      <c r="M829" s="13"/>
      <c r="N829" s="15"/>
    </row>
    <row r="830" spans="1:14" x14ac:dyDescent="0.2">
      <c r="A830" s="8"/>
      <c r="B830" s="9"/>
      <c r="C830" s="10"/>
      <c r="D830" s="9"/>
      <c r="E830" s="9"/>
      <c r="F830" s="9"/>
      <c r="G830" s="9"/>
      <c r="H830" s="9"/>
      <c r="I830" s="9"/>
      <c r="J830" s="9"/>
      <c r="K830" s="9"/>
      <c r="L830" s="9"/>
      <c r="M830" s="9"/>
      <c r="N830" s="11"/>
    </row>
    <row r="831" spans="1:14" x14ac:dyDescent="0.2">
      <c r="A831" s="12"/>
      <c r="B831" s="13"/>
      <c r="C831" s="14"/>
      <c r="D831" s="13"/>
      <c r="E831" s="13"/>
      <c r="F831" s="13"/>
      <c r="G831" s="13"/>
      <c r="H831" s="13"/>
      <c r="I831" s="13"/>
      <c r="J831" s="13"/>
      <c r="K831" s="13"/>
      <c r="L831" s="13"/>
      <c r="M831" s="13"/>
      <c r="N831" s="15"/>
    </row>
    <row r="832" spans="1:14" x14ac:dyDescent="0.2">
      <c r="A832" s="8"/>
      <c r="B832" s="9"/>
      <c r="C832" s="10"/>
      <c r="D832" s="9"/>
      <c r="E832" s="9"/>
      <c r="F832" s="9"/>
      <c r="G832" s="9"/>
      <c r="H832" s="9"/>
      <c r="I832" s="9"/>
      <c r="J832" s="9"/>
      <c r="K832" s="9"/>
      <c r="L832" s="9"/>
      <c r="M832" s="9"/>
      <c r="N832" s="11"/>
    </row>
    <row r="833" spans="1:14" x14ac:dyDescent="0.2">
      <c r="A833" s="12"/>
      <c r="B833" s="13"/>
      <c r="C833" s="14"/>
      <c r="D833" s="13"/>
      <c r="E833" s="13"/>
      <c r="F833" s="13"/>
      <c r="G833" s="13"/>
      <c r="H833" s="13"/>
      <c r="I833" s="13"/>
      <c r="J833" s="13"/>
      <c r="K833" s="13"/>
      <c r="L833" s="13"/>
      <c r="M833" s="13"/>
      <c r="N833" s="15"/>
    </row>
    <row r="834" spans="1:14" x14ac:dyDescent="0.2">
      <c r="A834" s="8"/>
      <c r="B834" s="9"/>
      <c r="C834" s="10"/>
      <c r="D834" s="9"/>
      <c r="E834" s="9"/>
      <c r="F834" s="9"/>
      <c r="G834" s="9"/>
      <c r="H834" s="9"/>
      <c r="I834" s="9"/>
      <c r="J834" s="9"/>
      <c r="K834" s="9"/>
      <c r="L834" s="9"/>
      <c r="M834" s="9"/>
      <c r="N834" s="11"/>
    </row>
    <row r="835" spans="1:14" x14ac:dyDescent="0.2">
      <c r="A835" s="12"/>
      <c r="B835" s="13"/>
      <c r="C835" s="14"/>
      <c r="D835" s="13"/>
      <c r="E835" s="13"/>
      <c r="F835" s="13"/>
      <c r="G835" s="13"/>
      <c r="H835" s="13"/>
      <c r="I835" s="13"/>
      <c r="J835" s="13"/>
      <c r="K835" s="13"/>
      <c r="L835" s="13"/>
      <c r="M835" s="13"/>
      <c r="N835" s="15"/>
    </row>
    <row r="836" spans="1:14" x14ac:dyDescent="0.2">
      <c r="A836" s="8"/>
      <c r="B836" s="9"/>
      <c r="C836" s="10"/>
      <c r="D836" s="9"/>
      <c r="E836" s="9"/>
      <c r="F836" s="9"/>
      <c r="G836" s="9"/>
      <c r="H836" s="9"/>
      <c r="I836" s="9"/>
      <c r="J836" s="9"/>
      <c r="K836" s="9"/>
      <c r="L836" s="9"/>
      <c r="M836" s="9"/>
      <c r="N836" s="11"/>
    </row>
    <row r="837" spans="1:14" x14ac:dyDescent="0.2">
      <c r="A837" s="12"/>
      <c r="B837" s="13"/>
      <c r="C837" s="14"/>
      <c r="D837" s="13"/>
      <c r="E837" s="13"/>
      <c r="F837" s="13"/>
      <c r="G837" s="13"/>
      <c r="H837" s="13"/>
      <c r="I837" s="13"/>
      <c r="J837" s="13"/>
      <c r="K837" s="13"/>
      <c r="L837" s="13"/>
      <c r="M837" s="13"/>
      <c r="N837" s="15"/>
    </row>
    <row r="838" spans="1:14" x14ac:dyDescent="0.2">
      <c r="A838" s="8"/>
      <c r="B838" s="9"/>
      <c r="C838" s="10"/>
      <c r="D838" s="9"/>
      <c r="E838" s="9"/>
      <c r="F838" s="9"/>
      <c r="G838" s="9"/>
      <c r="H838" s="9"/>
      <c r="I838" s="9"/>
      <c r="J838" s="9"/>
      <c r="K838" s="9"/>
      <c r="L838" s="9"/>
      <c r="M838" s="9"/>
      <c r="N838" s="11"/>
    </row>
    <row r="839" spans="1:14" x14ac:dyDescent="0.2">
      <c r="A839" s="12"/>
      <c r="B839" s="13"/>
      <c r="C839" s="14"/>
      <c r="D839" s="13"/>
      <c r="E839" s="13"/>
      <c r="F839" s="13"/>
      <c r="G839" s="13"/>
      <c r="H839" s="13"/>
      <c r="I839" s="13"/>
      <c r="J839" s="13"/>
      <c r="K839" s="13"/>
      <c r="L839" s="13"/>
      <c r="M839" s="13"/>
      <c r="N839" s="15"/>
    </row>
    <row r="840" spans="1:14" x14ac:dyDescent="0.2">
      <c r="A840" s="8"/>
      <c r="B840" s="9"/>
      <c r="C840" s="10"/>
      <c r="D840" s="9"/>
      <c r="E840" s="9"/>
      <c r="F840" s="9"/>
      <c r="G840" s="9"/>
      <c r="H840" s="9"/>
      <c r="I840" s="9"/>
      <c r="J840" s="9"/>
      <c r="K840" s="9"/>
      <c r="L840" s="9"/>
      <c r="M840" s="9"/>
      <c r="N840" s="11"/>
    </row>
    <row r="841" spans="1:14" x14ac:dyDescent="0.2">
      <c r="A841" s="12"/>
      <c r="B841" s="13"/>
      <c r="C841" s="14"/>
      <c r="D841" s="13"/>
      <c r="E841" s="13"/>
      <c r="F841" s="13"/>
      <c r="G841" s="13"/>
      <c r="H841" s="13"/>
      <c r="I841" s="13"/>
      <c r="J841" s="13"/>
      <c r="K841" s="13"/>
      <c r="L841" s="13"/>
      <c r="M841" s="13"/>
      <c r="N841" s="15"/>
    </row>
    <row r="842" spans="1:14" x14ac:dyDescent="0.2">
      <c r="A842" s="8"/>
      <c r="B842" s="9"/>
      <c r="C842" s="10"/>
      <c r="D842" s="9"/>
      <c r="E842" s="9"/>
      <c r="F842" s="9"/>
      <c r="G842" s="9"/>
      <c r="H842" s="9"/>
      <c r="I842" s="9"/>
      <c r="J842" s="9"/>
      <c r="K842" s="9"/>
      <c r="L842" s="9"/>
      <c r="M842" s="9"/>
      <c r="N842" s="11"/>
    </row>
    <row r="843" spans="1:14" x14ac:dyDescent="0.2">
      <c r="A843" s="12"/>
      <c r="B843" s="13"/>
      <c r="C843" s="14"/>
      <c r="D843" s="13"/>
      <c r="E843" s="13"/>
      <c r="F843" s="13"/>
      <c r="G843" s="13"/>
      <c r="H843" s="13"/>
      <c r="I843" s="13"/>
      <c r="J843" s="13"/>
      <c r="K843" s="13"/>
      <c r="L843" s="13"/>
      <c r="M843" s="13"/>
      <c r="N843" s="15"/>
    </row>
    <row r="844" spans="1:14" x14ac:dyDescent="0.2">
      <c r="A844" s="8"/>
      <c r="B844" s="9"/>
      <c r="C844" s="10"/>
      <c r="D844" s="9"/>
      <c r="E844" s="9"/>
      <c r="F844" s="9"/>
      <c r="G844" s="9"/>
      <c r="H844" s="9"/>
      <c r="I844" s="9"/>
      <c r="J844" s="9"/>
      <c r="K844" s="9"/>
      <c r="L844" s="9"/>
      <c r="M844" s="9"/>
      <c r="N844" s="11"/>
    </row>
    <row r="845" spans="1:14" x14ac:dyDescent="0.2">
      <c r="A845" s="12"/>
      <c r="B845" s="13"/>
      <c r="C845" s="14"/>
      <c r="D845" s="13"/>
      <c r="E845" s="13"/>
      <c r="F845" s="13"/>
      <c r="G845" s="13"/>
      <c r="H845" s="13"/>
      <c r="I845" s="13"/>
      <c r="J845" s="13"/>
      <c r="K845" s="13"/>
      <c r="L845" s="13"/>
      <c r="M845" s="13"/>
      <c r="N845" s="15"/>
    </row>
    <row r="846" spans="1:14" x14ac:dyDescent="0.2">
      <c r="A846" s="8"/>
      <c r="B846" s="9"/>
      <c r="C846" s="10"/>
      <c r="D846" s="9"/>
      <c r="E846" s="9"/>
      <c r="F846" s="9"/>
      <c r="G846" s="9"/>
      <c r="H846" s="9"/>
      <c r="I846" s="9"/>
      <c r="J846" s="9"/>
      <c r="K846" s="9"/>
      <c r="L846" s="9"/>
      <c r="M846" s="9"/>
      <c r="N846" s="11"/>
    </row>
    <row r="847" spans="1:14" x14ac:dyDescent="0.2">
      <c r="A847" s="12"/>
      <c r="B847" s="13"/>
      <c r="C847" s="14"/>
      <c r="D847" s="13"/>
      <c r="E847" s="13"/>
      <c r="F847" s="13"/>
      <c r="G847" s="13"/>
      <c r="H847" s="13"/>
      <c r="I847" s="13"/>
      <c r="J847" s="13"/>
      <c r="K847" s="13"/>
      <c r="L847" s="13"/>
      <c r="M847" s="13"/>
      <c r="N847" s="15"/>
    </row>
    <row r="848" spans="1:14" x14ac:dyDescent="0.2">
      <c r="A848" s="8"/>
      <c r="B848" s="9"/>
      <c r="C848" s="10"/>
      <c r="D848" s="9"/>
      <c r="E848" s="9"/>
      <c r="F848" s="9"/>
      <c r="G848" s="9"/>
      <c r="H848" s="9"/>
      <c r="I848" s="9"/>
      <c r="J848" s="9"/>
      <c r="K848" s="9"/>
      <c r="L848" s="9"/>
      <c r="M848" s="9"/>
      <c r="N848" s="11"/>
    </row>
    <row r="849" spans="1:14" x14ac:dyDescent="0.2">
      <c r="A849" s="12"/>
      <c r="B849" s="13"/>
      <c r="C849" s="14"/>
      <c r="D849" s="13"/>
      <c r="E849" s="13"/>
      <c r="F849" s="13"/>
      <c r="G849" s="13"/>
      <c r="H849" s="13"/>
      <c r="I849" s="13"/>
      <c r="J849" s="13"/>
      <c r="K849" s="13"/>
      <c r="L849" s="13"/>
      <c r="M849" s="13"/>
      <c r="N849" s="15"/>
    </row>
    <row r="850" spans="1:14" x14ac:dyDescent="0.2">
      <c r="A850" s="8"/>
      <c r="B850" s="9"/>
      <c r="C850" s="10"/>
      <c r="D850" s="9"/>
      <c r="E850" s="9"/>
      <c r="F850" s="9"/>
      <c r="G850" s="9"/>
      <c r="H850" s="9"/>
      <c r="I850" s="9"/>
      <c r="J850" s="9"/>
      <c r="K850" s="9"/>
      <c r="L850" s="9"/>
      <c r="M850" s="9"/>
      <c r="N850" s="11"/>
    </row>
    <row r="851" spans="1:14" x14ac:dyDescent="0.2">
      <c r="A851" s="12"/>
      <c r="B851" s="13"/>
      <c r="C851" s="14"/>
      <c r="D851" s="13"/>
      <c r="E851" s="13"/>
      <c r="F851" s="13"/>
      <c r="G851" s="13"/>
      <c r="H851" s="13"/>
      <c r="I851" s="13"/>
      <c r="J851" s="13"/>
      <c r="K851" s="13"/>
      <c r="L851" s="13"/>
      <c r="M851" s="13"/>
      <c r="N851" s="15"/>
    </row>
    <row r="852" spans="1:14" x14ac:dyDescent="0.2">
      <c r="A852" s="8"/>
      <c r="B852" s="9"/>
      <c r="C852" s="10"/>
      <c r="D852" s="9"/>
      <c r="E852" s="9"/>
      <c r="F852" s="9"/>
      <c r="G852" s="9"/>
      <c r="H852" s="9"/>
      <c r="I852" s="9"/>
      <c r="J852" s="9"/>
      <c r="K852" s="9"/>
      <c r="L852" s="9"/>
      <c r="M852" s="9"/>
      <c r="N852" s="11"/>
    </row>
    <row r="853" spans="1:14" x14ac:dyDescent="0.2">
      <c r="A853" s="12"/>
      <c r="B853" s="13"/>
      <c r="C853" s="14"/>
      <c r="D853" s="13"/>
      <c r="E853" s="13"/>
      <c r="F853" s="13"/>
      <c r="G853" s="13"/>
      <c r="H853" s="13"/>
      <c r="I853" s="13"/>
      <c r="J853" s="13"/>
      <c r="K853" s="13"/>
      <c r="L853" s="13"/>
      <c r="M853" s="13"/>
      <c r="N853" s="15"/>
    </row>
    <row r="854" spans="1:14" x14ac:dyDescent="0.2">
      <c r="A854" s="8"/>
      <c r="B854" s="9"/>
      <c r="C854" s="10"/>
      <c r="D854" s="9"/>
      <c r="E854" s="9"/>
      <c r="F854" s="9"/>
      <c r="G854" s="9"/>
      <c r="H854" s="9"/>
      <c r="I854" s="9"/>
      <c r="J854" s="9"/>
      <c r="K854" s="9"/>
      <c r="L854" s="9"/>
      <c r="M854" s="9"/>
      <c r="N854" s="11"/>
    </row>
    <row r="855" spans="1:14" x14ac:dyDescent="0.2">
      <c r="A855" s="12"/>
      <c r="B855" s="13"/>
      <c r="C855" s="14"/>
      <c r="D855" s="13"/>
      <c r="E855" s="13"/>
      <c r="F855" s="13"/>
      <c r="G855" s="13"/>
      <c r="H855" s="13"/>
      <c r="I855" s="13"/>
      <c r="J855" s="13"/>
      <c r="K855" s="13"/>
      <c r="L855" s="13"/>
      <c r="M855" s="13"/>
      <c r="N855" s="15"/>
    </row>
    <row r="856" spans="1:14" x14ac:dyDescent="0.2">
      <c r="A856" s="8"/>
      <c r="B856" s="9"/>
      <c r="C856" s="10"/>
      <c r="D856" s="9"/>
      <c r="E856" s="9"/>
      <c r="F856" s="9"/>
      <c r="G856" s="9"/>
      <c r="H856" s="9"/>
      <c r="I856" s="9"/>
      <c r="J856" s="9"/>
      <c r="K856" s="9"/>
      <c r="L856" s="9"/>
      <c r="M856" s="9"/>
      <c r="N856" s="11"/>
    </row>
    <row r="857" spans="1:14" x14ac:dyDescent="0.2">
      <c r="A857" s="12"/>
      <c r="B857" s="13"/>
      <c r="C857" s="14"/>
      <c r="D857" s="13"/>
      <c r="E857" s="13"/>
      <c r="F857" s="13"/>
      <c r="G857" s="13"/>
      <c r="H857" s="13"/>
      <c r="I857" s="13"/>
      <c r="J857" s="13"/>
      <c r="K857" s="13"/>
      <c r="L857" s="13"/>
      <c r="M857" s="13"/>
      <c r="N857" s="15"/>
    </row>
    <row r="858" spans="1:14" x14ac:dyDescent="0.2">
      <c r="A858" s="8"/>
      <c r="B858" s="9"/>
      <c r="C858" s="10"/>
      <c r="D858" s="9"/>
      <c r="E858" s="9"/>
      <c r="F858" s="9"/>
      <c r="G858" s="9"/>
      <c r="H858" s="9"/>
      <c r="I858" s="9"/>
      <c r="J858" s="9"/>
      <c r="K858" s="9"/>
      <c r="L858" s="9"/>
      <c r="M858" s="9"/>
      <c r="N858" s="11"/>
    </row>
    <row r="859" spans="1:14" x14ac:dyDescent="0.2">
      <c r="A859" s="12"/>
      <c r="B859" s="13"/>
      <c r="C859" s="14"/>
      <c r="D859" s="13"/>
      <c r="E859" s="13"/>
      <c r="F859" s="13"/>
      <c r="G859" s="13"/>
      <c r="H859" s="13"/>
      <c r="I859" s="13"/>
      <c r="J859" s="13"/>
      <c r="K859" s="13"/>
      <c r="L859" s="13"/>
      <c r="M859" s="13"/>
      <c r="N859" s="15"/>
    </row>
    <row r="860" spans="1:14" x14ac:dyDescent="0.2">
      <c r="A860" s="8"/>
      <c r="B860" s="9"/>
      <c r="C860" s="10"/>
      <c r="D860" s="9"/>
      <c r="E860" s="9"/>
      <c r="F860" s="9"/>
      <c r="G860" s="9"/>
      <c r="H860" s="9"/>
      <c r="I860" s="9"/>
      <c r="J860" s="9"/>
      <c r="K860" s="9"/>
      <c r="L860" s="9"/>
      <c r="M860" s="9"/>
      <c r="N860" s="11"/>
    </row>
    <row r="861" spans="1:14" x14ac:dyDescent="0.2">
      <c r="A861" s="12"/>
      <c r="B861" s="13"/>
      <c r="C861" s="14"/>
      <c r="D861" s="13"/>
      <c r="E861" s="13"/>
      <c r="F861" s="13"/>
      <c r="G861" s="13"/>
      <c r="H861" s="13"/>
      <c r="I861" s="13"/>
      <c r="J861" s="13"/>
      <c r="K861" s="13"/>
      <c r="L861" s="13"/>
      <c r="M861" s="13"/>
      <c r="N861" s="15"/>
    </row>
    <row r="862" spans="1:14" x14ac:dyDescent="0.2">
      <c r="A862" s="8"/>
      <c r="B862" s="9"/>
      <c r="C862" s="10"/>
      <c r="D862" s="9"/>
      <c r="E862" s="9"/>
      <c r="F862" s="9"/>
      <c r="G862" s="9"/>
      <c r="H862" s="9"/>
      <c r="I862" s="9"/>
      <c r="J862" s="9"/>
      <c r="K862" s="9"/>
      <c r="L862" s="9"/>
      <c r="M862" s="9"/>
      <c r="N862" s="11"/>
    </row>
    <row r="863" spans="1:14" x14ac:dyDescent="0.2">
      <c r="A863" s="12"/>
      <c r="B863" s="13"/>
      <c r="C863" s="14"/>
      <c r="D863" s="13"/>
      <c r="E863" s="13"/>
      <c r="F863" s="13"/>
      <c r="G863" s="13"/>
      <c r="H863" s="13"/>
      <c r="I863" s="13"/>
      <c r="J863" s="13"/>
      <c r="K863" s="13"/>
      <c r="L863" s="13"/>
      <c r="M863" s="13"/>
      <c r="N863" s="15"/>
    </row>
    <row r="864" spans="1:14" x14ac:dyDescent="0.2">
      <c r="A864" s="8"/>
      <c r="B864" s="9"/>
      <c r="C864" s="10"/>
      <c r="D864" s="9"/>
      <c r="E864" s="9"/>
      <c r="F864" s="9"/>
      <c r="G864" s="9"/>
      <c r="H864" s="9"/>
      <c r="I864" s="9"/>
      <c r="J864" s="9"/>
      <c r="K864" s="9"/>
      <c r="L864" s="9"/>
      <c r="M864" s="9"/>
      <c r="N864" s="11"/>
    </row>
    <row r="865" spans="1:14" x14ac:dyDescent="0.2">
      <c r="A865" s="12"/>
      <c r="B865" s="13"/>
      <c r="C865" s="14"/>
      <c r="D865" s="13"/>
      <c r="E865" s="13"/>
      <c r="F865" s="13"/>
      <c r="G865" s="13"/>
      <c r="H865" s="13"/>
      <c r="I865" s="13"/>
      <c r="J865" s="13"/>
      <c r="K865" s="13"/>
      <c r="L865" s="13"/>
      <c r="M865" s="13"/>
      <c r="N865" s="15"/>
    </row>
    <row r="866" spans="1:14" x14ac:dyDescent="0.2">
      <c r="A866" s="8"/>
      <c r="B866" s="9"/>
      <c r="C866" s="10"/>
      <c r="D866" s="9"/>
      <c r="E866" s="9"/>
      <c r="F866" s="9"/>
      <c r="G866" s="9"/>
      <c r="H866" s="9"/>
      <c r="I866" s="9"/>
      <c r="J866" s="9"/>
      <c r="K866" s="9"/>
      <c r="L866" s="9"/>
      <c r="M866" s="9"/>
      <c r="N866" s="11"/>
    </row>
    <row r="867" spans="1:14" x14ac:dyDescent="0.2">
      <c r="A867" s="12"/>
      <c r="B867" s="13"/>
      <c r="C867" s="14"/>
      <c r="D867" s="13"/>
      <c r="E867" s="13"/>
      <c r="F867" s="13"/>
      <c r="G867" s="13"/>
      <c r="H867" s="13"/>
      <c r="I867" s="13"/>
      <c r="J867" s="13"/>
      <c r="K867" s="13"/>
      <c r="L867" s="13"/>
      <c r="M867" s="13"/>
      <c r="N867" s="15"/>
    </row>
    <row r="868" spans="1:14" x14ac:dyDescent="0.2">
      <c r="A868" s="8"/>
      <c r="B868" s="9"/>
      <c r="C868" s="10"/>
      <c r="D868" s="9"/>
      <c r="E868" s="9"/>
      <c r="F868" s="9"/>
      <c r="G868" s="9"/>
      <c r="H868" s="9"/>
      <c r="I868" s="9"/>
      <c r="J868" s="9"/>
      <c r="K868" s="9"/>
      <c r="L868" s="9"/>
      <c r="M868" s="9"/>
      <c r="N868" s="11"/>
    </row>
    <row r="869" spans="1:14" x14ac:dyDescent="0.2">
      <c r="A869" s="12"/>
      <c r="B869" s="13"/>
      <c r="C869" s="14"/>
      <c r="D869" s="13"/>
      <c r="E869" s="13"/>
      <c r="F869" s="13"/>
      <c r="G869" s="13"/>
      <c r="H869" s="13"/>
      <c r="I869" s="13"/>
      <c r="J869" s="13"/>
      <c r="K869" s="13"/>
      <c r="L869" s="13"/>
      <c r="M869" s="13"/>
      <c r="N869" s="15"/>
    </row>
    <row r="870" spans="1:14" x14ac:dyDescent="0.2">
      <c r="A870" s="8"/>
      <c r="B870" s="9"/>
      <c r="C870" s="10"/>
      <c r="D870" s="9"/>
      <c r="E870" s="9"/>
      <c r="F870" s="9"/>
      <c r="G870" s="9"/>
      <c r="H870" s="9"/>
      <c r="I870" s="9"/>
      <c r="J870" s="9"/>
      <c r="K870" s="9"/>
      <c r="L870" s="9"/>
      <c r="M870" s="9"/>
      <c r="N870" s="11"/>
    </row>
    <row r="871" spans="1:14" x14ac:dyDescent="0.2">
      <c r="A871" s="12"/>
      <c r="B871" s="13"/>
      <c r="C871" s="14"/>
      <c r="D871" s="13"/>
      <c r="E871" s="13"/>
      <c r="F871" s="13"/>
      <c r="G871" s="13"/>
      <c r="H871" s="13"/>
      <c r="I871" s="13"/>
      <c r="J871" s="13"/>
      <c r="K871" s="13"/>
      <c r="L871" s="13"/>
      <c r="M871" s="13"/>
      <c r="N871" s="15"/>
    </row>
    <row r="872" spans="1:14" x14ac:dyDescent="0.2">
      <c r="A872" s="8"/>
      <c r="B872" s="9"/>
      <c r="C872" s="10"/>
      <c r="D872" s="9"/>
      <c r="E872" s="9"/>
      <c r="F872" s="9"/>
      <c r="G872" s="9"/>
      <c r="H872" s="9"/>
      <c r="I872" s="9"/>
      <c r="J872" s="9"/>
      <c r="K872" s="9"/>
      <c r="L872" s="9"/>
      <c r="M872" s="9"/>
      <c r="N872" s="11"/>
    </row>
    <row r="873" spans="1:14" x14ac:dyDescent="0.2">
      <c r="A873" s="12"/>
      <c r="B873" s="13"/>
      <c r="C873" s="14"/>
      <c r="D873" s="13"/>
      <c r="E873" s="13"/>
      <c r="F873" s="13"/>
      <c r="G873" s="13"/>
      <c r="H873" s="13"/>
      <c r="I873" s="13"/>
      <c r="J873" s="13"/>
      <c r="K873" s="13"/>
      <c r="L873" s="13"/>
      <c r="M873" s="13"/>
      <c r="N873" s="15"/>
    </row>
    <row r="874" spans="1:14" x14ac:dyDescent="0.2">
      <c r="A874" s="8"/>
      <c r="B874" s="9"/>
      <c r="C874" s="10"/>
      <c r="D874" s="9"/>
      <c r="E874" s="9"/>
      <c r="F874" s="9"/>
      <c r="G874" s="9"/>
      <c r="H874" s="9"/>
      <c r="I874" s="9"/>
      <c r="J874" s="9"/>
      <c r="K874" s="9"/>
      <c r="L874" s="9"/>
      <c r="M874" s="9"/>
      <c r="N874" s="11"/>
    </row>
    <row r="875" spans="1:14" x14ac:dyDescent="0.2">
      <c r="A875" s="12"/>
      <c r="B875" s="13"/>
      <c r="C875" s="14"/>
      <c r="D875" s="13"/>
      <c r="E875" s="13"/>
      <c r="F875" s="13"/>
      <c r="G875" s="13"/>
      <c r="H875" s="13"/>
      <c r="I875" s="13"/>
      <c r="J875" s="13"/>
      <c r="K875" s="13"/>
      <c r="L875" s="13"/>
      <c r="M875" s="13"/>
      <c r="N875" s="15"/>
    </row>
    <row r="876" spans="1:14" x14ac:dyDescent="0.2">
      <c r="A876" s="8"/>
      <c r="B876" s="9"/>
      <c r="C876" s="10"/>
      <c r="D876" s="9"/>
      <c r="E876" s="9"/>
      <c r="F876" s="9"/>
      <c r="G876" s="9"/>
      <c r="H876" s="9"/>
      <c r="I876" s="9"/>
      <c r="J876" s="9"/>
      <c r="K876" s="9"/>
      <c r="L876" s="9"/>
      <c r="M876" s="9"/>
      <c r="N876" s="11"/>
    </row>
    <row r="877" spans="1:14" x14ac:dyDescent="0.2">
      <c r="A877" s="12"/>
      <c r="B877" s="13"/>
      <c r="C877" s="14"/>
      <c r="D877" s="13"/>
      <c r="E877" s="13"/>
      <c r="F877" s="13"/>
      <c r="G877" s="13"/>
      <c r="H877" s="13"/>
      <c r="I877" s="13"/>
      <c r="J877" s="13"/>
      <c r="K877" s="13"/>
      <c r="L877" s="13"/>
      <c r="M877" s="13"/>
      <c r="N877" s="15"/>
    </row>
    <row r="878" spans="1:14" x14ac:dyDescent="0.2">
      <c r="A878" s="8"/>
      <c r="B878" s="9"/>
      <c r="C878" s="10"/>
      <c r="D878" s="9"/>
      <c r="E878" s="9"/>
      <c r="F878" s="9"/>
      <c r="G878" s="9"/>
      <c r="H878" s="9"/>
      <c r="I878" s="9"/>
      <c r="J878" s="9"/>
      <c r="K878" s="9"/>
      <c r="L878" s="9"/>
      <c r="M878" s="9"/>
      <c r="N878" s="11"/>
    </row>
    <row r="879" spans="1:14" x14ac:dyDescent="0.2">
      <c r="A879" s="12"/>
      <c r="B879" s="13"/>
      <c r="C879" s="14"/>
      <c r="D879" s="13"/>
      <c r="E879" s="13"/>
      <c r="F879" s="13"/>
      <c r="G879" s="13"/>
      <c r="H879" s="13"/>
      <c r="I879" s="13"/>
      <c r="J879" s="13"/>
      <c r="K879" s="13"/>
      <c r="L879" s="13"/>
      <c r="M879" s="13"/>
      <c r="N879" s="15"/>
    </row>
    <row r="880" spans="1:14" x14ac:dyDescent="0.2">
      <c r="A880" s="8"/>
      <c r="B880" s="9"/>
      <c r="C880" s="10"/>
      <c r="D880" s="9"/>
      <c r="E880" s="9"/>
      <c r="F880" s="9"/>
      <c r="G880" s="9"/>
      <c r="H880" s="9"/>
      <c r="I880" s="9"/>
      <c r="J880" s="9"/>
      <c r="K880" s="9"/>
      <c r="L880" s="9"/>
      <c r="M880" s="9"/>
      <c r="N880" s="11"/>
    </row>
    <row r="881" spans="1:14" x14ac:dyDescent="0.2">
      <c r="A881" s="12"/>
      <c r="B881" s="13"/>
      <c r="C881" s="14"/>
      <c r="D881" s="13"/>
      <c r="E881" s="13"/>
      <c r="F881" s="13"/>
      <c r="G881" s="13"/>
      <c r="H881" s="13"/>
      <c r="I881" s="13"/>
      <c r="J881" s="13"/>
      <c r="K881" s="13"/>
      <c r="L881" s="13"/>
      <c r="M881" s="13"/>
      <c r="N881" s="15"/>
    </row>
    <row r="882" spans="1:14" x14ac:dyDescent="0.2">
      <c r="A882" s="8"/>
      <c r="B882" s="9"/>
      <c r="C882" s="10"/>
      <c r="D882" s="9"/>
      <c r="E882" s="9"/>
      <c r="F882" s="9"/>
      <c r="G882" s="9"/>
      <c r="H882" s="9"/>
      <c r="I882" s="9"/>
      <c r="J882" s="9"/>
      <c r="K882" s="9"/>
      <c r="L882" s="9"/>
      <c r="M882" s="9"/>
      <c r="N882" s="11"/>
    </row>
    <row r="883" spans="1:14" x14ac:dyDescent="0.2">
      <c r="A883" s="12"/>
      <c r="B883" s="13"/>
      <c r="C883" s="14"/>
      <c r="D883" s="13"/>
      <c r="E883" s="13"/>
      <c r="F883" s="13"/>
      <c r="G883" s="13"/>
      <c r="H883" s="13"/>
      <c r="I883" s="13"/>
      <c r="J883" s="13"/>
      <c r="K883" s="13"/>
      <c r="L883" s="13"/>
      <c r="M883" s="13"/>
      <c r="N883" s="15"/>
    </row>
    <row r="884" spans="1:14" x14ac:dyDescent="0.2">
      <c r="A884" s="8"/>
      <c r="B884" s="9"/>
      <c r="C884" s="10"/>
      <c r="D884" s="9"/>
      <c r="E884" s="9"/>
      <c r="F884" s="9"/>
      <c r="G884" s="9"/>
      <c r="H884" s="9"/>
      <c r="I884" s="9"/>
      <c r="J884" s="9"/>
      <c r="K884" s="9"/>
      <c r="L884" s="9"/>
      <c r="M884" s="9"/>
      <c r="N884" s="11"/>
    </row>
    <row r="885" spans="1:14" x14ac:dyDescent="0.2">
      <c r="A885" s="12"/>
      <c r="B885" s="13"/>
      <c r="C885" s="14"/>
      <c r="D885" s="13"/>
      <c r="E885" s="13"/>
      <c r="F885" s="13"/>
      <c r="G885" s="13"/>
      <c r="H885" s="13"/>
      <c r="I885" s="13"/>
      <c r="J885" s="13"/>
      <c r="K885" s="13"/>
      <c r="L885" s="13"/>
      <c r="M885" s="13"/>
      <c r="N885" s="15"/>
    </row>
    <row r="886" spans="1:14" x14ac:dyDescent="0.2">
      <c r="A886" s="8"/>
      <c r="B886" s="9"/>
      <c r="C886" s="10"/>
      <c r="D886" s="9"/>
      <c r="E886" s="9"/>
      <c r="F886" s="9"/>
      <c r="G886" s="9"/>
      <c r="H886" s="9"/>
      <c r="I886" s="9"/>
      <c r="J886" s="9"/>
      <c r="K886" s="9"/>
      <c r="L886" s="9"/>
      <c r="M886" s="9"/>
      <c r="N886" s="11"/>
    </row>
    <row r="887" spans="1:14" x14ac:dyDescent="0.2">
      <c r="A887" s="12"/>
      <c r="B887" s="13"/>
      <c r="C887" s="14"/>
      <c r="D887" s="13"/>
      <c r="E887" s="13"/>
      <c r="F887" s="13"/>
      <c r="G887" s="13"/>
      <c r="H887" s="13"/>
      <c r="I887" s="13"/>
      <c r="J887" s="13"/>
      <c r="K887" s="13"/>
      <c r="L887" s="13"/>
      <c r="M887" s="13"/>
      <c r="N887" s="15"/>
    </row>
    <row r="888" spans="1:14" x14ac:dyDescent="0.2">
      <c r="A888" s="8"/>
      <c r="B888" s="9"/>
      <c r="C888" s="10"/>
      <c r="D888" s="9"/>
      <c r="E888" s="9"/>
      <c r="F888" s="9"/>
      <c r="G888" s="9"/>
      <c r="H888" s="9"/>
      <c r="I888" s="9"/>
      <c r="J888" s="9"/>
      <c r="K888" s="9"/>
      <c r="L888" s="9"/>
      <c r="M888" s="9"/>
      <c r="N888" s="11"/>
    </row>
    <row r="889" spans="1:14" x14ac:dyDescent="0.2">
      <c r="A889" s="12"/>
      <c r="B889" s="13"/>
      <c r="C889" s="14"/>
      <c r="D889" s="13"/>
      <c r="E889" s="13"/>
      <c r="F889" s="13"/>
      <c r="G889" s="13"/>
      <c r="H889" s="13"/>
      <c r="I889" s="13"/>
      <c r="J889" s="13"/>
      <c r="K889" s="13"/>
      <c r="L889" s="13"/>
      <c r="M889" s="13"/>
      <c r="N889" s="15"/>
    </row>
    <row r="890" spans="1:14" x14ac:dyDescent="0.2">
      <c r="A890" s="8"/>
      <c r="B890" s="9"/>
      <c r="C890" s="10"/>
      <c r="D890" s="9"/>
      <c r="E890" s="9"/>
      <c r="F890" s="9"/>
      <c r="G890" s="9"/>
      <c r="H890" s="9"/>
      <c r="I890" s="9"/>
      <c r="J890" s="9"/>
      <c r="K890" s="9"/>
      <c r="L890" s="9"/>
      <c r="M890" s="9"/>
      <c r="N890" s="11"/>
    </row>
    <row r="891" spans="1:14" x14ac:dyDescent="0.2">
      <c r="A891" s="12"/>
      <c r="B891" s="13"/>
      <c r="C891" s="14"/>
      <c r="D891" s="13"/>
      <c r="E891" s="13"/>
      <c r="F891" s="13"/>
      <c r="G891" s="13"/>
      <c r="H891" s="13"/>
      <c r="I891" s="13"/>
      <c r="J891" s="13"/>
      <c r="K891" s="13"/>
      <c r="L891" s="13"/>
      <c r="M891" s="13"/>
      <c r="N891" s="15"/>
    </row>
    <row r="892" spans="1:14" x14ac:dyDescent="0.2">
      <c r="A892" s="8"/>
      <c r="B892" s="9"/>
      <c r="C892" s="10"/>
      <c r="D892" s="9"/>
      <c r="E892" s="9"/>
      <c r="F892" s="9"/>
      <c r="G892" s="9"/>
      <c r="H892" s="9"/>
      <c r="I892" s="9"/>
      <c r="J892" s="9"/>
      <c r="K892" s="9"/>
      <c r="L892" s="9"/>
      <c r="M892" s="9"/>
      <c r="N892" s="11"/>
    </row>
    <row r="893" spans="1:14" x14ac:dyDescent="0.2">
      <c r="A893" s="12"/>
      <c r="B893" s="13"/>
      <c r="C893" s="14"/>
      <c r="D893" s="13"/>
      <c r="E893" s="13"/>
      <c r="F893" s="13"/>
      <c r="G893" s="13"/>
      <c r="H893" s="13"/>
      <c r="I893" s="13"/>
      <c r="J893" s="13"/>
      <c r="K893" s="13"/>
      <c r="L893" s="13"/>
      <c r="M893" s="13"/>
      <c r="N893" s="15"/>
    </row>
    <row r="894" spans="1:14" x14ac:dyDescent="0.2">
      <c r="A894" s="8"/>
      <c r="B894" s="9"/>
      <c r="C894" s="10"/>
      <c r="D894" s="9"/>
      <c r="E894" s="9"/>
      <c r="F894" s="9"/>
      <c r="G894" s="9"/>
      <c r="H894" s="9"/>
      <c r="I894" s="9"/>
      <c r="J894" s="9"/>
      <c r="K894" s="9"/>
      <c r="L894" s="9"/>
      <c r="M894" s="9"/>
      <c r="N894" s="11"/>
    </row>
    <row r="895" spans="1:14" x14ac:dyDescent="0.2">
      <c r="A895" s="12"/>
      <c r="B895" s="13"/>
      <c r="C895" s="14"/>
      <c r="D895" s="13"/>
      <c r="E895" s="13"/>
      <c r="F895" s="13"/>
      <c r="G895" s="13"/>
      <c r="H895" s="13"/>
      <c r="I895" s="13"/>
      <c r="J895" s="13"/>
      <c r="K895" s="13"/>
      <c r="L895" s="13"/>
      <c r="M895" s="13"/>
      <c r="N895" s="15"/>
    </row>
    <row r="896" spans="1:14" x14ac:dyDescent="0.2">
      <c r="A896" s="8"/>
      <c r="B896" s="9"/>
      <c r="C896" s="10"/>
      <c r="D896" s="9"/>
      <c r="E896" s="9"/>
      <c r="F896" s="9"/>
      <c r="G896" s="9"/>
      <c r="H896" s="9"/>
      <c r="I896" s="9"/>
      <c r="J896" s="9"/>
      <c r="K896" s="9"/>
      <c r="L896" s="9"/>
      <c r="M896" s="9"/>
      <c r="N896" s="11"/>
    </row>
    <row r="897" spans="1:14" x14ac:dyDescent="0.2">
      <c r="A897" s="12"/>
      <c r="B897" s="13"/>
      <c r="C897" s="14"/>
      <c r="D897" s="13"/>
      <c r="E897" s="13"/>
      <c r="F897" s="13"/>
      <c r="G897" s="13"/>
      <c r="H897" s="13"/>
      <c r="I897" s="13"/>
      <c r="J897" s="13"/>
      <c r="K897" s="13"/>
      <c r="L897" s="13"/>
      <c r="M897" s="13"/>
      <c r="N897" s="15"/>
    </row>
    <row r="898" spans="1:14" x14ac:dyDescent="0.2">
      <c r="A898" s="8"/>
      <c r="B898" s="9"/>
      <c r="C898" s="10"/>
      <c r="D898" s="9"/>
      <c r="E898" s="9"/>
      <c r="F898" s="9"/>
      <c r="G898" s="9"/>
      <c r="H898" s="9"/>
      <c r="I898" s="9"/>
      <c r="J898" s="9"/>
      <c r="K898" s="9"/>
      <c r="L898" s="9"/>
      <c r="M898" s="9"/>
      <c r="N898" s="11"/>
    </row>
    <row r="899" spans="1:14" x14ac:dyDescent="0.2">
      <c r="A899" s="12"/>
      <c r="B899" s="13"/>
      <c r="C899" s="14"/>
      <c r="D899" s="13"/>
      <c r="E899" s="13"/>
      <c r="F899" s="13"/>
      <c r="G899" s="13"/>
      <c r="H899" s="13"/>
      <c r="I899" s="13"/>
      <c r="J899" s="13"/>
      <c r="K899" s="13"/>
      <c r="L899" s="13"/>
      <c r="M899" s="13"/>
      <c r="N899" s="15"/>
    </row>
    <row r="900" spans="1:14" x14ac:dyDescent="0.2">
      <c r="A900" s="8"/>
      <c r="B900" s="9"/>
      <c r="C900" s="10"/>
      <c r="D900" s="9"/>
      <c r="E900" s="9"/>
      <c r="F900" s="9"/>
      <c r="G900" s="9"/>
      <c r="H900" s="9"/>
      <c r="I900" s="9"/>
      <c r="J900" s="9"/>
      <c r="K900" s="9"/>
      <c r="L900" s="9"/>
      <c r="M900" s="9"/>
      <c r="N900" s="11"/>
    </row>
    <row r="901" spans="1:14" x14ac:dyDescent="0.2">
      <c r="A901" s="12"/>
      <c r="B901" s="13"/>
      <c r="C901" s="14"/>
      <c r="D901" s="13"/>
      <c r="E901" s="13"/>
      <c r="F901" s="13"/>
      <c r="G901" s="13"/>
      <c r="H901" s="13"/>
      <c r="I901" s="13"/>
      <c r="J901" s="13"/>
      <c r="K901" s="13"/>
      <c r="L901" s="13"/>
      <c r="M901" s="13"/>
      <c r="N901" s="15"/>
    </row>
    <row r="902" spans="1:14" x14ac:dyDescent="0.2">
      <c r="A902" s="8"/>
      <c r="B902" s="9"/>
      <c r="C902" s="10"/>
      <c r="D902" s="9"/>
      <c r="E902" s="9"/>
      <c r="F902" s="9"/>
      <c r="G902" s="9"/>
      <c r="H902" s="9"/>
      <c r="I902" s="9"/>
      <c r="J902" s="9"/>
      <c r="K902" s="9"/>
      <c r="L902" s="9"/>
      <c r="M902" s="9"/>
      <c r="N902" s="11"/>
    </row>
    <row r="903" spans="1:14" x14ac:dyDescent="0.2">
      <c r="A903" s="12"/>
      <c r="B903" s="13"/>
      <c r="C903" s="14"/>
      <c r="D903" s="13"/>
      <c r="E903" s="13"/>
      <c r="F903" s="13"/>
      <c r="G903" s="13"/>
      <c r="H903" s="13"/>
      <c r="I903" s="13"/>
      <c r="J903" s="13"/>
      <c r="K903" s="13"/>
      <c r="L903" s="13"/>
      <c r="M903" s="13"/>
      <c r="N903" s="15"/>
    </row>
    <row r="904" spans="1:14" x14ac:dyDescent="0.2">
      <c r="A904" s="8"/>
      <c r="B904" s="9"/>
      <c r="C904" s="10"/>
      <c r="D904" s="9"/>
      <c r="E904" s="9"/>
      <c r="F904" s="9"/>
      <c r="G904" s="9"/>
      <c r="H904" s="9"/>
      <c r="I904" s="9"/>
      <c r="J904" s="9"/>
      <c r="K904" s="9"/>
      <c r="L904" s="9"/>
      <c r="M904" s="9"/>
      <c r="N904" s="11"/>
    </row>
    <row r="905" spans="1:14" x14ac:dyDescent="0.2">
      <c r="A905" s="12"/>
      <c r="B905" s="13"/>
      <c r="C905" s="14"/>
      <c r="D905" s="13"/>
      <c r="E905" s="13"/>
      <c r="F905" s="13"/>
      <c r="G905" s="13"/>
      <c r="H905" s="13"/>
      <c r="I905" s="13"/>
      <c r="J905" s="13"/>
      <c r="K905" s="13"/>
      <c r="L905" s="13"/>
      <c r="M905" s="13"/>
      <c r="N905" s="15"/>
    </row>
    <row r="906" spans="1:14" x14ac:dyDescent="0.2">
      <c r="A906" s="8"/>
      <c r="B906" s="9"/>
      <c r="C906" s="10"/>
      <c r="D906" s="9"/>
      <c r="E906" s="9"/>
      <c r="F906" s="9"/>
      <c r="G906" s="9"/>
      <c r="H906" s="9"/>
      <c r="I906" s="9"/>
      <c r="J906" s="9"/>
      <c r="K906" s="9"/>
      <c r="L906" s="9"/>
      <c r="M906" s="9"/>
      <c r="N906" s="11"/>
    </row>
    <row r="907" spans="1:14" x14ac:dyDescent="0.2">
      <c r="A907" s="12"/>
      <c r="B907" s="13"/>
      <c r="C907" s="14"/>
      <c r="D907" s="13"/>
      <c r="E907" s="13"/>
      <c r="F907" s="13"/>
      <c r="G907" s="13"/>
      <c r="H907" s="13"/>
      <c r="I907" s="13"/>
      <c r="J907" s="13"/>
      <c r="K907" s="13"/>
      <c r="L907" s="13"/>
      <c r="M907" s="13"/>
      <c r="N907" s="15"/>
    </row>
    <row r="908" spans="1:14" x14ac:dyDescent="0.2">
      <c r="A908" s="8"/>
      <c r="B908" s="9"/>
      <c r="C908" s="10"/>
      <c r="D908" s="9"/>
      <c r="E908" s="9"/>
      <c r="F908" s="9"/>
      <c r="G908" s="9"/>
      <c r="H908" s="9"/>
      <c r="I908" s="9"/>
      <c r="J908" s="9"/>
      <c r="K908" s="9"/>
      <c r="L908" s="9"/>
      <c r="M908" s="9"/>
      <c r="N908" s="11"/>
    </row>
    <row r="909" spans="1:14" x14ac:dyDescent="0.2">
      <c r="A909" s="12"/>
      <c r="B909" s="13"/>
      <c r="C909" s="14"/>
      <c r="D909" s="13"/>
      <c r="E909" s="13"/>
      <c r="F909" s="13"/>
      <c r="G909" s="13"/>
      <c r="H909" s="13"/>
      <c r="I909" s="13"/>
      <c r="J909" s="13"/>
      <c r="K909" s="13"/>
      <c r="L909" s="13"/>
      <c r="M909" s="13"/>
      <c r="N909" s="15"/>
    </row>
    <row r="910" spans="1:14" x14ac:dyDescent="0.2">
      <c r="A910" s="8"/>
      <c r="B910" s="9"/>
      <c r="C910" s="10"/>
      <c r="D910" s="9"/>
      <c r="E910" s="9"/>
      <c r="F910" s="9"/>
      <c r="G910" s="9"/>
      <c r="H910" s="9"/>
      <c r="I910" s="9"/>
      <c r="J910" s="9"/>
      <c r="K910" s="9"/>
      <c r="L910" s="9"/>
      <c r="M910" s="9"/>
      <c r="N910" s="11"/>
    </row>
    <row r="911" spans="1:14" x14ac:dyDescent="0.2">
      <c r="A911" s="12"/>
      <c r="B911" s="13"/>
      <c r="C911" s="14"/>
      <c r="D911" s="13"/>
      <c r="E911" s="13"/>
      <c r="F911" s="13"/>
      <c r="G911" s="13"/>
      <c r="H911" s="13"/>
      <c r="I911" s="13"/>
      <c r="J911" s="13"/>
      <c r="K911" s="13"/>
      <c r="L911" s="13"/>
      <c r="M911" s="13"/>
      <c r="N911" s="15"/>
    </row>
    <row r="912" spans="1:14" x14ac:dyDescent="0.2">
      <c r="A912" s="8"/>
      <c r="B912" s="9"/>
      <c r="C912" s="10"/>
      <c r="D912" s="9"/>
      <c r="E912" s="9"/>
      <c r="F912" s="9"/>
      <c r="G912" s="9"/>
      <c r="H912" s="9"/>
      <c r="I912" s="9"/>
      <c r="J912" s="9"/>
      <c r="K912" s="9"/>
      <c r="L912" s="9"/>
      <c r="M912" s="9"/>
      <c r="N912" s="11"/>
    </row>
    <row r="913" spans="1:14" x14ac:dyDescent="0.2">
      <c r="A913" s="12"/>
      <c r="B913" s="13"/>
      <c r="C913" s="14"/>
      <c r="D913" s="13"/>
      <c r="E913" s="13"/>
      <c r="F913" s="13"/>
      <c r="G913" s="13"/>
      <c r="H913" s="13"/>
      <c r="I913" s="13"/>
      <c r="J913" s="13"/>
      <c r="K913" s="13"/>
      <c r="L913" s="13"/>
      <c r="M913" s="13"/>
      <c r="N913" s="15"/>
    </row>
    <row r="914" spans="1:14" x14ac:dyDescent="0.2">
      <c r="A914" s="8"/>
      <c r="B914" s="9"/>
      <c r="C914" s="10"/>
      <c r="D914" s="9"/>
      <c r="E914" s="9"/>
      <c r="F914" s="9"/>
      <c r="G914" s="9"/>
      <c r="H914" s="9"/>
      <c r="I914" s="9"/>
      <c r="J914" s="9"/>
      <c r="K914" s="9"/>
      <c r="L914" s="9"/>
      <c r="M914" s="9"/>
      <c r="N914" s="11"/>
    </row>
    <row r="915" spans="1:14" x14ac:dyDescent="0.2">
      <c r="A915" s="12"/>
      <c r="B915" s="13"/>
      <c r="C915" s="14"/>
      <c r="D915" s="13"/>
      <c r="E915" s="13"/>
      <c r="F915" s="13"/>
      <c r="G915" s="13"/>
      <c r="H915" s="13"/>
      <c r="I915" s="13"/>
      <c r="J915" s="13"/>
      <c r="K915" s="13"/>
      <c r="L915" s="13"/>
      <c r="M915" s="13"/>
      <c r="N915" s="15"/>
    </row>
    <row r="916" spans="1:14" x14ac:dyDescent="0.2">
      <c r="A916" s="8"/>
      <c r="B916" s="9"/>
      <c r="C916" s="10"/>
      <c r="D916" s="9"/>
      <c r="E916" s="9"/>
      <c r="F916" s="9"/>
      <c r="G916" s="9"/>
      <c r="H916" s="9"/>
      <c r="I916" s="9"/>
      <c r="J916" s="9"/>
      <c r="K916" s="9"/>
      <c r="L916" s="9"/>
      <c r="M916" s="9"/>
      <c r="N916" s="11"/>
    </row>
    <row r="917" spans="1:14" x14ac:dyDescent="0.2">
      <c r="A917" s="12"/>
      <c r="B917" s="13"/>
      <c r="C917" s="14"/>
      <c r="D917" s="13"/>
      <c r="E917" s="13"/>
      <c r="F917" s="13"/>
      <c r="G917" s="13"/>
      <c r="H917" s="13"/>
      <c r="I917" s="13"/>
      <c r="J917" s="13"/>
      <c r="K917" s="13"/>
      <c r="L917" s="13"/>
      <c r="M917" s="13"/>
      <c r="N917" s="15"/>
    </row>
    <row r="918" spans="1:14" x14ac:dyDescent="0.2">
      <c r="A918" s="8"/>
      <c r="B918" s="9"/>
      <c r="C918" s="10"/>
      <c r="D918" s="9"/>
      <c r="E918" s="9"/>
      <c r="F918" s="9"/>
      <c r="G918" s="9"/>
      <c r="H918" s="9"/>
      <c r="I918" s="9"/>
      <c r="J918" s="9"/>
      <c r="K918" s="9"/>
      <c r="L918" s="9"/>
      <c r="M918" s="9"/>
      <c r="N918" s="11"/>
    </row>
    <row r="919" spans="1:14" x14ac:dyDescent="0.2">
      <c r="A919" s="12"/>
      <c r="B919" s="13"/>
      <c r="C919" s="14"/>
      <c r="D919" s="13"/>
      <c r="E919" s="13"/>
      <c r="F919" s="13"/>
      <c r="G919" s="13"/>
      <c r="H919" s="13"/>
      <c r="I919" s="13"/>
      <c r="J919" s="13"/>
      <c r="K919" s="13"/>
      <c r="L919" s="13"/>
      <c r="M919" s="13"/>
      <c r="N919" s="15"/>
    </row>
    <row r="920" spans="1:14" x14ac:dyDescent="0.2">
      <c r="A920" s="8"/>
      <c r="B920" s="9"/>
      <c r="C920" s="10"/>
      <c r="D920" s="9"/>
      <c r="E920" s="9"/>
      <c r="F920" s="9"/>
      <c r="G920" s="9"/>
      <c r="H920" s="9"/>
      <c r="I920" s="9"/>
      <c r="J920" s="9"/>
      <c r="K920" s="9"/>
      <c r="L920" s="9"/>
      <c r="M920" s="9"/>
      <c r="N920" s="11"/>
    </row>
    <row r="921" spans="1:14" x14ac:dyDescent="0.2">
      <c r="A921" s="12"/>
      <c r="B921" s="13"/>
      <c r="C921" s="14"/>
      <c r="D921" s="13"/>
      <c r="E921" s="13"/>
      <c r="F921" s="13"/>
      <c r="G921" s="13"/>
      <c r="H921" s="13"/>
      <c r="I921" s="13"/>
      <c r="J921" s="13"/>
      <c r="K921" s="13"/>
      <c r="L921" s="13"/>
      <c r="M921" s="13"/>
      <c r="N921" s="15"/>
    </row>
    <row r="922" spans="1:14" x14ac:dyDescent="0.2">
      <c r="A922" s="8"/>
      <c r="B922" s="9"/>
      <c r="C922" s="10"/>
      <c r="D922" s="9"/>
      <c r="E922" s="9"/>
      <c r="F922" s="9"/>
      <c r="G922" s="9"/>
      <c r="H922" s="9"/>
      <c r="I922" s="9"/>
      <c r="J922" s="9"/>
      <c r="K922" s="9"/>
      <c r="L922" s="9"/>
      <c r="M922" s="9"/>
      <c r="N922" s="11"/>
    </row>
    <row r="923" spans="1:14" x14ac:dyDescent="0.2">
      <c r="A923" s="12"/>
      <c r="B923" s="13"/>
      <c r="C923" s="14"/>
      <c r="D923" s="13"/>
      <c r="E923" s="13"/>
      <c r="F923" s="13"/>
      <c r="G923" s="13"/>
      <c r="H923" s="13"/>
      <c r="I923" s="13"/>
      <c r="J923" s="13"/>
      <c r="K923" s="13"/>
      <c r="L923" s="13"/>
      <c r="M923" s="13"/>
      <c r="N923" s="15"/>
    </row>
    <row r="924" spans="1:14" x14ac:dyDescent="0.2">
      <c r="A924" s="8"/>
      <c r="B924" s="9"/>
      <c r="C924" s="10"/>
      <c r="D924" s="9"/>
      <c r="E924" s="9"/>
      <c r="F924" s="9"/>
      <c r="G924" s="9"/>
      <c r="H924" s="9"/>
      <c r="I924" s="9"/>
      <c r="J924" s="9"/>
      <c r="K924" s="9"/>
      <c r="L924" s="9"/>
      <c r="M924" s="9"/>
      <c r="N924" s="11"/>
    </row>
    <row r="925" spans="1:14" x14ac:dyDescent="0.2">
      <c r="A925" s="12"/>
      <c r="B925" s="13"/>
      <c r="C925" s="14"/>
      <c r="D925" s="13"/>
      <c r="E925" s="13"/>
      <c r="F925" s="13"/>
      <c r="G925" s="13"/>
      <c r="H925" s="13"/>
      <c r="I925" s="13"/>
      <c r="J925" s="13"/>
      <c r="K925" s="13"/>
      <c r="L925" s="13"/>
      <c r="M925" s="13"/>
      <c r="N925" s="15"/>
    </row>
    <row r="926" spans="1:14" x14ac:dyDescent="0.2">
      <c r="A926" s="8"/>
      <c r="B926" s="9"/>
      <c r="C926" s="10"/>
      <c r="D926" s="9"/>
      <c r="E926" s="9"/>
      <c r="F926" s="9"/>
      <c r="G926" s="9"/>
      <c r="H926" s="9"/>
      <c r="I926" s="9"/>
      <c r="J926" s="9"/>
      <c r="K926" s="9"/>
      <c r="L926" s="9"/>
      <c r="M926" s="9"/>
      <c r="N926" s="11"/>
    </row>
    <row r="927" spans="1:14" x14ac:dyDescent="0.2">
      <c r="A927" s="12"/>
      <c r="B927" s="13"/>
      <c r="C927" s="14"/>
      <c r="D927" s="13"/>
      <c r="E927" s="13"/>
      <c r="F927" s="13"/>
      <c r="G927" s="13"/>
      <c r="H927" s="13"/>
      <c r="I927" s="13"/>
      <c r="J927" s="13"/>
      <c r="K927" s="13"/>
      <c r="L927" s="13"/>
      <c r="M927" s="13"/>
      <c r="N927" s="15"/>
    </row>
    <row r="928" spans="1:14" x14ac:dyDescent="0.2">
      <c r="A928" s="8"/>
      <c r="B928" s="9"/>
      <c r="C928" s="10"/>
      <c r="D928" s="9"/>
      <c r="E928" s="9"/>
      <c r="F928" s="9"/>
      <c r="G928" s="9"/>
      <c r="H928" s="9"/>
      <c r="I928" s="9"/>
      <c r="J928" s="9"/>
      <c r="K928" s="9"/>
      <c r="L928" s="9"/>
      <c r="M928" s="9"/>
      <c r="N928" s="11"/>
    </row>
    <row r="929" spans="1:14" x14ac:dyDescent="0.2">
      <c r="A929" s="12"/>
      <c r="B929" s="13"/>
      <c r="C929" s="14"/>
      <c r="D929" s="13"/>
      <c r="E929" s="13"/>
      <c r="F929" s="13"/>
      <c r="G929" s="13"/>
      <c r="H929" s="13"/>
      <c r="I929" s="13"/>
      <c r="J929" s="13"/>
      <c r="K929" s="13"/>
      <c r="L929" s="13"/>
      <c r="M929" s="13"/>
      <c r="N929" s="15"/>
    </row>
    <row r="930" spans="1:14" x14ac:dyDescent="0.2">
      <c r="A930" s="8"/>
      <c r="B930" s="9"/>
      <c r="C930" s="10"/>
      <c r="D930" s="9"/>
      <c r="E930" s="9"/>
      <c r="F930" s="9"/>
      <c r="G930" s="9"/>
      <c r="H930" s="9"/>
      <c r="I930" s="9"/>
      <c r="J930" s="9"/>
      <c r="K930" s="9"/>
      <c r="L930" s="9"/>
      <c r="M930" s="9"/>
      <c r="N930" s="11"/>
    </row>
    <row r="931" spans="1:14" x14ac:dyDescent="0.2">
      <c r="A931" s="12"/>
      <c r="B931" s="13"/>
      <c r="C931" s="14"/>
      <c r="D931" s="13"/>
      <c r="E931" s="13"/>
      <c r="F931" s="13"/>
      <c r="G931" s="13"/>
      <c r="H931" s="13"/>
      <c r="I931" s="13"/>
      <c r="J931" s="13"/>
      <c r="K931" s="13"/>
      <c r="L931" s="13"/>
      <c r="M931" s="13"/>
      <c r="N931" s="15"/>
    </row>
    <row r="932" spans="1:14" x14ac:dyDescent="0.2">
      <c r="A932" s="8"/>
      <c r="B932" s="9"/>
      <c r="C932" s="10"/>
      <c r="D932" s="9"/>
      <c r="E932" s="9"/>
      <c r="F932" s="9"/>
      <c r="G932" s="9"/>
      <c r="H932" s="9"/>
      <c r="I932" s="9"/>
      <c r="J932" s="9"/>
      <c r="K932" s="9"/>
      <c r="L932" s="9"/>
      <c r="M932" s="9"/>
      <c r="N932" s="11"/>
    </row>
    <row r="933" spans="1:14" x14ac:dyDescent="0.2">
      <c r="A933" s="12"/>
      <c r="B933" s="13"/>
      <c r="C933" s="14"/>
      <c r="D933" s="13"/>
      <c r="E933" s="13"/>
      <c r="F933" s="13"/>
      <c r="G933" s="13"/>
      <c r="H933" s="13"/>
      <c r="I933" s="13"/>
      <c r="J933" s="13"/>
      <c r="K933" s="13"/>
      <c r="L933" s="13"/>
      <c r="M933" s="13"/>
      <c r="N933" s="15"/>
    </row>
    <row r="934" spans="1:14" x14ac:dyDescent="0.2">
      <c r="A934" s="8"/>
      <c r="B934" s="9"/>
      <c r="C934" s="10"/>
      <c r="D934" s="9"/>
      <c r="E934" s="9"/>
      <c r="F934" s="9"/>
      <c r="G934" s="9"/>
      <c r="H934" s="9"/>
      <c r="I934" s="9"/>
      <c r="J934" s="9"/>
      <c r="K934" s="9"/>
      <c r="L934" s="9"/>
      <c r="M934" s="9"/>
      <c r="N934" s="11"/>
    </row>
    <row r="935" spans="1:14" x14ac:dyDescent="0.2">
      <c r="A935" s="12"/>
      <c r="B935" s="13"/>
      <c r="C935" s="14"/>
      <c r="D935" s="13"/>
      <c r="E935" s="13"/>
      <c r="F935" s="13"/>
      <c r="G935" s="13"/>
      <c r="H935" s="13"/>
      <c r="I935" s="13"/>
      <c r="J935" s="13"/>
      <c r="K935" s="13"/>
      <c r="L935" s="13"/>
      <c r="M935" s="13"/>
      <c r="N935" s="15"/>
    </row>
    <row r="936" spans="1:14" x14ac:dyDescent="0.2">
      <c r="A936" s="8"/>
      <c r="B936" s="9"/>
      <c r="C936" s="10"/>
      <c r="D936" s="9"/>
      <c r="E936" s="9"/>
      <c r="F936" s="9"/>
      <c r="G936" s="9"/>
      <c r="H936" s="9"/>
      <c r="I936" s="9"/>
      <c r="J936" s="9"/>
      <c r="K936" s="9"/>
      <c r="L936" s="9"/>
      <c r="M936" s="9"/>
      <c r="N936" s="11"/>
    </row>
    <row r="937" spans="1:14" x14ac:dyDescent="0.2">
      <c r="A937" s="12"/>
      <c r="B937" s="13"/>
      <c r="C937" s="14"/>
      <c r="D937" s="13"/>
      <c r="E937" s="13"/>
      <c r="F937" s="13"/>
      <c r="G937" s="13"/>
      <c r="H937" s="13"/>
      <c r="I937" s="13"/>
      <c r="J937" s="13"/>
      <c r="K937" s="13"/>
      <c r="L937" s="13"/>
      <c r="M937" s="13"/>
      <c r="N937" s="15"/>
    </row>
    <row r="938" spans="1:14" x14ac:dyDescent="0.2">
      <c r="A938" s="8"/>
      <c r="B938" s="9"/>
      <c r="C938" s="10"/>
      <c r="D938" s="9"/>
      <c r="E938" s="9"/>
      <c r="F938" s="9"/>
      <c r="G938" s="9"/>
      <c r="H938" s="9"/>
      <c r="I938" s="9"/>
      <c r="J938" s="9"/>
      <c r="K938" s="9"/>
      <c r="L938" s="9"/>
      <c r="M938" s="9"/>
      <c r="N938" s="11"/>
    </row>
    <row r="939" spans="1:14" x14ac:dyDescent="0.2">
      <c r="A939" s="12"/>
      <c r="B939" s="13"/>
      <c r="C939" s="14"/>
      <c r="D939" s="13"/>
      <c r="E939" s="13"/>
      <c r="F939" s="13"/>
      <c r="G939" s="13"/>
      <c r="H939" s="13"/>
      <c r="I939" s="13"/>
      <c r="J939" s="13"/>
      <c r="K939" s="13"/>
      <c r="L939" s="13"/>
      <c r="M939" s="13"/>
      <c r="N939" s="15"/>
    </row>
    <row r="940" spans="1:14" x14ac:dyDescent="0.2">
      <c r="A940" s="8"/>
      <c r="B940" s="9"/>
      <c r="C940" s="10"/>
      <c r="D940" s="9"/>
      <c r="E940" s="9"/>
      <c r="F940" s="9"/>
      <c r="G940" s="9"/>
      <c r="H940" s="9"/>
      <c r="I940" s="9"/>
      <c r="J940" s="9"/>
      <c r="K940" s="9"/>
      <c r="L940" s="9"/>
      <c r="M940" s="9"/>
      <c r="N940" s="11"/>
    </row>
    <row r="941" spans="1:14" x14ac:dyDescent="0.2">
      <c r="A941" s="12"/>
      <c r="B941" s="13"/>
      <c r="C941" s="14"/>
      <c r="D941" s="13"/>
      <c r="E941" s="13"/>
      <c r="F941" s="13"/>
      <c r="G941" s="13"/>
      <c r="H941" s="13"/>
      <c r="I941" s="13"/>
      <c r="J941" s="13"/>
      <c r="K941" s="13"/>
      <c r="L941" s="13"/>
      <c r="M941" s="13"/>
      <c r="N941" s="15"/>
    </row>
    <row r="942" spans="1:14" x14ac:dyDescent="0.2">
      <c r="A942" s="8"/>
      <c r="B942" s="9"/>
      <c r="C942" s="10"/>
      <c r="D942" s="9"/>
      <c r="E942" s="9"/>
      <c r="F942" s="9"/>
      <c r="G942" s="9"/>
      <c r="H942" s="9"/>
      <c r="I942" s="9"/>
      <c r="J942" s="9"/>
      <c r="K942" s="9"/>
      <c r="L942" s="9"/>
      <c r="M942" s="9"/>
      <c r="N942" s="11"/>
    </row>
    <row r="943" spans="1:14" x14ac:dyDescent="0.2">
      <c r="A943" s="12"/>
      <c r="B943" s="13"/>
      <c r="C943" s="14"/>
      <c r="D943" s="13"/>
      <c r="E943" s="13"/>
      <c r="F943" s="13"/>
      <c r="G943" s="13"/>
      <c r="H943" s="13"/>
      <c r="I943" s="13"/>
      <c r="J943" s="13"/>
      <c r="K943" s="13"/>
      <c r="L943" s="13"/>
      <c r="M943" s="13"/>
      <c r="N943" s="15"/>
    </row>
    <row r="944" spans="1:14" x14ac:dyDescent="0.2">
      <c r="A944" s="8"/>
      <c r="B944" s="9"/>
      <c r="C944" s="10"/>
      <c r="D944" s="9"/>
      <c r="E944" s="9"/>
      <c r="F944" s="9"/>
      <c r="G944" s="9"/>
      <c r="H944" s="9"/>
      <c r="I944" s="9"/>
      <c r="J944" s="9"/>
      <c r="K944" s="9"/>
      <c r="L944" s="9"/>
      <c r="M944" s="9"/>
      <c r="N944" s="11"/>
    </row>
    <row r="945" spans="1:14" x14ac:dyDescent="0.2">
      <c r="A945" s="12"/>
      <c r="B945" s="13"/>
      <c r="C945" s="14"/>
      <c r="D945" s="13"/>
      <c r="E945" s="13"/>
      <c r="F945" s="13"/>
      <c r="G945" s="13"/>
      <c r="H945" s="13"/>
      <c r="I945" s="13"/>
      <c r="J945" s="13"/>
      <c r="K945" s="13"/>
      <c r="L945" s="13"/>
      <c r="M945" s="13"/>
      <c r="N945" s="15"/>
    </row>
    <row r="946" spans="1:14" x14ac:dyDescent="0.2">
      <c r="A946" s="8"/>
      <c r="B946" s="9"/>
      <c r="C946" s="10"/>
      <c r="D946" s="9"/>
      <c r="E946" s="9"/>
      <c r="F946" s="9"/>
      <c r="G946" s="9"/>
      <c r="H946" s="9"/>
      <c r="I946" s="9"/>
      <c r="J946" s="9"/>
      <c r="K946" s="9"/>
      <c r="L946" s="9"/>
      <c r="M946" s="9"/>
      <c r="N946" s="11"/>
    </row>
    <row r="947" spans="1:14" x14ac:dyDescent="0.2">
      <c r="A947" s="12"/>
      <c r="B947" s="13"/>
      <c r="C947" s="14"/>
      <c r="D947" s="13"/>
      <c r="E947" s="13"/>
      <c r="F947" s="13"/>
      <c r="G947" s="13"/>
      <c r="H947" s="13"/>
      <c r="I947" s="13"/>
      <c r="J947" s="13"/>
      <c r="K947" s="13"/>
      <c r="L947" s="13"/>
      <c r="M947" s="13"/>
      <c r="N947" s="15"/>
    </row>
    <row r="948" spans="1:14" x14ac:dyDescent="0.2">
      <c r="A948" s="8"/>
      <c r="B948" s="9"/>
      <c r="C948" s="10"/>
      <c r="D948" s="9"/>
      <c r="E948" s="9"/>
      <c r="F948" s="9"/>
      <c r="G948" s="9"/>
      <c r="H948" s="9"/>
      <c r="I948" s="9"/>
      <c r="J948" s="9"/>
      <c r="K948" s="9"/>
      <c r="L948" s="9"/>
      <c r="M948" s="9"/>
      <c r="N948" s="11"/>
    </row>
    <row r="949" spans="1:14" x14ac:dyDescent="0.2">
      <c r="A949" s="12"/>
      <c r="B949" s="13"/>
      <c r="C949" s="14"/>
      <c r="D949" s="13"/>
      <c r="E949" s="13"/>
      <c r="F949" s="13"/>
      <c r="G949" s="13"/>
      <c r="H949" s="13"/>
      <c r="I949" s="13"/>
      <c r="J949" s="13"/>
      <c r="K949" s="13"/>
      <c r="L949" s="13"/>
      <c r="M949" s="13"/>
      <c r="N949" s="15"/>
    </row>
    <row r="950" spans="1:14" x14ac:dyDescent="0.2">
      <c r="A950" s="8"/>
      <c r="B950" s="9"/>
      <c r="C950" s="10"/>
      <c r="D950" s="9"/>
      <c r="E950" s="9"/>
      <c r="F950" s="9"/>
      <c r="G950" s="9"/>
      <c r="H950" s="9"/>
      <c r="I950" s="9"/>
      <c r="J950" s="9"/>
      <c r="K950" s="9"/>
      <c r="L950" s="9"/>
      <c r="M950" s="9"/>
      <c r="N950" s="11"/>
    </row>
    <row r="951" spans="1:14" x14ac:dyDescent="0.2">
      <c r="A951" s="12"/>
      <c r="B951" s="13"/>
      <c r="C951" s="14"/>
      <c r="D951" s="13"/>
      <c r="E951" s="13"/>
      <c r="F951" s="13"/>
      <c r="G951" s="13"/>
      <c r="H951" s="13"/>
      <c r="I951" s="13"/>
      <c r="J951" s="13"/>
      <c r="K951" s="13"/>
      <c r="L951" s="13"/>
      <c r="M951" s="13"/>
      <c r="N951" s="15"/>
    </row>
    <row r="952" spans="1:14" x14ac:dyDescent="0.2">
      <c r="A952" s="8"/>
      <c r="B952" s="9"/>
      <c r="C952" s="10"/>
      <c r="D952" s="9"/>
      <c r="E952" s="9"/>
      <c r="F952" s="9"/>
      <c r="G952" s="9"/>
      <c r="H952" s="9"/>
      <c r="I952" s="9"/>
      <c r="J952" s="9"/>
      <c r="K952" s="9"/>
      <c r="L952" s="9"/>
      <c r="M952" s="9"/>
      <c r="N952" s="11"/>
    </row>
    <row r="953" spans="1:14" x14ac:dyDescent="0.2">
      <c r="A953" s="12"/>
      <c r="B953" s="13"/>
      <c r="C953" s="14"/>
      <c r="D953" s="13"/>
      <c r="E953" s="13"/>
      <c r="F953" s="13"/>
      <c r="G953" s="13"/>
      <c r="H953" s="13"/>
      <c r="I953" s="13"/>
      <c r="J953" s="13"/>
      <c r="K953" s="13"/>
      <c r="L953" s="13"/>
      <c r="M953" s="13"/>
      <c r="N953" s="15"/>
    </row>
    <row r="954" spans="1:14" x14ac:dyDescent="0.2">
      <c r="A954" s="8"/>
      <c r="B954" s="9"/>
      <c r="C954" s="10"/>
      <c r="D954" s="9"/>
      <c r="E954" s="9"/>
      <c r="F954" s="9"/>
      <c r="G954" s="9"/>
      <c r="H954" s="9"/>
      <c r="I954" s="9"/>
      <c r="J954" s="9"/>
      <c r="K954" s="9"/>
      <c r="L954" s="9"/>
      <c r="M954" s="9"/>
      <c r="N954" s="11"/>
    </row>
    <row r="955" spans="1:14" x14ac:dyDescent="0.2">
      <c r="A955" s="12"/>
      <c r="B955" s="13"/>
      <c r="C955" s="14"/>
      <c r="D955" s="13"/>
      <c r="E955" s="13"/>
      <c r="F955" s="13"/>
      <c r="G955" s="13"/>
      <c r="H955" s="13"/>
      <c r="I955" s="13"/>
      <c r="J955" s="13"/>
      <c r="K955" s="13"/>
      <c r="L955" s="13"/>
      <c r="M955" s="13"/>
      <c r="N955" s="15"/>
    </row>
    <row r="956" spans="1:14" x14ac:dyDescent="0.2">
      <c r="A956" s="8"/>
      <c r="B956" s="9"/>
      <c r="C956" s="10"/>
      <c r="D956" s="9"/>
      <c r="E956" s="9"/>
      <c r="F956" s="9"/>
      <c r="G956" s="9"/>
      <c r="H956" s="9"/>
      <c r="I956" s="9"/>
      <c r="J956" s="9"/>
      <c r="K956" s="9"/>
      <c r="L956" s="9"/>
      <c r="M956" s="9"/>
      <c r="N956" s="11"/>
    </row>
    <row r="957" spans="1:14" x14ac:dyDescent="0.2">
      <c r="A957" s="12"/>
      <c r="B957" s="13"/>
      <c r="C957" s="14"/>
      <c r="D957" s="13"/>
      <c r="E957" s="13"/>
      <c r="F957" s="13"/>
      <c r="G957" s="13"/>
      <c r="H957" s="13"/>
      <c r="I957" s="13"/>
      <c r="J957" s="13"/>
      <c r="K957" s="13"/>
      <c r="L957" s="13"/>
      <c r="M957" s="13"/>
      <c r="N957" s="15"/>
    </row>
    <row r="958" spans="1:14" x14ac:dyDescent="0.2">
      <c r="A958" s="8"/>
      <c r="B958" s="9"/>
      <c r="C958" s="10"/>
      <c r="D958" s="9"/>
      <c r="E958" s="9"/>
      <c r="F958" s="9"/>
      <c r="G958" s="9"/>
      <c r="H958" s="9"/>
      <c r="I958" s="9"/>
      <c r="J958" s="9"/>
      <c r="K958" s="9"/>
      <c r="L958" s="9"/>
      <c r="M958" s="9"/>
      <c r="N958" s="11"/>
    </row>
    <row r="959" spans="1:14" x14ac:dyDescent="0.2">
      <c r="A959" s="12"/>
      <c r="B959" s="13"/>
      <c r="C959" s="14"/>
      <c r="D959" s="13"/>
      <c r="E959" s="13"/>
      <c r="F959" s="13"/>
      <c r="G959" s="13"/>
      <c r="H959" s="13"/>
      <c r="I959" s="13"/>
      <c r="J959" s="13"/>
      <c r="K959" s="13"/>
      <c r="L959" s="13"/>
      <c r="M959" s="13"/>
      <c r="N959" s="15"/>
    </row>
    <row r="960" spans="1:14" x14ac:dyDescent="0.2">
      <c r="A960" s="8"/>
      <c r="B960" s="9"/>
      <c r="C960" s="10"/>
      <c r="D960" s="9"/>
      <c r="E960" s="9"/>
      <c r="F960" s="9"/>
      <c r="G960" s="9"/>
      <c r="H960" s="9"/>
      <c r="I960" s="9"/>
      <c r="J960" s="9"/>
      <c r="K960" s="9"/>
      <c r="L960" s="9"/>
      <c r="M960" s="9"/>
      <c r="N960" s="11"/>
    </row>
    <row r="961" spans="1:14" x14ac:dyDescent="0.2">
      <c r="A961" s="12"/>
      <c r="B961" s="13"/>
      <c r="C961" s="14"/>
      <c r="D961" s="13"/>
      <c r="E961" s="13"/>
      <c r="F961" s="13"/>
      <c r="G961" s="13"/>
      <c r="H961" s="13"/>
      <c r="I961" s="13"/>
      <c r="J961" s="13"/>
      <c r="K961" s="13"/>
      <c r="L961" s="13"/>
      <c r="M961" s="13"/>
      <c r="N961" s="15"/>
    </row>
    <row r="962" spans="1:14" x14ac:dyDescent="0.2">
      <c r="A962" s="8"/>
      <c r="B962" s="9"/>
      <c r="C962" s="10"/>
      <c r="D962" s="9"/>
      <c r="E962" s="9"/>
      <c r="F962" s="9"/>
      <c r="G962" s="9"/>
      <c r="H962" s="9"/>
      <c r="I962" s="9"/>
      <c r="J962" s="9"/>
      <c r="K962" s="9"/>
      <c r="L962" s="9"/>
      <c r="M962" s="9"/>
      <c r="N962" s="11"/>
    </row>
    <row r="963" spans="1:14" x14ac:dyDescent="0.2">
      <c r="A963" s="12"/>
      <c r="B963" s="13"/>
      <c r="C963" s="14"/>
      <c r="D963" s="13"/>
      <c r="E963" s="13"/>
      <c r="F963" s="13"/>
      <c r="G963" s="13"/>
      <c r="H963" s="13"/>
      <c r="I963" s="13"/>
      <c r="J963" s="13"/>
      <c r="K963" s="13"/>
      <c r="L963" s="13"/>
      <c r="M963" s="13"/>
      <c r="N963" s="15"/>
    </row>
    <row r="964" spans="1:14" x14ac:dyDescent="0.2">
      <c r="A964" s="8"/>
      <c r="B964" s="9"/>
      <c r="C964" s="10"/>
      <c r="D964" s="9"/>
      <c r="E964" s="9"/>
      <c r="F964" s="9"/>
      <c r="G964" s="9"/>
      <c r="H964" s="9"/>
      <c r="I964" s="9"/>
      <c r="J964" s="9"/>
      <c r="K964" s="9"/>
      <c r="L964" s="9"/>
      <c r="M964" s="9"/>
      <c r="N964" s="11"/>
    </row>
    <row r="965" spans="1:14" x14ac:dyDescent="0.2">
      <c r="A965" s="12"/>
      <c r="B965" s="13"/>
      <c r="C965" s="14"/>
      <c r="D965" s="13"/>
      <c r="E965" s="13"/>
      <c r="F965" s="13"/>
      <c r="G965" s="13"/>
      <c r="H965" s="13"/>
      <c r="I965" s="13"/>
      <c r="J965" s="13"/>
      <c r="K965" s="13"/>
      <c r="L965" s="13"/>
      <c r="M965" s="13"/>
      <c r="N965" s="15"/>
    </row>
    <row r="966" spans="1:14" x14ac:dyDescent="0.2">
      <c r="A966" s="8"/>
      <c r="B966" s="9"/>
      <c r="C966" s="10"/>
      <c r="D966" s="9"/>
      <c r="E966" s="9"/>
      <c r="F966" s="9"/>
      <c r="G966" s="9"/>
      <c r="H966" s="9"/>
      <c r="I966" s="9"/>
      <c r="J966" s="9"/>
      <c r="K966" s="9"/>
      <c r="L966" s="9"/>
      <c r="M966" s="9"/>
      <c r="N966" s="11"/>
    </row>
    <row r="967" spans="1:14" x14ac:dyDescent="0.2">
      <c r="A967" s="12"/>
      <c r="B967" s="13"/>
      <c r="C967" s="14"/>
      <c r="D967" s="13"/>
      <c r="E967" s="13"/>
      <c r="F967" s="13"/>
      <c r="G967" s="13"/>
      <c r="H967" s="13"/>
      <c r="I967" s="13"/>
      <c r="J967" s="13"/>
      <c r="K967" s="13"/>
      <c r="L967" s="13"/>
      <c r="M967" s="13"/>
      <c r="N967" s="15"/>
    </row>
    <row r="968" spans="1:14" x14ac:dyDescent="0.2">
      <c r="A968" s="8"/>
      <c r="B968" s="9"/>
      <c r="C968" s="10"/>
      <c r="D968" s="9"/>
      <c r="E968" s="9"/>
      <c r="F968" s="9"/>
      <c r="G968" s="9"/>
      <c r="H968" s="9"/>
      <c r="I968" s="9"/>
      <c r="J968" s="9"/>
      <c r="K968" s="9"/>
      <c r="L968" s="9"/>
      <c r="M968" s="9"/>
      <c r="N968" s="11"/>
    </row>
    <row r="969" spans="1:14" x14ac:dyDescent="0.2">
      <c r="A969" s="12"/>
      <c r="B969" s="13"/>
      <c r="C969" s="14"/>
      <c r="D969" s="13"/>
      <c r="E969" s="13"/>
      <c r="F969" s="13"/>
      <c r="G969" s="13"/>
      <c r="H969" s="13"/>
      <c r="I969" s="13"/>
      <c r="J969" s="13"/>
      <c r="K969" s="13"/>
      <c r="L969" s="13"/>
      <c r="M969" s="13"/>
      <c r="N969" s="15"/>
    </row>
    <row r="970" spans="1:14" x14ac:dyDescent="0.2">
      <c r="A970" s="8"/>
      <c r="B970" s="9"/>
      <c r="C970" s="10"/>
      <c r="D970" s="9"/>
      <c r="E970" s="9"/>
      <c r="F970" s="9"/>
      <c r="G970" s="9"/>
      <c r="H970" s="9"/>
      <c r="I970" s="9"/>
      <c r="J970" s="9"/>
      <c r="K970" s="9"/>
      <c r="L970" s="9"/>
      <c r="M970" s="9"/>
      <c r="N970" s="11"/>
    </row>
    <row r="971" spans="1:14" x14ac:dyDescent="0.2">
      <c r="A971" s="12"/>
      <c r="B971" s="13"/>
      <c r="C971" s="14"/>
      <c r="D971" s="13"/>
      <c r="E971" s="13"/>
      <c r="F971" s="13"/>
      <c r="G971" s="13"/>
      <c r="H971" s="13"/>
      <c r="I971" s="13"/>
      <c r="J971" s="13"/>
      <c r="K971" s="13"/>
      <c r="L971" s="13"/>
      <c r="M971" s="13"/>
      <c r="N971" s="15"/>
    </row>
    <row r="972" spans="1:14" x14ac:dyDescent="0.2">
      <c r="A972" s="8"/>
      <c r="B972" s="9"/>
      <c r="C972" s="10"/>
      <c r="D972" s="9"/>
      <c r="E972" s="9"/>
      <c r="F972" s="9"/>
      <c r="G972" s="9"/>
      <c r="H972" s="9"/>
      <c r="I972" s="9"/>
      <c r="J972" s="9"/>
      <c r="K972" s="9"/>
      <c r="L972" s="9"/>
      <c r="M972" s="9"/>
      <c r="N972" s="11"/>
    </row>
    <row r="973" spans="1:14" x14ac:dyDescent="0.2">
      <c r="A973" s="12"/>
      <c r="B973" s="13"/>
      <c r="C973" s="14"/>
      <c r="D973" s="13"/>
      <c r="E973" s="13"/>
      <c r="F973" s="13"/>
      <c r="G973" s="13"/>
      <c r="H973" s="13"/>
      <c r="I973" s="13"/>
      <c r="J973" s="13"/>
      <c r="K973" s="13"/>
      <c r="L973" s="13"/>
      <c r="M973" s="13"/>
      <c r="N973" s="15"/>
    </row>
    <row r="974" spans="1:14" x14ac:dyDescent="0.2">
      <c r="A974" s="8"/>
      <c r="B974" s="9"/>
      <c r="C974" s="10"/>
      <c r="D974" s="9"/>
      <c r="E974" s="9"/>
      <c r="F974" s="9"/>
      <c r="G974" s="9"/>
      <c r="H974" s="9"/>
      <c r="I974" s="9"/>
      <c r="J974" s="9"/>
      <c r="K974" s="9"/>
      <c r="L974" s="9"/>
      <c r="M974" s="9"/>
      <c r="N974" s="11"/>
    </row>
    <row r="975" spans="1:14" x14ac:dyDescent="0.2">
      <c r="A975" s="12"/>
      <c r="B975" s="13"/>
      <c r="C975" s="14"/>
      <c r="D975" s="13"/>
      <c r="E975" s="13"/>
      <c r="F975" s="13"/>
      <c r="G975" s="13"/>
      <c r="H975" s="13"/>
      <c r="I975" s="13"/>
      <c r="J975" s="13"/>
      <c r="K975" s="13"/>
      <c r="L975" s="13"/>
      <c r="M975" s="13"/>
      <c r="N975" s="15"/>
    </row>
    <row r="976" spans="1:14" x14ac:dyDescent="0.2">
      <c r="A976" s="8"/>
      <c r="B976" s="9"/>
      <c r="C976" s="10"/>
      <c r="D976" s="9"/>
      <c r="E976" s="9"/>
      <c r="F976" s="9"/>
      <c r="G976" s="9"/>
      <c r="H976" s="9"/>
      <c r="I976" s="9"/>
      <c r="J976" s="9"/>
      <c r="K976" s="9"/>
      <c r="L976" s="9"/>
      <c r="M976" s="9"/>
      <c r="N976" s="11"/>
    </row>
    <row r="977" spans="1:14" x14ac:dyDescent="0.2">
      <c r="A977" s="12"/>
      <c r="B977" s="13"/>
      <c r="C977" s="14"/>
      <c r="D977" s="13"/>
      <c r="E977" s="13"/>
      <c r="F977" s="13"/>
      <c r="G977" s="13"/>
      <c r="H977" s="13"/>
      <c r="I977" s="13"/>
      <c r="J977" s="13"/>
      <c r="K977" s="13"/>
      <c r="L977" s="13"/>
      <c r="M977" s="13"/>
      <c r="N977" s="15"/>
    </row>
    <row r="978" spans="1:14" x14ac:dyDescent="0.2">
      <c r="A978" s="8"/>
      <c r="B978" s="9"/>
      <c r="C978" s="10"/>
      <c r="D978" s="9"/>
      <c r="E978" s="9"/>
      <c r="F978" s="9"/>
      <c r="G978" s="9"/>
      <c r="H978" s="9"/>
      <c r="I978" s="9"/>
      <c r="J978" s="9"/>
      <c r="K978" s="9"/>
      <c r="L978" s="9"/>
      <c r="M978" s="9"/>
      <c r="N978" s="11"/>
    </row>
    <row r="979" spans="1:14" x14ac:dyDescent="0.2">
      <c r="A979" s="12"/>
      <c r="B979" s="13"/>
      <c r="C979" s="14"/>
      <c r="D979" s="13"/>
      <c r="E979" s="13"/>
      <c r="F979" s="13"/>
      <c r="G979" s="13"/>
      <c r="H979" s="13"/>
      <c r="I979" s="13"/>
      <c r="J979" s="13"/>
      <c r="K979" s="13"/>
      <c r="L979" s="13"/>
      <c r="M979" s="13"/>
      <c r="N979" s="15"/>
    </row>
    <row r="980" spans="1:14" x14ac:dyDescent="0.2">
      <c r="A980" s="8"/>
      <c r="B980" s="9"/>
      <c r="C980" s="10"/>
      <c r="D980" s="9"/>
      <c r="E980" s="9"/>
      <c r="F980" s="9"/>
      <c r="G980" s="9"/>
      <c r="H980" s="9"/>
      <c r="I980" s="9"/>
      <c r="J980" s="9"/>
      <c r="K980" s="9"/>
      <c r="L980" s="9"/>
      <c r="M980" s="9"/>
      <c r="N980" s="11"/>
    </row>
    <row r="981" spans="1:14" x14ac:dyDescent="0.2">
      <c r="A981" s="12"/>
      <c r="B981" s="13"/>
      <c r="C981" s="14"/>
      <c r="D981" s="13"/>
      <c r="E981" s="13"/>
      <c r="F981" s="13"/>
      <c r="G981" s="13"/>
      <c r="H981" s="13"/>
      <c r="I981" s="13"/>
      <c r="J981" s="13"/>
      <c r="K981" s="13"/>
      <c r="L981" s="13"/>
      <c r="M981" s="13"/>
      <c r="N981" s="15"/>
    </row>
    <row r="982" spans="1:14" x14ac:dyDescent="0.2">
      <c r="A982" s="8"/>
      <c r="B982" s="9"/>
      <c r="C982" s="10"/>
      <c r="D982" s="9"/>
      <c r="E982" s="9"/>
      <c r="F982" s="9"/>
      <c r="G982" s="9"/>
      <c r="H982" s="9"/>
      <c r="I982" s="9"/>
      <c r="J982" s="9"/>
      <c r="K982" s="9"/>
      <c r="L982" s="9"/>
      <c r="M982" s="9"/>
      <c r="N982" s="11"/>
    </row>
    <row r="983" spans="1:14" x14ac:dyDescent="0.2">
      <c r="A983" s="12"/>
      <c r="B983" s="13"/>
      <c r="C983" s="14"/>
      <c r="D983" s="13"/>
      <c r="E983" s="13"/>
      <c r="F983" s="13"/>
      <c r="G983" s="13"/>
      <c r="H983" s="13"/>
      <c r="I983" s="13"/>
      <c r="J983" s="13"/>
      <c r="K983" s="13"/>
      <c r="L983" s="13"/>
      <c r="M983" s="13"/>
      <c r="N983" s="15"/>
    </row>
    <row r="984" spans="1:14" x14ac:dyDescent="0.2">
      <c r="A984" s="8"/>
      <c r="B984" s="9"/>
      <c r="C984" s="10"/>
      <c r="D984" s="9"/>
      <c r="E984" s="9"/>
      <c r="F984" s="9"/>
      <c r="G984" s="9"/>
      <c r="H984" s="9"/>
      <c r="I984" s="9"/>
      <c r="J984" s="9"/>
      <c r="K984" s="9"/>
      <c r="L984" s="9"/>
      <c r="M984" s="9"/>
      <c r="N984" s="11"/>
    </row>
    <row r="985" spans="1:14" x14ac:dyDescent="0.2">
      <c r="A985" s="12"/>
      <c r="B985" s="13"/>
      <c r="C985" s="14"/>
      <c r="D985" s="13"/>
      <c r="E985" s="13"/>
      <c r="F985" s="13"/>
      <c r="G985" s="13"/>
      <c r="H985" s="13"/>
      <c r="I985" s="13"/>
      <c r="J985" s="13"/>
      <c r="K985" s="13"/>
      <c r="L985" s="13"/>
      <c r="M985" s="13"/>
      <c r="N985" s="15"/>
    </row>
    <row r="986" spans="1:14" x14ac:dyDescent="0.2">
      <c r="A986" s="8"/>
      <c r="B986" s="9"/>
      <c r="C986" s="10"/>
      <c r="D986" s="9"/>
      <c r="E986" s="9"/>
      <c r="F986" s="9"/>
      <c r="G986" s="9"/>
      <c r="H986" s="9"/>
      <c r="I986" s="9"/>
      <c r="J986" s="9"/>
      <c r="K986" s="9"/>
      <c r="L986" s="9"/>
      <c r="M986" s="9"/>
      <c r="N986" s="11"/>
    </row>
    <row r="987" spans="1:14" x14ac:dyDescent="0.2">
      <c r="A987" s="12"/>
      <c r="B987" s="13"/>
      <c r="C987" s="14"/>
      <c r="D987" s="13"/>
      <c r="E987" s="13"/>
      <c r="F987" s="13"/>
      <c r="G987" s="13"/>
      <c r="H987" s="13"/>
      <c r="I987" s="13"/>
      <c r="J987" s="13"/>
      <c r="K987" s="13"/>
      <c r="L987" s="13"/>
      <c r="M987" s="13"/>
      <c r="N987" s="15"/>
    </row>
    <row r="988" spans="1:14" x14ac:dyDescent="0.2">
      <c r="A988" s="8"/>
      <c r="B988" s="9"/>
      <c r="C988" s="10"/>
      <c r="D988" s="9"/>
      <c r="E988" s="9"/>
      <c r="F988" s="9"/>
      <c r="G988" s="9"/>
      <c r="H988" s="9"/>
      <c r="I988" s="9"/>
      <c r="J988" s="9"/>
      <c r="K988" s="9"/>
      <c r="L988" s="9"/>
      <c r="M988" s="9"/>
      <c r="N988" s="11"/>
    </row>
    <row r="989" spans="1:14" x14ac:dyDescent="0.2">
      <c r="A989" s="12"/>
      <c r="B989" s="13"/>
      <c r="C989" s="14"/>
      <c r="D989" s="13"/>
      <c r="E989" s="13"/>
      <c r="F989" s="13"/>
      <c r="G989" s="13"/>
      <c r="H989" s="13"/>
      <c r="I989" s="13"/>
      <c r="J989" s="13"/>
      <c r="K989" s="13"/>
      <c r="L989" s="13"/>
      <c r="M989" s="13"/>
      <c r="N989" s="15"/>
    </row>
    <row r="990" spans="1:14" x14ac:dyDescent="0.2">
      <c r="A990" s="8"/>
      <c r="B990" s="9"/>
      <c r="C990" s="10"/>
      <c r="D990" s="9"/>
      <c r="E990" s="9"/>
      <c r="F990" s="9"/>
      <c r="G990" s="9"/>
      <c r="H990" s="9"/>
      <c r="I990" s="9"/>
      <c r="J990" s="9"/>
      <c r="K990" s="9"/>
      <c r="L990" s="9"/>
      <c r="M990" s="9"/>
      <c r="N990" s="11"/>
    </row>
    <row r="991" spans="1:14" x14ac:dyDescent="0.2">
      <c r="A991" s="12"/>
      <c r="B991" s="13"/>
      <c r="C991" s="14"/>
      <c r="D991" s="13"/>
      <c r="E991" s="13"/>
      <c r="F991" s="13"/>
      <c r="G991" s="13"/>
      <c r="H991" s="13"/>
      <c r="I991" s="13"/>
      <c r="J991" s="13"/>
      <c r="K991" s="13"/>
      <c r="L991" s="13"/>
      <c r="M991" s="13"/>
      <c r="N991" s="15"/>
    </row>
    <row r="992" spans="1:14" x14ac:dyDescent="0.2">
      <c r="A992" s="8"/>
      <c r="B992" s="9"/>
      <c r="C992" s="10"/>
      <c r="D992" s="9"/>
      <c r="E992" s="9"/>
      <c r="F992" s="9"/>
      <c r="G992" s="9"/>
      <c r="H992" s="9"/>
      <c r="I992" s="9"/>
      <c r="J992" s="9"/>
      <c r="K992" s="9"/>
      <c r="L992" s="9"/>
      <c r="M992" s="9"/>
      <c r="N992" s="11"/>
    </row>
    <row r="993" spans="1:14" x14ac:dyDescent="0.2">
      <c r="A993" s="12"/>
      <c r="B993" s="13"/>
      <c r="C993" s="14"/>
      <c r="D993" s="13"/>
      <c r="E993" s="13"/>
      <c r="F993" s="13"/>
      <c r="G993" s="13"/>
      <c r="H993" s="13"/>
      <c r="I993" s="13"/>
      <c r="J993" s="13"/>
      <c r="K993" s="13"/>
      <c r="L993" s="13"/>
      <c r="M993" s="13"/>
      <c r="N993" s="15"/>
    </row>
    <row r="994" spans="1:14" x14ac:dyDescent="0.2">
      <c r="A994" s="8"/>
      <c r="B994" s="9"/>
      <c r="C994" s="10"/>
      <c r="D994" s="9"/>
      <c r="E994" s="9"/>
      <c r="F994" s="9"/>
      <c r="G994" s="9"/>
      <c r="H994" s="9"/>
      <c r="I994" s="9"/>
      <c r="J994" s="9"/>
      <c r="K994" s="9"/>
      <c r="L994" s="9"/>
      <c r="M994" s="9"/>
      <c r="N994" s="11"/>
    </row>
    <row r="995" spans="1:14" x14ac:dyDescent="0.2">
      <c r="A995" s="12"/>
      <c r="B995" s="13"/>
      <c r="C995" s="14"/>
      <c r="D995" s="13"/>
      <c r="E995" s="13"/>
      <c r="F995" s="13"/>
      <c r="G995" s="13"/>
      <c r="H995" s="13"/>
      <c r="I995" s="13"/>
      <c r="J995" s="13"/>
      <c r="K995" s="13"/>
      <c r="L995" s="13"/>
      <c r="M995" s="13"/>
      <c r="N995" s="15"/>
    </row>
    <row r="996" spans="1:14" x14ac:dyDescent="0.2">
      <c r="A996" s="8"/>
      <c r="B996" s="9"/>
      <c r="C996" s="10"/>
      <c r="D996" s="9"/>
      <c r="E996" s="9"/>
      <c r="F996" s="9"/>
      <c r="G996" s="9"/>
      <c r="H996" s="9"/>
      <c r="I996" s="9"/>
      <c r="J996" s="9"/>
      <c r="K996" s="9"/>
      <c r="L996" s="9"/>
      <c r="M996" s="9"/>
      <c r="N996" s="11"/>
    </row>
    <row r="997" spans="1:14" x14ac:dyDescent="0.2">
      <c r="A997" s="12"/>
      <c r="B997" s="13"/>
      <c r="C997" s="14"/>
      <c r="D997" s="13"/>
      <c r="E997" s="13"/>
      <c r="F997" s="13"/>
      <c r="G997" s="13"/>
      <c r="H997" s="13"/>
      <c r="I997" s="13"/>
      <c r="J997" s="13"/>
      <c r="K997" s="13"/>
      <c r="L997" s="13"/>
      <c r="M997" s="13"/>
      <c r="N997" s="15"/>
    </row>
    <row r="998" spans="1:14" x14ac:dyDescent="0.2">
      <c r="A998" s="8"/>
      <c r="B998" s="9"/>
      <c r="C998" s="10"/>
      <c r="D998" s="9"/>
      <c r="E998" s="9"/>
      <c r="F998" s="9"/>
      <c r="G998" s="9"/>
      <c r="H998" s="9"/>
      <c r="I998" s="9"/>
      <c r="J998" s="9"/>
      <c r="K998" s="9"/>
      <c r="L998" s="9"/>
      <c r="M998" s="9"/>
      <c r="N998" s="11"/>
    </row>
    <row r="999" spans="1:14" x14ac:dyDescent="0.2">
      <c r="A999" s="12"/>
      <c r="B999" s="13"/>
      <c r="C999" s="14"/>
      <c r="D999" s="13"/>
      <c r="E999" s="13"/>
      <c r="F999" s="13"/>
      <c r="G999" s="13"/>
      <c r="H999" s="13"/>
      <c r="I999" s="13"/>
      <c r="J999" s="13"/>
      <c r="K999" s="13"/>
      <c r="L999" s="13"/>
      <c r="M999" s="13"/>
      <c r="N999" s="15"/>
    </row>
    <row r="1000" spans="1:14" x14ac:dyDescent="0.2">
      <c r="A1000" s="16"/>
      <c r="B1000" s="2"/>
      <c r="C1000" s="17"/>
      <c r="D1000" s="2"/>
      <c r="E1000" s="2"/>
      <c r="F1000" s="2"/>
      <c r="G1000" s="2"/>
      <c r="H1000" s="2"/>
      <c r="I1000" s="2"/>
      <c r="J1000" s="2"/>
      <c r="K1000" s="2"/>
      <c r="L1000" s="2"/>
      <c r="M1000" s="2"/>
      <c r="N1000" s="18"/>
    </row>
  </sheetData>
  <sortState xmlns:xlrd2="http://schemas.microsoft.com/office/spreadsheetml/2017/richdata2" ref="A2:N301">
    <sortCondition descending="1" ref="L2:L30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27A4F-5339-384E-8A57-FB2DCA60EF84}">
  <dimension ref="A1:I1000"/>
  <sheetViews>
    <sheetView zoomScale="113" workbookViewId="0">
      <selection activeCell="H11" sqref="H11"/>
    </sheetView>
  </sheetViews>
  <sheetFormatPr baseColWidth="10" defaultRowHeight="16" x14ac:dyDescent="0.2"/>
  <cols>
    <col min="1" max="1" width="18" bestFit="1" customWidth="1"/>
    <col min="2" max="2" width="11" bestFit="1" customWidth="1"/>
    <col min="3" max="3" width="16.1640625" bestFit="1" customWidth="1"/>
    <col min="4" max="4" width="11.83203125" bestFit="1" customWidth="1"/>
    <col min="5" max="5" width="16.5" bestFit="1" customWidth="1"/>
    <col min="6" max="6" width="18.83203125" bestFit="1" customWidth="1"/>
    <col min="7" max="7" width="11.6640625" bestFit="1" customWidth="1"/>
    <col min="8" max="8" width="22" bestFit="1" customWidth="1"/>
    <col min="9" max="9" width="14.5" bestFit="1" customWidth="1"/>
  </cols>
  <sheetData>
    <row r="1" spans="1:9" x14ac:dyDescent="0.2">
      <c r="A1" s="5" t="s">
        <v>380</v>
      </c>
      <c r="B1" s="6" t="s">
        <v>1</v>
      </c>
      <c r="C1" s="6" t="s">
        <v>381</v>
      </c>
      <c r="D1" s="6" t="s">
        <v>382</v>
      </c>
      <c r="E1" s="6" t="s">
        <v>383</v>
      </c>
      <c r="F1" s="6" t="s">
        <v>384</v>
      </c>
      <c r="G1" s="7" t="s">
        <v>385</v>
      </c>
      <c r="H1" s="25" t="s">
        <v>413</v>
      </c>
      <c r="I1" s="25" t="s">
        <v>420</v>
      </c>
    </row>
    <row r="2" spans="1:9" x14ac:dyDescent="0.2">
      <c r="A2" s="21">
        <v>45446</v>
      </c>
      <c r="B2" s="13" t="s">
        <v>38</v>
      </c>
      <c r="C2" s="13">
        <v>1312</v>
      </c>
      <c r="D2" s="13">
        <v>310</v>
      </c>
      <c r="E2" s="13">
        <v>42654</v>
      </c>
      <c r="F2" s="13">
        <v>4.9800000000000004</v>
      </c>
      <c r="G2" s="15">
        <v>9566</v>
      </c>
      <c r="H2" t="str" cm="1">
        <f t="array" ref="H2">_xlfn.IFS(A2&lt;'Campaign Metadata'!$B$2,"Before CybertruckLaunch",'Engagement Summary'!A3&lt;='Campaign Metadata'!$C$2,"CybertruckLaunch",A2&lt;'Campaign Metadata'!$B$3,"Before ModelYCampaign",A2&lt;='Campaign Metadata'!$C$3,"ModelYCampaign",A2&lt;'Campaign Metadata'!$B$4,"Before FSDUpdate",A2&lt;='Campaign Metadata'!$C$4,FSDUpdate,A2&lt;'Campaign Metadata'!$B$5,Before SustainabilityDrive,A2&lt;'Campaign Metadata'!$C$5,"Sustainability Drive")</f>
        <v>Before CybertruckLaunch</v>
      </c>
      <c r="I2">
        <f t="shared" ref="I2:I33" si="0">C2-D2</f>
        <v>1002</v>
      </c>
    </row>
    <row r="3" spans="1:9" x14ac:dyDescent="0.2">
      <c r="A3" s="21">
        <v>45453</v>
      </c>
      <c r="B3" s="13" t="s">
        <v>38</v>
      </c>
      <c r="C3" s="13">
        <v>1697</v>
      </c>
      <c r="D3" s="13">
        <v>414</v>
      </c>
      <c r="E3" s="13">
        <v>316555</v>
      </c>
      <c r="F3" s="13">
        <v>2.37</v>
      </c>
      <c r="G3" s="15">
        <v>7924</v>
      </c>
      <c r="H3" t="str" cm="1">
        <f t="array" ref="H3">_xlfn.IFS(A3&lt;'Campaign Metadata'!$B$2,"Before CybertruckLaunch",'Engagement Summary'!A7&lt;='Campaign Metadata'!$C$2,"CybertruckLaunch",A3&lt;'Campaign Metadata'!$B$3,"Before ModelYCampaign",A3&lt;='Campaign Metadata'!$C$3,"ModelYCampaign",A3&lt;'Campaign Metadata'!$B$4,"Before FSDUpdate",A3&lt;='Campaign Metadata'!$C$4,FSDUpdate,A3&lt;'Campaign Metadata'!$B$5,Before SustainabilityDrive,A3&lt;'Campaign Metadata'!$C$5,"Sustainability Drive")</f>
        <v>Before CybertruckLaunch</v>
      </c>
      <c r="I3">
        <f t="shared" si="0"/>
        <v>1283</v>
      </c>
    </row>
    <row r="4" spans="1:9" x14ac:dyDescent="0.2">
      <c r="A4" s="21">
        <v>45460</v>
      </c>
      <c r="B4" s="13" t="s">
        <v>38</v>
      </c>
      <c r="C4" s="13">
        <v>1753</v>
      </c>
      <c r="D4" s="13">
        <v>371</v>
      </c>
      <c r="E4" s="13">
        <v>169496</v>
      </c>
      <c r="F4" s="13">
        <v>8.11</v>
      </c>
      <c r="G4" s="15">
        <v>46670</v>
      </c>
      <c r="H4" t="str" cm="1">
        <f t="array" ref="H4">_xlfn.IFS(A4&lt;'Campaign Metadata'!$B$2,"Before CybertruckLaunch",'Engagement Summary'!A11&lt;='Campaign Metadata'!$C$2,"CybertruckLaunch",A4&lt;'Campaign Metadata'!$B$3,"Before ModelYCampaign",A4&lt;='Campaign Metadata'!$C$3,"ModelYCampaign",A4&lt;'Campaign Metadata'!$B$4,"Before FSDUpdate",A4&lt;='Campaign Metadata'!$C$4,FSDUpdate,A4&lt;'Campaign Metadata'!$B$5,Before SustainabilityDrive,A4&lt;'Campaign Metadata'!$C$5,"Sustainability Drive")</f>
        <v>Before ModelYCampaign</v>
      </c>
      <c r="I4">
        <f t="shared" si="0"/>
        <v>1382</v>
      </c>
    </row>
    <row r="5" spans="1:9" x14ac:dyDescent="0.2">
      <c r="A5" s="21">
        <v>45467</v>
      </c>
      <c r="B5" s="13" t="s">
        <v>38</v>
      </c>
      <c r="C5" s="13">
        <v>1779</v>
      </c>
      <c r="D5" s="13">
        <v>109</v>
      </c>
      <c r="E5" s="13">
        <v>26295</v>
      </c>
      <c r="F5" s="13">
        <v>9.1199999999999992</v>
      </c>
      <c r="G5" s="15">
        <v>30635</v>
      </c>
      <c r="H5" t="str" cm="1">
        <f t="array" ref="H5">_xlfn.IFS(A5&lt;'Campaign Metadata'!$B$2,"Before CybertruckLaunch",'Engagement Summary'!A15&lt;='Campaign Metadata'!$C$2,"CybertruckLaunch",A5&lt;'Campaign Metadata'!$B$3,"Before ModelYCampaign",A5&lt;='Campaign Metadata'!$C$3,"ModelYCampaign",A5&lt;'Campaign Metadata'!$B$4,"Before FSDUpdate",A5&lt;='Campaign Metadata'!$C$4,FSDUpdate,A5&lt;'Campaign Metadata'!$B$5,Before SustainabilityDrive,A5&lt;'Campaign Metadata'!$C$5,"Sustainability Drive")</f>
        <v>Before ModelYCampaign</v>
      </c>
      <c r="I5">
        <f t="shared" si="0"/>
        <v>1670</v>
      </c>
    </row>
    <row r="6" spans="1:9" x14ac:dyDescent="0.2">
      <c r="A6" s="21">
        <v>45474</v>
      </c>
      <c r="B6" s="13" t="s">
        <v>38</v>
      </c>
      <c r="C6" s="13">
        <v>505</v>
      </c>
      <c r="D6" s="13">
        <v>441</v>
      </c>
      <c r="E6" s="13">
        <v>220020</v>
      </c>
      <c r="F6" s="13">
        <v>4.4800000000000004</v>
      </c>
      <c r="G6" s="15">
        <v>42307</v>
      </c>
      <c r="H6" t="str" cm="1">
        <f t="array" ref="H6">_xlfn.IFS(A6&lt;'Campaign Metadata'!$B$2,"Before CybertruckLaunch",'Engagement Summary'!A19&lt;='Campaign Metadata'!$C$2,"CybertruckLaunch",A6&lt;'Campaign Metadata'!$B$3,"Before ModelYCampaign",A6&lt;='Campaign Metadata'!$C$3,"ModelYCampaign",A6&lt;'Campaign Metadata'!$B$4,"Before FSDUpdate",A6&lt;='Campaign Metadata'!$C$4,FSDUpdate,A6&lt;'Campaign Metadata'!$B$5,Before SustainabilityDrive,A6&lt;'Campaign Metadata'!$C$5,"Sustainability Drive")</f>
        <v>Before ModelYCampaign</v>
      </c>
      <c r="I6">
        <f t="shared" si="0"/>
        <v>64</v>
      </c>
    </row>
    <row r="7" spans="1:9" x14ac:dyDescent="0.2">
      <c r="A7" s="21">
        <v>45481</v>
      </c>
      <c r="B7" s="13" t="s">
        <v>38</v>
      </c>
      <c r="C7" s="13">
        <v>350</v>
      </c>
      <c r="D7" s="13">
        <v>41</v>
      </c>
      <c r="E7" s="13">
        <v>251694</v>
      </c>
      <c r="F7" s="13">
        <v>1.91</v>
      </c>
      <c r="G7" s="15">
        <v>38610</v>
      </c>
      <c r="H7" t="str" cm="1">
        <f t="array" ref="H7">_xlfn.IFS(A7&lt;'Campaign Metadata'!$B$2,"Before CybertruckLaunch",'Engagement Summary'!A23&lt;='Campaign Metadata'!$C$2,"CybertruckLaunch",A7&lt;'Campaign Metadata'!$B$3,"Before ModelYCampaign",A7&lt;='Campaign Metadata'!$C$3,"ModelYCampaign",A7&lt;'Campaign Metadata'!$B$4,"Before FSDUpdate",A7&lt;='Campaign Metadata'!$C$4,FSDUpdate,A7&lt;'Campaign Metadata'!$B$5,Before SustainabilityDrive,A7&lt;'Campaign Metadata'!$C$5,"Sustainability Drive")</f>
        <v>Before ModelYCampaign</v>
      </c>
      <c r="I7">
        <f t="shared" si="0"/>
        <v>309</v>
      </c>
    </row>
    <row r="8" spans="1:9" x14ac:dyDescent="0.2">
      <c r="A8" s="21">
        <v>45488</v>
      </c>
      <c r="B8" s="13" t="s">
        <v>38</v>
      </c>
      <c r="C8" s="13">
        <v>170</v>
      </c>
      <c r="D8" s="13">
        <v>334</v>
      </c>
      <c r="E8" s="13">
        <v>334626</v>
      </c>
      <c r="F8" s="13">
        <v>6.44</v>
      </c>
      <c r="G8" s="15">
        <v>43420</v>
      </c>
      <c r="H8" t="str" cm="1">
        <f t="array" ref="H8">_xlfn.IFS(A8&lt;'Campaign Metadata'!$B$2,"Before CybertruckLaunch",'Engagement Summary'!A27&lt;='Campaign Metadata'!$C$2,"CybertruckLaunch",A8&lt;'Campaign Metadata'!$B$3,"Before ModelYCampaign",A8&lt;='Campaign Metadata'!$C$3,"ModelYCampaign",A8&lt;'Campaign Metadata'!$B$4,"Before FSDUpdate",A8&lt;='Campaign Metadata'!$C$4,FSDUpdate,A8&lt;'Campaign Metadata'!$B$5,Before SustainabilityDrive,A8&lt;'Campaign Metadata'!$C$5,"Sustainability Drive")</f>
        <v>Before ModelYCampaign</v>
      </c>
      <c r="I8">
        <f t="shared" si="0"/>
        <v>-164</v>
      </c>
    </row>
    <row r="9" spans="1:9" x14ac:dyDescent="0.2">
      <c r="A9" s="21">
        <v>45495</v>
      </c>
      <c r="B9" s="13" t="s">
        <v>38</v>
      </c>
      <c r="C9" s="13">
        <v>1391</v>
      </c>
      <c r="D9" s="13">
        <v>430</v>
      </c>
      <c r="E9" s="13">
        <v>295032</v>
      </c>
      <c r="F9" s="13">
        <v>7.86</v>
      </c>
      <c r="G9" s="15">
        <v>26067</v>
      </c>
      <c r="H9" t="str" cm="1">
        <f t="array" ref="H9">_xlfn.IFS(A9&lt;'Campaign Metadata'!$B$2,"Before CybertruckLaunch",'Engagement Summary'!A31&lt;='Campaign Metadata'!$C$2,"CybertruckLaunch",A9&lt;'Campaign Metadata'!$B$3,"Before ModelYCampaign",A9&lt;='Campaign Metadata'!$C$3,"ModelYCampaign",A9&lt;'Campaign Metadata'!$B$4,"Before FSDUpdate",A9&lt;='Campaign Metadata'!$C$4,FSDUpdate,A9&lt;'Campaign Metadata'!$B$5,Before SustainabilityDrive,A9&lt;'Campaign Metadata'!$C$5,"Sustainability Drive")</f>
        <v>Before ModelYCampaign</v>
      </c>
      <c r="I9">
        <f t="shared" si="0"/>
        <v>961</v>
      </c>
    </row>
    <row r="10" spans="1:9" x14ac:dyDescent="0.2">
      <c r="A10" s="21">
        <v>45502</v>
      </c>
      <c r="B10" s="13" t="s">
        <v>38</v>
      </c>
      <c r="C10" s="13">
        <v>160</v>
      </c>
      <c r="D10" s="13">
        <v>478</v>
      </c>
      <c r="E10" s="13">
        <v>435034</v>
      </c>
      <c r="F10" s="13">
        <v>7.73</v>
      </c>
      <c r="G10" s="15">
        <v>4839</v>
      </c>
      <c r="H10" t="str" cm="1">
        <f t="array" ref="H10">_xlfn.IFS(A10&lt;'Campaign Metadata'!$B$2,"Before CybertruckLaunch",'Engagement Summary'!A35&lt;='Campaign Metadata'!$C$2,"CybertruckLaunch",A10&lt;'Campaign Metadata'!$B$3,"Before ModelYCampaign",A10&lt;='Campaign Metadata'!$C$3,"ModelYCampaign",A10&lt;'Campaign Metadata'!$B$4,"Before FSDUpdate",A10&lt;='Campaign Metadata'!$C$4,FSDUpdate,A10&lt;'Campaign Metadata'!$B$5,Before SustainabilityDrive,A10&lt;'Campaign Metadata'!$C$5,"Sustainability Drive")</f>
        <v>Before ModelYCampaign</v>
      </c>
      <c r="I10">
        <f t="shared" si="0"/>
        <v>-318</v>
      </c>
    </row>
    <row r="11" spans="1:9" x14ac:dyDescent="0.2">
      <c r="A11" s="21">
        <v>45509</v>
      </c>
      <c r="B11" s="13" t="s">
        <v>38</v>
      </c>
      <c r="C11" s="13">
        <v>214</v>
      </c>
      <c r="D11" s="13">
        <v>411</v>
      </c>
      <c r="E11" s="13">
        <v>125034</v>
      </c>
      <c r="F11" s="13">
        <v>6.11</v>
      </c>
      <c r="G11" s="15">
        <v>26455</v>
      </c>
      <c r="H11" t="str" cm="1">
        <f t="array" ref="H11">_xlfn.IFS(A11&lt;'Campaign Metadata'!$B$2,"Before CybertruckLaunch",'Engagement Summary'!A39&lt;='Campaign Metadata'!$C$2,"CybertruckLaunch",A11&lt;'Campaign Metadata'!$B$3,"Before ModelYCampaign",A11&lt;='Campaign Metadata'!$C$3,"ModelYCampaign",A11&lt;'Campaign Metadata'!$B$4,"Before FSDUpdate",A11&lt;='Campaign Metadata'!$C$4,FSDUpdate,A11&lt;'Campaign Metadata'!$B$5,Before SustainabilityDrive,A11&lt;'Campaign Metadata'!$C$5,"Sustainability Drive")</f>
        <v>Before ModelYCampaign</v>
      </c>
      <c r="I11">
        <f t="shared" si="0"/>
        <v>-197</v>
      </c>
    </row>
    <row r="12" spans="1:9" x14ac:dyDescent="0.2">
      <c r="A12" s="21">
        <v>45516</v>
      </c>
      <c r="B12" s="13" t="s">
        <v>38</v>
      </c>
      <c r="C12" s="13">
        <v>1534</v>
      </c>
      <c r="D12" s="13">
        <v>200</v>
      </c>
      <c r="E12" s="13">
        <v>307612</v>
      </c>
      <c r="F12" s="13">
        <v>6.01</v>
      </c>
      <c r="G12" s="15">
        <v>37903</v>
      </c>
      <c r="H12" t="str" cm="1">
        <f t="array" ref="H12">_xlfn.IFS(A12&lt;'Campaign Metadata'!$B$2,"Before CybertruckLaunch",'Engagement Summary'!A43&lt;='Campaign Metadata'!$C$2,"CybertruckLaunch",A12&lt;'Campaign Metadata'!$B$3,"Before ModelYCampaign",A12&lt;='Campaign Metadata'!$C$3,"ModelYCampaign",A12&lt;'Campaign Metadata'!$B$4,"Before FSDUpdate",A12&lt;='Campaign Metadata'!$C$4,FSDUpdate,A12&lt;'Campaign Metadata'!$B$5,Before SustainabilityDrive,A12&lt;'Campaign Metadata'!$C$5,"Sustainability Drive")</f>
        <v>Before ModelYCampaign</v>
      </c>
      <c r="I12">
        <f t="shared" si="0"/>
        <v>1334</v>
      </c>
    </row>
    <row r="13" spans="1:9" x14ac:dyDescent="0.2">
      <c r="A13" s="21">
        <v>45523</v>
      </c>
      <c r="B13" s="13" t="s">
        <v>38</v>
      </c>
      <c r="C13" s="13">
        <v>1078</v>
      </c>
      <c r="D13" s="13">
        <v>20</v>
      </c>
      <c r="E13" s="13">
        <v>183924</v>
      </c>
      <c r="F13" s="13">
        <v>8.84</v>
      </c>
      <c r="G13" s="15">
        <v>14203</v>
      </c>
      <c r="H13" t="str" cm="1">
        <f t="array" ref="H13">_xlfn.IFS(A13&lt;'Campaign Metadata'!$B$2,"Before CybertruckLaunch",'Engagement Summary'!A47&lt;='Campaign Metadata'!$C$2,"CybertruckLaunch",A13&lt;'Campaign Metadata'!$B$3,"Before ModelYCampaign",A13&lt;='Campaign Metadata'!$C$3,"ModelYCampaign",A13&lt;'Campaign Metadata'!$B$4,"Before FSDUpdate",A13&lt;='Campaign Metadata'!$C$4,FSDUpdate,A13&lt;'Campaign Metadata'!$B$5,Before SustainabilityDrive,A13&lt;'Campaign Metadata'!$C$5,"Sustainability Drive")</f>
        <v>Before ModelYCampaign</v>
      </c>
      <c r="I13">
        <f t="shared" si="0"/>
        <v>1058</v>
      </c>
    </row>
    <row r="14" spans="1:9" x14ac:dyDescent="0.2">
      <c r="A14" s="21">
        <v>45530</v>
      </c>
      <c r="B14" s="13" t="s">
        <v>38</v>
      </c>
      <c r="C14" s="13">
        <v>248</v>
      </c>
      <c r="D14" s="13">
        <v>211</v>
      </c>
      <c r="E14" s="13">
        <v>379380</v>
      </c>
      <c r="F14" s="13">
        <v>9.0399999999999991</v>
      </c>
      <c r="G14" s="15">
        <v>26925</v>
      </c>
      <c r="H14" t="str" cm="1">
        <f t="array" ref="H14">_xlfn.IFS(A14&lt;'Campaign Metadata'!$B$2,"Before CybertruckLaunch",'Engagement Summary'!A51&lt;='Campaign Metadata'!$C$2,"CybertruckLaunch",A14&lt;'Campaign Metadata'!$B$3,"Before ModelYCampaign",A14&lt;='Campaign Metadata'!$C$3,"ModelYCampaign",A14&lt;'Campaign Metadata'!$B$4,"Before FSDUpdate",A14&lt;='Campaign Metadata'!$C$4,FSDUpdate,A14&lt;'Campaign Metadata'!$B$5,Before SustainabilityDrive,A14&lt;'Campaign Metadata'!$C$5,"Sustainability Drive")</f>
        <v>Before ModelYCampaign</v>
      </c>
      <c r="I14">
        <f t="shared" si="0"/>
        <v>37</v>
      </c>
    </row>
    <row r="15" spans="1:9" x14ac:dyDescent="0.2">
      <c r="A15" s="21">
        <v>45537</v>
      </c>
      <c r="B15" s="13" t="s">
        <v>38</v>
      </c>
      <c r="C15" s="13">
        <v>1520</v>
      </c>
      <c r="D15" s="13">
        <v>475</v>
      </c>
      <c r="E15" s="13">
        <v>496982</v>
      </c>
      <c r="F15" s="13">
        <v>6.41</v>
      </c>
      <c r="G15" s="15">
        <v>24384</v>
      </c>
      <c r="H15" t="str" cm="1">
        <f t="array" ref="H15">_xlfn.IFS(A15&lt;'Campaign Metadata'!$B$2,"Before CybertruckLaunch",'Engagement Summary'!A55&lt;='Campaign Metadata'!$C$2,"CybertruckLaunch",A15&lt;'Campaign Metadata'!$B$3,"Before ModelYCampaign",A15&lt;='Campaign Metadata'!$C$3,"ModelYCampaign",A15&lt;'Campaign Metadata'!$B$4,"Before FSDUpdate",A15&lt;='Campaign Metadata'!$C$4,FSDUpdate,A15&lt;'Campaign Metadata'!$B$5,Before SustainabilityDrive,A15&lt;'Campaign Metadata'!$C$5,"Sustainability Drive")</f>
        <v>CybertruckLaunch</v>
      </c>
      <c r="I15">
        <f t="shared" si="0"/>
        <v>1045</v>
      </c>
    </row>
    <row r="16" spans="1:9" x14ac:dyDescent="0.2">
      <c r="A16" s="21">
        <v>45544</v>
      </c>
      <c r="B16" s="13" t="s">
        <v>38</v>
      </c>
      <c r="C16" s="13">
        <v>1842</v>
      </c>
      <c r="D16" s="13">
        <v>414</v>
      </c>
      <c r="E16" s="13">
        <v>307524</v>
      </c>
      <c r="F16" s="13">
        <v>1.76</v>
      </c>
      <c r="G16" s="15">
        <v>40478</v>
      </c>
      <c r="H16" t="str" cm="1">
        <f t="array" ref="H16">_xlfn.IFS(A16&lt;'Campaign Metadata'!$B$2,"Before CybertruckLaunch",'Engagement Summary'!A59&lt;='Campaign Metadata'!$C$2,"CybertruckLaunch",A16&lt;'Campaign Metadata'!$B$3,"Before ModelYCampaign",A16&lt;='Campaign Metadata'!$C$3,"ModelYCampaign",A16&lt;'Campaign Metadata'!$B$4,"Before FSDUpdate",A16&lt;='Campaign Metadata'!$C$4,FSDUpdate,A16&lt;'Campaign Metadata'!$B$5,Before SustainabilityDrive,A16&lt;'Campaign Metadata'!$C$5,"Sustainability Drive")</f>
        <v>Before ModelYCampaign</v>
      </c>
      <c r="I16">
        <f t="shared" si="0"/>
        <v>1428</v>
      </c>
    </row>
    <row r="17" spans="1:9" x14ac:dyDescent="0.2">
      <c r="A17" s="21">
        <v>45551</v>
      </c>
      <c r="B17" s="13" t="s">
        <v>38</v>
      </c>
      <c r="C17" s="13">
        <v>443</v>
      </c>
      <c r="D17" s="13">
        <v>345</v>
      </c>
      <c r="E17" s="13">
        <v>474162</v>
      </c>
      <c r="F17" s="13">
        <v>9.1999999999999993</v>
      </c>
      <c r="G17" s="15">
        <v>47462</v>
      </c>
      <c r="H17" t="str" cm="1">
        <f t="array" ref="H17">_xlfn.IFS(A17&lt;'Campaign Metadata'!$B$2,"Before CybertruckLaunch",'Engagement Summary'!A63&lt;='Campaign Metadata'!$C$2,"CybertruckLaunch",A17&lt;'Campaign Metadata'!$B$3,"Before ModelYCampaign",A17&lt;='Campaign Metadata'!$C$3,"ModelYCampaign",A17&lt;'Campaign Metadata'!$B$4,"Before FSDUpdate",A17&lt;='Campaign Metadata'!$C$4,FSDUpdate,A17&lt;'Campaign Metadata'!$B$5,Before SustainabilityDrive,A17&lt;'Campaign Metadata'!$C$5,"Sustainability Drive")</f>
        <v>Before ModelYCampaign</v>
      </c>
      <c r="I17">
        <f t="shared" si="0"/>
        <v>98</v>
      </c>
    </row>
    <row r="18" spans="1:9" x14ac:dyDescent="0.2">
      <c r="A18" s="21">
        <v>45558</v>
      </c>
      <c r="B18" s="13" t="s">
        <v>38</v>
      </c>
      <c r="C18" s="13">
        <v>198</v>
      </c>
      <c r="D18" s="13">
        <v>217</v>
      </c>
      <c r="E18" s="13">
        <v>239753</v>
      </c>
      <c r="F18" s="13">
        <v>7.36</v>
      </c>
      <c r="G18" s="15">
        <v>11901</v>
      </c>
      <c r="H18" t="str" cm="1">
        <f t="array" ref="H18">_xlfn.IFS(A18&lt;'Campaign Metadata'!$B$2,"Before CybertruckLaunch",'Engagement Summary'!A67&lt;='Campaign Metadata'!$C$2,"CybertruckLaunch",A18&lt;'Campaign Metadata'!$B$3,"Before ModelYCampaign",A18&lt;='Campaign Metadata'!$C$3,"ModelYCampaign",A18&lt;'Campaign Metadata'!$B$4,"Before FSDUpdate",A18&lt;='Campaign Metadata'!$C$4,FSDUpdate,A18&lt;'Campaign Metadata'!$B$5,Before SustainabilityDrive,A18&lt;'Campaign Metadata'!$C$5,"Sustainability Drive")</f>
        <v>Before ModelYCampaign</v>
      </c>
      <c r="I18">
        <f t="shared" si="0"/>
        <v>-19</v>
      </c>
    </row>
    <row r="19" spans="1:9" x14ac:dyDescent="0.2">
      <c r="A19" s="21">
        <v>45565</v>
      </c>
      <c r="B19" s="13" t="s">
        <v>38</v>
      </c>
      <c r="C19" s="13">
        <v>250</v>
      </c>
      <c r="D19" s="13">
        <v>429</v>
      </c>
      <c r="E19" s="13">
        <v>453423</v>
      </c>
      <c r="F19" s="13">
        <v>1.77</v>
      </c>
      <c r="G19" s="15">
        <v>2315</v>
      </c>
      <c r="H19" t="str" cm="1">
        <f t="array" ref="H19">_xlfn.IFS(A19&lt;'Campaign Metadata'!$B$2,"Before CybertruckLaunch",'Engagement Summary'!A71&lt;='Campaign Metadata'!$C$2,"CybertruckLaunch",A19&lt;'Campaign Metadata'!$B$3,"Before ModelYCampaign",A19&lt;='Campaign Metadata'!$C$3,"ModelYCampaign",A19&lt;'Campaign Metadata'!$B$4,"Before FSDUpdate",A19&lt;='Campaign Metadata'!$C$4,FSDUpdate,A19&lt;'Campaign Metadata'!$B$5,Before SustainabilityDrive,A19&lt;'Campaign Metadata'!$C$5,"Sustainability Drive")</f>
        <v>Before ModelYCampaign</v>
      </c>
      <c r="I19">
        <f t="shared" si="0"/>
        <v>-179</v>
      </c>
    </row>
    <row r="20" spans="1:9" x14ac:dyDescent="0.2">
      <c r="A20" s="21">
        <v>45572</v>
      </c>
      <c r="B20" s="13" t="s">
        <v>38</v>
      </c>
      <c r="C20" s="13">
        <v>1929</v>
      </c>
      <c r="D20" s="13">
        <v>267</v>
      </c>
      <c r="E20" s="13">
        <v>379363</v>
      </c>
      <c r="F20" s="13">
        <v>1.75</v>
      </c>
      <c r="G20" s="15">
        <v>43836</v>
      </c>
      <c r="H20" t="str" cm="1">
        <f t="array" ref="H20">_xlfn.IFS(A20&lt;'Campaign Metadata'!$B$2,"Before CybertruckLaunch",'Engagement Summary'!A75&lt;='Campaign Metadata'!$C$2,"CybertruckLaunch",A20&lt;'Campaign Metadata'!$B$3,"Before ModelYCampaign",A20&lt;='Campaign Metadata'!$C$3,"ModelYCampaign",A20&lt;'Campaign Metadata'!$B$4,"Before FSDUpdate",A20&lt;='Campaign Metadata'!$C$4,FSDUpdate,A20&lt;'Campaign Metadata'!$B$5,Before SustainabilityDrive,A20&lt;'Campaign Metadata'!$C$5,"Sustainability Drive")</f>
        <v>ModelYCampaign</v>
      </c>
      <c r="I20">
        <f t="shared" si="0"/>
        <v>1662</v>
      </c>
    </row>
    <row r="21" spans="1:9" x14ac:dyDescent="0.2">
      <c r="A21" s="21">
        <v>45579</v>
      </c>
      <c r="B21" s="13" t="s">
        <v>38</v>
      </c>
      <c r="C21" s="13">
        <v>643</v>
      </c>
      <c r="D21" s="13">
        <v>358</v>
      </c>
      <c r="E21" s="13">
        <v>157599</v>
      </c>
      <c r="F21" s="13">
        <v>3.88</v>
      </c>
      <c r="G21" s="15">
        <v>7285</v>
      </c>
      <c r="H21" t="str" cm="1">
        <f t="array" ref="H21">_xlfn.IFS(A21&lt;'Campaign Metadata'!$B$2,"Before CybertruckLaunch",'Engagement Summary'!A79&lt;='Campaign Metadata'!$C$2,"CybertruckLaunch",A21&lt;'Campaign Metadata'!$B$3,"Before ModelYCampaign",A21&lt;='Campaign Metadata'!$C$3,"ModelYCampaign",A21&lt;'Campaign Metadata'!$B$4,"Before FSDUpdate",A21&lt;='Campaign Metadata'!$C$4,FSDUpdate,A21&lt;'Campaign Metadata'!$B$5,Before SustainabilityDrive,A21&lt;'Campaign Metadata'!$C$5,"Sustainability Drive")</f>
        <v>ModelYCampaign</v>
      </c>
      <c r="I21">
        <f t="shared" si="0"/>
        <v>285</v>
      </c>
    </row>
    <row r="22" spans="1:9" x14ac:dyDescent="0.2">
      <c r="A22" s="21">
        <v>45586</v>
      </c>
      <c r="B22" s="13" t="s">
        <v>38</v>
      </c>
      <c r="C22" s="13">
        <v>508</v>
      </c>
      <c r="D22" s="13">
        <v>69</v>
      </c>
      <c r="E22" s="13">
        <v>23492</v>
      </c>
      <c r="F22" s="13">
        <v>3.16</v>
      </c>
      <c r="G22" s="15">
        <v>42824</v>
      </c>
      <c r="H22" t="str" cm="1">
        <f t="array" ref="H22">_xlfn.IFS(A22&lt;'Campaign Metadata'!$B$2,"Before CybertruckLaunch",'Engagement Summary'!A83&lt;='Campaign Metadata'!$C$2,"CybertruckLaunch",A22&lt;'Campaign Metadata'!$B$3,"Before ModelYCampaign",A22&lt;='Campaign Metadata'!$C$3,"ModelYCampaign",A22&lt;'Campaign Metadata'!$B$4,"Before FSDUpdate",A22&lt;='Campaign Metadata'!$C$4,FSDUpdate,A22&lt;'Campaign Metadata'!$B$5,Before SustainabilityDrive,A22&lt;'Campaign Metadata'!$C$5,"Sustainability Drive")</f>
        <v>ModelYCampaign</v>
      </c>
      <c r="I22">
        <f t="shared" si="0"/>
        <v>439</v>
      </c>
    </row>
    <row r="23" spans="1:9" x14ac:dyDescent="0.2">
      <c r="A23" s="21">
        <v>45593</v>
      </c>
      <c r="B23" s="13" t="s">
        <v>38</v>
      </c>
      <c r="C23" s="13">
        <v>859</v>
      </c>
      <c r="D23" s="13">
        <v>473</v>
      </c>
      <c r="E23" s="13">
        <v>209987</v>
      </c>
      <c r="F23" s="13">
        <v>4.46</v>
      </c>
      <c r="G23" s="15">
        <v>30214</v>
      </c>
      <c r="H23" t="str" cm="1">
        <f t="array" ref="H23">_xlfn.IFS(A23&lt;'Campaign Metadata'!$B$2,"Before CybertruckLaunch",'Engagement Summary'!A87&lt;='Campaign Metadata'!$C$2,"CybertruckLaunch",A23&lt;'Campaign Metadata'!$B$3,"Before ModelYCampaign",A23&lt;='Campaign Metadata'!$C$3,"ModelYCampaign",A23&lt;'Campaign Metadata'!$B$4,"Before FSDUpdate",A23&lt;='Campaign Metadata'!$C$4,FSDUpdate,A23&lt;'Campaign Metadata'!$B$5,Before SustainabilityDrive,A23&lt;'Campaign Metadata'!$C$5,"Sustainability Drive")</f>
        <v>ModelYCampaign</v>
      </c>
      <c r="I23">
        <f t="shared" si="0"/>
        <v>386</v>
      </c>
    </row>
    <row r="24" spans="1:9" x14ac:dyDescent="0.2">
      <c r="A24" s="21">
        <v>45600</v>
      </c>
      <c r="B24" s="13" t="s">
        <v>38</v>
      </c>
      <c r="C24" s="13">
        <v>947</v>
      </c>
      <c r="D24" s="13">
        <v>407</v>
      </c>
      <c r="E24" s="13">
        <v>319186</v>
      </c>
      <c r="F24" s="13">
        <v>3.32</v>
      </c>
      <c r="G24" s="15">
        <v>4996</v>
      </c>
      <c r="H24" t="str" cm="1">
        <f t="array" ref="H24">_xlfn.IFS(A24&lt;'Campaign Metadata'!$B$2,"Before CybertruckLaunch",'Engagement Summary'!A91&lt;='Campaign Metadata'!$C$2,"CybertruckLaunch",A24&lt;'Campaign Metadata'!$B$3,"Before ModelYCampaign",A24&lt;='Campaign Metadata'!$C$3,"ModelYCampaign",A24&lt;'Campaign Metadata'!$B$4,"Before FSDUpdate",A24&lt;='Campaign Metadata'!$C$4,FSDUpdate,A24&lt;'Campaign Metadata'!$B$5,Before SustainabilityDrive,A24&lt;'Campaign Metadata'!$C$5,"Sustainability Drive")</f>
        <v>Before FSDUpdate</v>
      </c>
      <c r="I24">
        <f t="shared" si="0"/>
        <v>540</v>
      </c>
    </row>
    <row r="25" spans="1:9" x14ac:dyDescent="0.2">
      <c r="A25" s="21">
        <v>45607</v>
      </c>
      <c r="B25" s="13" t="s">
        <v>38</v>
      </c>
      <c r="C25" s="13">
        <v>171</v>
      </c>
      <c r="D25" s="13">
        <v>277</v>
      </c>
      <c r="E25" s="13">
        <v>309483</v>
      </c>
      <c r="F25" s="13">
        <v>8.6999999999999993</v>
      </c>
      <c r="G25" s="15">
        <v>38452</v>
      </c>
      <c r="H25" t="str" cm="1">
        <f t="array" ref="H25">_xlfn.IFS(A25&lt;'Campaign Metadata'!$B$2,"Before CybertruckLaunch",'Engagement Summary'!A95&lt;='Campaign Metadata'!$C$2,"CybertruckLaunch",A25&lt;'Campaign Metadata'!$B$3,"Before ModelYCampaign",A25&lt;='Campaign Metadata'!$C$3,"ModelYCampaign",A25&lt;'Campaign Metadata'!$B$4,"Before FSDUpdate",A25&lt;='Campaign Metadata'!$C$4,FSDUpdate,A25&lt;'Campaign Metadata'!$B$5,Before SustainabilityDrive,A25&lt;'Campaign Metadata'!$C$5,"Sustainability Drive")</f>
        <v>Before FSDUpdate</v>
      </c>
      <c r="I25">
        <f t="shared" si="0"/>
        <v>-106</v>
      </c>
    </row>
    <row r="26" spans="1:9" x14ac:dyDescent="0.2">
      <c r="A26" s="21">
        <v>45614</v>
      </c>
      <c r="B26" s="13" t="s">
        <v>38</v>
      </c>
      <c r="C26" s="13">
        <v>513</v>
      </c>
      <c r="D26" s="13">
        <v>441</v>
      </c>
      <c r="E26" s="13">
        <v>338847</v>
      </c>
      <c r="F26" s="13">
        <v>2.68</v>
      </c>
      <c r="G26" s="15">
        <v>39997</v>
      </c>
      <c r="H26" t="str" cm="1">
        <f t="array" ref="H26">_xlfn.IFS(A26&lt;'Campaign Metadata'!$B$2,"Before CybertruckLaunch",'Engagement Summary'!A99&lt;='Campaign Metadata'!$C$2,"CybertruckLaunch",A26&lt;'Campaign Metadata'!$B$3,"Before ModelYCampaign",A26&lt;='Campaign Metadata'!$C$3,"ModelYCampaign",A26&lt;'Campaign Metadata'!$B$4,"Before FSDUpdate",A26&lt;='Campaign Metadata'!$C$4,FSDUpdate,A26&lt;'Campaign Metadata'!$B$5,Before SustainabilityDrive,A26&lt;'Campaign Metadata'!$C$5,"Sustainability Drive")</f>
        <v>Before FSDUpdate</v>
      </c>
      <c r="I26">
        <f t="shared" si="0"/>
        <v>72</v>
      </c>
    </row>
    <row r="27" spans="1:9" x14ac:dyDescent="0.2">
      <c r="A27" s="21">
        <v>45621</v>
      </c>
      <c r="B27" s="13" t="s">
        <v>38</v>
      </c>
      <c r="C27" s="13">
        <v>1710</v>
      </c>
      <c r="D27" s="13">
        <v>378</v>
      </c>
      <c r="E27" s="13">
        <v>336661</v>
      </c>
      <c r="F27" s="13">
        <v>6.2</v>
      </c>
      <c r="G27" s="15">
        <v>28498</v>
      </c>
      <c r="H27" t="str" cm="1">
        <f t="array" ref="H27">_xlfn.IFS(A27&lt;'Campaign Metadata'!$B$2,"Before CybertruckLaunch",'Engagement Summary'!A103&lt;='Campaign Metadata'!$C$2,"CybertruckLaunch",A27&lt;'Campaign Metadata'!$B$3,"Before ModelYCampaign",A27&lt;='Campaign Metadata'!$C$3,"ModelYCampaign",A27&lt;'Campaign Metadata'!$B$4,"Before FSDUpdate",A27&lt;='Campaign Metadata'!$C$4,FSDUpdate,A27&lt;'Campaign Metadata'!$B$5,Before SustainabilityDrive,A27&lt;'Campaign Metadata'!$C$5,"Sustainability Drive")</f>
        <v>CybertruckLaunch</v>
      </c>
      <c r="I27">
        <f t="shared" si="0"/>
        <v>1332</v>
      </c>
    </row>
    <row r="28" spans="1:9" x14ac:dyDescent="0.2">
      <c r="A28" s="21">
        <v>45628</v>
      </c>
      <c r="B28" s="13" t="s">
        <v>38</v>
      </c>
      <c r="C28" s="13">
        <v>1902</v>
      </c>
      <c r="D28" s="13">
        <v>196</v>
      </c>
      <c r="E28" s="13">
        <v>470269</v>
      </c>
      <c r="F28" s="13">
        <v>4.79</v>
      </c>
      <c r="G28" s="15">
        <v>26103</v>
      </c>
      <c r="H28" t="str" cm="1">
        <f t="array" ref="H28">_xlfn.IFS(A28&lt;'Campaign Metadata'!$B$2,"Before CybertruckLaunch",'Engagement Summary'!A107&lt;='Campaign Metadata'!$C$2,"CybertruckLaunch",A28&lt;'Campaign Metadata'!$B$3,"Before ModelYCampaign",A28&lt;='Campaign Metadata'!$C$3,"ModelYCampaign",A28&lt;'Campaign Metadata'!$B$4,"Before FSDUpdate",A28&lt;='Campaign Metadata'!$C$4,FSDUpdate,A28&lt;'Campaign Metadata'!$B$5,Before SustainabilityDrive,A28&lt;'Campaign Metadata'!$C$5,"Sustainability Drive")</f>
        <v>CybertruckLaunch</v>
      </c>
      <c r="I28">
        <f t="shared" si="0"/>
        <v>1706</v>
      </c>
    </row>
    <row r="29" spans="1:9" x14ac:dyDescent="0.2">
      <c r="A29" s="21">
        <v>45635</v>
      </c>
      <c r="B29" s="13" t="s">
        <v>38</v>
      </c>
      <c r="C29" s="13">
        <v>1514</v>
      </c>
      <c r="D29" s="13">
        <v>141</v>
      </c>
      <c r="E29" s="13">
        <v>35842</v>
      </c>
      <c r="F29" s="13">
        <v>7.47</v>
      </c>
      <c r="G29" s="15">
        <v>18601</v>
      </c>
      <c r="H29" t="str" cm="1">
        <f t="array" ref="H29">_xlfn.IFS(A29&lt;'Campaign Metadata'!$B$2,"Before CybertruckLaunch",'Engagement Summary'!A111&lt;='Campaign Metadata'!$C$2,"CybertruckLaunch",A29&lt;'Campaign Metadata'!$B$3,"Before ModelYCampaign",A29&lt;='Campaign Metadata'!$C$3,"ModelYCampaign",A29&lt;'Campaign Metadata'!$B$4,"Before FSDUpdate",A29&lt;='Campaign Metadata'!$C$4,FSDUpdate,A29&lt;'Campaign Metadata'!$B$5,Before SustainabilityDrive,A29&lt;'Campaign Metadata'!$C$5,"Sustainability Drive")</f>
        <v>Before FSDUpdate</v>
      </c>
      <c r="I29">
        <f t="shared" si="0"/>
        <v>1373</v>
      </c>
    </row>
    <row r="30" spans="1:9" x14ac:dyDescent="0.2">
      <c r="A30" s="21">
        <v>45642</v>
      </c>
      <c r="B30" s="13" t="s">
        <v>38</v>
      </c>
      <c r="C30" s="13">
        <v>1623</v>
      </c>
      <c r="D30" s="13">
        <v>246</v>
      </c>
      <c r="E30" s="13">
        <v>415815</v>
      </c>
      <c r="F30" s="13">
        <v>8.11</v>
      </c>
      <c r="G30" s="15">
        <v>18656</v>
      </c>
      <c r="H30" t="str" cm="1">
        <f t="array" ref="H30">_xlfn.IFS(A30&lt;'Campaign Metadata'!$B$2,"Before CybertruckLaunch",'Engagement Summary'!A115&lt;='Campaign Metadata'!$C$2,"CybertruckLaunch",A30&lt;'Campaign Metadata'!$B$3,"Before ModelYCampaign",A30&lt;='Campaign Metadata'!$C$3,"ModelYCampaign",A30&lt;'Campaign Metadata'!$B$4,"Before FSDUpdate",A30&lt;='Campaign Metadata'!$C$4,FSDUpdate,A30&lt;'Campaign Metadata'!$B$5,Before SustainabilityDrive,A30&lt;'Campaign Metadata'!$C$5,"Sustainability Drive")</f>
        <v>Before FSDUpdate</v>
      </c>
      <c r="I30">
        <f t="shared" si="0"/>
        <v>1377</v>
      </c>
    </row>
    <row r="31" spans="1:9" x14ac:dyDescent="0.2">
      <c r="A31" s="21">
        <v>45649</v>
      </c>
      <c r="B31" s="13" t="s">
        <v>38</v>
      </c>
      <c r="C31" s="13">
        <v>1155</v>
      </c>
      <c r="D31" s="13">
        <v>425</v>
      </c>
      <c r="E31" s="13">
        <v>93347</v>
      </c>
      <c r="F31" s="13">
        <v>2.02</v>
      </c>
      <c r="G31" s="15">
        <v>47502</v>
      </c>
      <c r="H31" t="str" cm="1">
        <f t="array" ref="H31">_xlfn.IFS(A31&lt;'Campaign Metadata'!$B$2,"Before CybertruckLaunch",'Engagement Summary'!A119&lt;='Campaign Metadata'!$C$2,"CybertruckLaunch",A31&lt;'Campaign Metadata'!$B$3,"Before ModelYCampaign",A31&lt;='Campaign Metadata'!$C$3,"ModelYCampaign",A31&lt;'Campaign Metadata'!$B$4,"Before FSDUpdate",A31&lt;='Campaign Metadata'!$C$4,FSDUpdate,A31&lt;'Campaign Metadata'!$B$5,Before SustainabilityDrive,A31&lt;'Campaign Metadata'!$C$5,"Sustainability Drive")</f>
        <v>Before FSDUpdate</v>
      </c>
      <c r="I31">
        <f t="shared" si="0"/>
        <v>730</v>
      </c>
    </row>
    <row r="32" spans="1:9" x14ac:dyDescent="0.2">
      <c r="A32" s="21">
        <v>45656</v>
      </c>
      <c r="B32" s="13" t="s">
        <v>38</v>
      </c>
      <c r="C32" s="13">
        <v>1980</v>
      </c>
      <c r="D32" s="13">
        <v>204</v>
      </c>
      <c r="E32" s="13">
        <v>379431</v>
      </c>
      <c r="F32" s="13">
        <v>3.09</v>
      </c>
      <c r="G32" s="15">
        <v>25140</v>
      </c>
      <c r="H32" t="str" cm="1">
        <f t="array" ref="H32">_xlfn.IFS(A32&lt;'Campaign Metadata'!$B$2,"Before CybertruckLaunch",'Engagement Summary'!A123&lt;='Campaign Metadata'!$C$2,"CybertruckLaunch",A32&lt;'Campaign Metadata'!$B$3,"Before ModelYCampaign",A32&lt;='Campaign Metadata'!$C$3,"ModelYCampaign",A32&lt;'Campaign Metadata'!$B$4,"Before FSDUpdate",A32&lt;='Campaign Metadata'!$C$4,"FSDUpdate",A32&lt;'Campaign Metadata'!$B$5,"Before SustainabilityDrive",A32&lt;'Campaign Metadata'!$C$5,"Sustainability Drive")</f>
        <v>FSDUpdate</v>
      </c>
      <c r="I32">
        <f t="shared" si="0"/>
        <v>1776</v>
      </c>
    </row>
    <row r="33" spans="1:9" x14ac:dyDescent="0.2">
      <c r="A33" s="21">
        <v>45663</v>
      </c>
      <c r="B33" s="13" t="s">
        <v>38</v>
      </c>
      <c r="C33" s="13">
        <v>816</v>
      </c>
      <c r="D33" s="13">
        <v>196</v>
      </c>
      <c r="E33" s="13">
        <v>95728</v>
      </c>
      <c r="F33" s="13">
        <v>8.1999999999999993</v>
      </c>
      <c r="G33" s="15">
        <v>17951</v>
      </c>
      <c r="H33" t="str" cm="1">
        <f t="array" ref="H33">_xlfn.IFS(A33&lt;'Campaign Metadata'!$B$2,"Before CybertruckLaunch",'Engagement Summary'!A127&lt;='Campaign Metadata'!$C$2,"CybertruckLaunch",A33&lt;'Campaign Metadata'!$B$3,"Before ModelYCampaign",A33&lt;='Campaign Metadata'!$C$3,"ModelYCampaign",A33&lt;'Campaign Metadata'!$B$4,"Before FSDUpdate",A33&lt;='Campaign Metadata'!$C$4,"FSDUpdate",A33&lt;'Campaign Metadata'!$B$5,"Before SustainabilityDrive",A33&lt;'Campaign Metadata'!$C$5,"Sustainability Drive")</f>
        <v>FSDUpdate</v>
      </c>
      <c r="I33">
        <f t="shared" si="0"/>
        <v>620</v>
      </c>
    </row>
    <row r="34" spans="1:9" x14ac:dyDescent="0.2">
      <c r="A34" s="21">
        <v>45670</v>
      </c>
      <c r="B34" s="13" t="s">
        <v>38</v>
      </c>
      <c r="C34" s="13">
        <v>651</v>
      </c>
      <c r="D34" s="13">
        <v>353</v>
      </c>
      <c r="E34" s="13">
        <v>224699</v>
      </c>
      <c r="F34" s="13">
        <v>5.61</v>
      </c>
      <c r="G34" s="15">
        <v>45708</v>
      </c>
      <c r="H34" t="str" cm="1">
        <f t="array" ref="H34">_xlfn.IFS(A34&lt;'Campaign Metadata'!$B$2,"Before CybertruckLaunch",'Engagement Summary'!A131&lt;='Campaign Metadata'!$C$2,"CybertruckLaunch",A34&lt;'Campaign Metadata'!$B$3,"Before ModelYCampaign",A34&lt;='Campaign Metadata'!$C$3,"ModelYCampaign",A34&lt;'Campaign Metadata'!$B$4,"Before FSDUpdate",A34&lt;='Campaign Metadata'!$C$4,"FSDUpdate",A34&lt;'Campaign Metadata'!$B$5,"Before SustainabilityDrive",A34&lt;'Campaign Metadata'!$C$5,"Sustainability Drive")</f>
        <v>Before SustainabilityDrive</v>
      </c>
      <c r="I34">
        <f t="shared" ref="I34:I65" si="1">C34-D34</f>
        <v>298</v>
      </c>
    </row>
    <row r="35" spans="1:9" x14ac:dyDescent="0.2">
      <c r="A35" s="21">
        <v>45677</v>
      </c>
      <c r="B35" s="13" t="s">
        <v>38</v>
      </c>
      <c r="C35" s="13">
        <v>663</v>
      </c>
      <c r="D35" s="13">
        <v>236</v>
      </c>
      <c r="E35" s="13">
        <v>479490</v>
      </c>
      <c r="F35" s="13">
        <v>4.51</v>
      </c>
      <c r="G35" s="15">
        <v>23853</v>
      </c>
      <c r="H35" t="str" cm="1">
        <f t="array" ref="H35">_xlfn.IFS(A35&lt;'Campaign Metadata'!$B$2,"Before CybertruckLaunch",'Engagement Summary'!A135&lt;='Campaign Metadata'!$C$2,"CybertruckLaunch",A35&lt;'Campaign Metadata'!$B$3,"Before ModelYCampaign",A35&lt;='Campaign Metadata'!$C$3,"ModelYCampaign",A35&lt;'Campaign Metadata'!$B$4,"Before FSDUpdate",A35&lt;='Campaign Metadata'!$C$4,"FSDUpdate",A35&lt;'Campaign Metadata'!$B$5,"Before SustainabilityDrive",A35&lt;'Campaign Metadata'!$C$5,"Sustainability Drive")</f>
        <v>Before SustainabilityDrive</v>
      </c>
      <c r="I35">
        <f t="shared" si="1"/>
        <v>427</v>
      </c>
    </row>
    <row r="36" spans="1:9" x14ac:dyDescent="0.2">
      <c r="A36" s="21">
        <v>45684</v>
      </c>
      <c r="B36" s="13" t="s">
        <v>38</v>
      </c>
      <c r="C36" s="13">
        <v>1249</v>
      </c>
      <c r="D36" s="13">
        <v>351</v>
      </c>
      <c r="E36" s="13">
        <v>321307</v>
      </c>
      <c r="F36" s="13">
        <v>6.37</v>
      </c>
      <c r="G36" s="15">
        <v>20560</v>
      </c>
      <c r="H36" t="str" cm="1">
        <f t="array" ref="H36">_xlfn.IFS(A36&lt;'Campaign Metadata'!$B$2,"Before CybertruckLaunch",'Engagement Summary'!A139&lt;='Campaign Metadata'!$C$2,"CybertruckLaunch",A36&lt;'Campaign Metadata'!$B$3,"Before ModelYCampaign",A36&lt;='Campaign Metadata'!$C$3,"ModelYCampaign",A36&lt;'Campaign Metadata'!$B$4,"Before FSDUpdate",A36&lt;='Campaign Metadata'!$C$4,"FSDUpdate",A36&lt;'Campaign Metadata'!$B$5,"Before SustainabilityDrive",A36&lt;'Campaign Metadata'!$C$5,"Sustainability Drive")</f>
        <v>Before SustainabilityDrive</v>
      </c>
      <c r="I36">
        <f t="shared" si="1"/>
        <v>898</v>
      </c>
    </row>
    <row r="37" spans="1:9" x14ac:dyDescent="0.2">
      <c r="A37" s="21">
        <v>45691</v>
      </c>
      <c r="B37" s="13" t="s">
        <v>38</v>
      </c>
      <c r="C37" s="13">
        <v>1159</v>
      </c>
      <c r="D37" s="13">
        <v>411</v>
      </c>
      <c r="E37" s="13">
        <v>135987</v>
      </c>
      <c r="F37" s="13">
        <v>8.6999999999999993</v>
      </c>
      <c r="G37" s="15">
        <v>40323</v>
      </c>
      <c r="H37" t="str" cm="1">
        <f t="array" ref="H37">_xlfn.IFS(A37&lt;'Campaign Metadata'!$B$2,"Before CybertruckLaunch",'Engagement Summary'!A143&lt;='Campaign Metadata'!$C$2,"CybertruckLaunch",A37&lt;'Campaign Metadata'!$B$3,"Before ModelYCampaign",A37&lt;='Campaign Metadata'!$C$3,"ModelYCampaign",A37&lt;'Campaign Metadata'!$B$4,"Before FSDUpdate",A37&lt;='Campaign Metadata'!$C$4,"FSDUpdate",A37&lt;'Campaign Metadata'!$B$5,"Before SustainabilityDrive",A37&lt;'Campaign Metadata'!$C$5,"Sustainability Drive")</f>
        <v>Before SustainabilityDrive</v>
      </c>
      <c r="I37">
        <f t="shared" si="1"/>
        <v>748</v>
      </c>
    </row>
    <row r="38" spans="1:9" x14ac:dyDescent="0.2">
      <c r="A38" s="21">
        <v>45698</v>
      </c>
      <c r="B38" s="13" t="s">
        <v>38</v>
      </c>
      <c r="C38" s="13">
        <v>1294</v>
      </c>
      <c r="D38" s="13">
        <v>382</v>
      </c>
      <c r="E38" s="13">
        <v>309914</v>
      </c>
      <c r="F38" s="13">
        <v>8.0299999999999994</v>
      </c>
      <c r="G38" s="15">
        <v>23489</v>
      </c>
      <c r="H38" t="str" cm="1">
        <f t="array" ref="H38">_xlfn.IFS(A38&lt;'Campaign Metadata'!$B$2,"Before CybertruckLaunch",'Engagement Summary'!A147&lt;='Campaign Metadata'!$C$2,"CybertruckLaunch",A38&lt;'Campaign Metadata'!$B$3,"Before ModelYCampaign",A38&lt;='Campaign Metadata'!$C$3,"ModelYCampaign",A38&lt;'Campaign Metadata'!$B$4,"Before FSDUpdate",A38&lt;='Campaign Metadata'!$C$4,"FSDUpdate",A38&lt;'Campaign Metadata'!$B$5,"Before SustainabilityDrive",A38&lt;'Campaign Metadata'!$C$5,"Sustainability Drive")</f>
        <v>Before SustainabilityDrive</v>
      </c>
      <c r="I38">
        <f t="shared" si="1"/>
        <v>912</v>
      </c>
    </row>
    <row r="39" spans="1:9" x14ac:dyDescent="0.2">
      <c r="A39" s="21">
        <v>45705</v>
      </c>
      <c r="B39" s="13" t="s">
        <v>38</v>
      </c>
      <c r="C39" s="13">
        <v>1895</v>
      </c>
      <c r="D39" s="13">
        <v>305</v>
      </c>
      <c r="E39" s="13">
        <v>104967</v>
      </c>
      <c r="F39" s="13">
        <v>3.85</v>
      </c>
      <c r="G39" s="15">
        <v>31853</v>
      </c>
      <c r="H39" t="str" cm="1">
        <f t="array" ref="H39">_xlfn.IFS(A39&lt;'Campaign Metadata'!$B$2,"Before CybertruckLaunch",'Engagement Summary'!A151&lt;='Campaign Metadata'!$C$2,"CybertruckLaunch",A39&lt;'Campaign Metadata'!$B$3,"Before ModelYCampaign",A39&lt;='Campaign Metadata'!$C$3,"ModelYCampaign",A39&lt;'Campaign Metadata'!$B$4,"Before FSDUpdate",A39&lt;='Campaign Metadata'!$C$4,"FSDUpdate",A39&lt;'Campaign Metadata'!$B$5,"Before SustainabilityDrive",A39&lt;'Campaign Metadata'!$C$5,"Sustainability Drive")</f>
        <v>Before SustainabilityDrive</v>
      </c>
      <c r="I39">
        <f t="shared" si="1"/>
        <v>1590</v>
      </c>
    </row>
    <row r="40" spans="1:9" x14ac:dyDescent="0.2">
      <c r="A40" s="21">
        <v>45712</v>
      </c>
      <c r="B40" s="13" t="s">
        <v>38</v>
      </c>
      <c r="C40" s="13">
        <v>1884</v>
      </c>
      <c r="D40" s="13">
        <v>177</v>
      </c>
      <c r="E40" s="13">
        <v>230448</v>
      </c>
      <c r="F40" s="13">
        <v>7.8</v>
      </c>
      <c r="G40" s="15">
        <v>22713</v>
      </c>
      <c r="H40" t="str" cm="1">
        <f t="array" ref="H40">_xlfn.IFS(A40&lt;'Campaign Metadata'!$B$2,"Before CybertruckLaunch",'Engagement Summary'!A155&lt;='Campaign Metadata'!$C$2,"CybertruckLaunch",A40&lt;'Campaign Metadata'!$B$3,"Before ModelYCampaign",A40&lt;='Campaign Metadata'!$C$3,"ModelYCampaign",A40&lt;'Campaign Metadata'!$B$4,"Before FSDUpdate",A40&lt;='Campaign Metadata'!$C$4,"FSDUpdate",A40&lt;'Campaign Metadata'!$B$5,"Before SustainabilityDrive",A40&lt;'Campaign Metadata'!$C$5,"Sustainability Drive")</f>
        <v>CybertruckLaunch</v>
      </c>
      <c r="I40">
        <f t="shared" si="1"/>
        <v>1707</v>
      </c>
    </row>
    <row r="41" spans="1:9" x14ac:dyDescent="0.2">
      <c r="A41" s="21">
        <v>45719</v>
      </c>
      <c r="B41" s="13" t="s">
        <v>38</v>
      </c>
      <c r="C41" s="13">
        <v>345</v>
      </c>
      <c r="D41" s="13">
        <v>464</v>
      </c>
      <c r="E41" s="13">
        <v>366881</v>
      </c>
      <c r="F41" s="13">
        <v>4.55</v>
      </c>
      <c r="G41" s="15">
        <v>20553</v>
      </c>
      <c r="H41" t="str" cm="1">
        <f t="array" ref="H41">_xlfn.IFS(A41&lt;'Campaign Metadata'!$B$2,"Before CybertruckLaunch",'Engagement Summary'!A159&lt;='Campaign Metadata'!$C$2,"CybertruckLaunch",A41&lt;'Campaign Metadata'!$B$3,"Before ModelYCampaign",A41&lt;='Campaign Metadata'!$C$3,"ModelYCampaign",A41&lt;'Campaign Metadata'!$B$4,"Before FSDUpdate",A41&lt;='Campaign Metadata'!$C$4,"FSDUpdate",A41&lt;'Campaign Metadata'!$B$5,"Before SustainabilityDrive",A41&lt;'Campaign Metadata'!$C$5,"Sustainability Drive")</f>
        <v>Sustainability Drive</v>
      </c>
      <c r="I41">
        <f t="shared" si="1"/>
        <v>-119</v>
      </c>
    </row>
    <row r="42" spans="1:9" x14ac:dyDescent="0.2">
      <c r="A42" s="21">
        <v>45726</v>
      </c>
      <c r="B42" s="13" t="s">
        <v>38</v>
      </c>
      <c r="C42" s="13">
        <v>1098</v>
      </c>
      <c r="D42" s="13">
        <v>190</v>
      </c>
      <c r="E42" s="13">
        <v>340842</v>
      </c>
      <c r="F42" s="13">
        <v>9.39</v>
      </c>
      <c r="G42" s="15">
        <v>21539</v>
      </c>
      <c r="H42" t="str" cm="1">
        <f t="array" ref="H42">_xlfn.IFS(A42&lt;'Campaign Metadata'!$B$2,"Before CybertruckLaunch",'Engagement Summary'!A163&lt;='Campaign Metadata'!$C$2,"CybertruckLaunch",A42&lt;'Campaign Metadata'!$B$3,"Before ModelYCampaign",A42&lt;='Campaign Metadata'!$C$3,"ModelYCampaign",A42&lt;'Campaign Metadata'!$B$4,"Before FSDUpdate",A42&lt;='Campaign Metadata'!$C$4,"FSDUpdate",A42&lt;'Campaign Metadata'!$B$5,"Before SustainabilityDrive",A42&lt;'Campaign Metadata'!$C$5,"Sustainability Drive")</f>
        <v>Sustainability Drive</v>
      </c>
      <c r="I42">
        <f t="shared" si="1"/>
        <v>908</v>
      </c>
    </row>
    <row r="43" spans="1:9" x14ac:dyDescent="0.2">
      <c r="A43" s="21">
        <v>45733</v>
      </c>
      <c r="B43" s="13" t="s">
        <v>38</v>
      </c>
      <c r="C43" s="13">
        <v>1358</v>
      </c>
      <c r="D43" s="13">
        <v>242</v>
      </c>
      <c r="E43" s="13">
        <v>342129</v>
      </c>
      <c r="F43" s="13">
        <v>4.9400000000000004</v>
      </c>
      <c r="G43" s="15">
        <v>29116</v>
      </c>
      <c r="H43" t="str" cm="1">
        <f t="array" ref="H43">_xlfn.IFS(A43&lt;'Campaign Metadata'!$B$2,"Before CybertruckLaunch",'Engagement Summary'!A167&lt;='Campaign Metadata'!$C$2,"CybertruckLaunch",A43&lt;'Campaign Metadata'!$B$3,"Before ModelYCampaign",A43&lt;='Campaign Metadata'!$C$3,"ModelYCampaign",A43&lt;'Campaign Metadata'!$B$4,"Before FSDUpdate",A43&lt;='Campaign Metadata'!$C$4,"FSDUpdate",A43&lt;'Campaign Metadata'!$B$5,"Before SustainabilityDrive",A43&lt;'Campaign Metadata'!$C$5,"Sustainability Drive")</f>
        <v>Sustainability Drive</v>
      </c>
      <c r="I43">
        <f t="shared" si="1"/>
        <v>1116</v>
      </c>
    </row>
    <row r="44" spans="1:9" x14ac:dyDescent="0.2">
      <c r="A44" s="21">
        <v>45740</v>
      </c>
      <c r="B44" s="13" t="s">
        <v>38</v>
      </c>
      <c r="C44" s="13">
        <v>609</v>
      </c>
      <c r="D44" s="13">
        <v>135</v>
      </c>
      <c r="E44" s="13">
        <v>373606</v>
      </c>
      <c r="F44" s="13">
        <v>8.52</v>
      </c>
      <c r="G44" s="15">
        <v>21453</v>
      </c>
      <c r="H44" t="str" cm="1">
        <f t="array" ref="H44">_xlfn.IFS(A44&lt;'Campaign Metadata'!$B$2,"Before CybertruckLaunch",'Engagement Summary'!A171&lt;='Campaign Metadata'!$C$2,"CybertruckLaunch",A44&lt;'Campaign Metadata'!$B$3,"Before ModelYCampaign",A44&lt;='Campaign Metadata'!$C$3,"ModelYCampaign",A44&lt;'Campaign Metadata'!$B$4,"Before FSDUpdate",A44&lt;='Campaign Metadata'!$C$4,"FSDUpdate",A44&lt;'Campaign Metadata'!$B$5,"Before SustainabilityDrive",A44&lt;'Campaign Metadata'!$C$5,"Sustainability Drive")</f>
        <v>Sustainability Drive</v>
      </c>
      <c r="I44">
        <f t="shared" si="1"/>
        <v>474</v>
      </c>
    </row>
    <row r="45" spans="1:9" x14ac:dyDescent="0.2">
      <c r="A45" s="21">
        <v>45747</v>
      </c>
      <c r="B45" s="13" t="s">
        <v>38</v>
      </c>
      <c r="C45" s="13">
        <v>988</v>
      </c>
      <c r="D45" s="13">
        <v>474</v>
      </c>
      <c r="E45" s="13">
        <v>370070</v>
      </c>
      <c r="F45" s="13">
        <v>9.4600000000000009</v>
      </c>
      <c r="G45" s="15">
        <v>23461</v>
      </c>
      <c r="H45" t="e" cm="1">
        <f t="array" ref="H45">_xlfn.IFS(A45&lt;'Campaign Metadata'!$B$2,"Before CybertruckLaunch",'Engagement Summary'!A175&lt;='Campaign Metadata'!$C$2,"CybertruckLaunch",A45&lt;'Campaign Metadata'!$B$3,"Before ModelYCampaign",A45&lt;='Campaign Metadata'!$C$3,"ModelYCampaign",A45&lt;'Campaign Metadata'!$B$4,"Before FSDUpdate",A45&lt;='Campaign Metadata'!$C$4,"FSDUpdate",A45&lt;'Campaign Metadata'!$B$5,"Before SustainabilityDrive",A45&lt;'Campaign Metadata'!$C$5,"Sustainability Drive")</f>
        <v>#N/A</v>
      </c>
      <c r="I45">
        <f t="shared" si="1"/>
        <v>514</v>
      </c>
    </row>
    <row r="46" spans="1:9" x14ac:dyDescent="0.2">
      <c r="A46" s="21">
        <v>45754</v>
      </c>
      <c r="B46" s="13" t="s">
        <v>38</v>
      </c>
      <c r="C46" s="13">
        <v>1307</v>
      </c>
      <c r="D46" s="13">
        <v>278</v>
      </c>
      <c r="E46" s="13">
        <v>98596</v>
      </c>
      <c r="F46" s="13">
        <v>2.4900000000000002</v>
      </c>
      <c r="G46" s="15">
        <v>47603</v>
      </c>
      <c r="H46" t="e" cm="1">
        <f t="array" ref="H46">_xlfn.IFS(A46&lt;'Campaign Metadata'!$B$2,"Before CybertruckLaunch",'Engagement Summary'!A179&lt;='Campaign Metadata'!$C$2,"CybertruckLaunch",A46&lt;'Campaign Metadata'!$B$3,"Before ModelYCampaign",A46&lt;='Campaign Metadata'!$C$3,"ModelYCampaign",A46&lt;'Campaign Metadata'!$B$4,"Before FSDUpdate",A46&lt;='Campaign Metadata'!$C$4,"FSDUpdate",A46&lt;'Campaign Metadata'!$B$5,"Before SustainabilityDrive",A46&lt;'Campaign Metadata'!$C$5,"Sustainability Drive")</f>
        <v>#N/A</v>
      </c>
      <c r="I46">
        <f t="shared" si="1"/>
        <v>1029</v>
      </c>
    </row>
    <row r="47" spans="1:9" x14ac:dyDescent="0.2">
      <c r="A47" s="21">
        <v>45761</v>
      </c>
      <c r="B47" s="13" t="s">
        <v>38</v>
      </c>
      <c r="C47" s="13">
        <v>198</v>
      </c>
      <c r="D47" s="13">
        <v>373</v>
      </c>
      <c r="E47" s="13">
        <v>70707</v>
      </c>
      <c r="F47" s="13">
        <v>4.83</v>
      </c>
      <c r="G47" s="15">
        <v>25920</v>
      </c>
      <c r="H47" t="e" cm="1">
        <f t="array" ref="H47">_xlfn.IFS(A47&lt;'Campaign Metadata'!$B$2,"Before CybertruckLaunch",'Engagement Summary'!A183&lt;='Campaign Metadata'!$C$2,"CybertruckLaunch",A47&lt;'Campaign Metadata'!$B$3,"Before ModelYCampaign",A47&lt;='Campaign Metadata'!$C$3,"ModelYCampaign",A47&lt;'Campaign Metadata'!$B$4,"Before FSDUpdate",A47&lt;='Campaign Metadata'!$C$4,"FSDUpdate",A47&lt;'Campaign Metadata'!$B$5,"Before SustainabilityDrive",A47&lt;'Campaign Metadata'!$C$5,"Sustainability Drive")</f>
        <v>#N/A</v>
      </c>
      <c r="I47">
        <f t="shared" si="1"/>
        <v>-175</v>
      </c>
    </row>
    <row r="48" spans="1:9" x14ac:dyDescent="0.2">
      <c r="A48" s="21">
        <v>45768</v>
      </c>
      <c r="B48" s="13" t="s">
        <v>38</v>
      </c>
      <c r="C48" s="13">
        <v>1375</v>
      </c>
      <c r="D48" s="13">
        <v>330</v>
      </c>
      <c r="E48" s="13">
        <v>377382</v>
      </c>
      <c r="F48" s="13">
        <v>2.6</v>
      </c>
      <c r="G48" s="15">
        <v>7875</v>
      </c>
      <c r="H48" t="e" cm="1">
        <f t="array" ref="H48">_xlfn.IFS(A48&lt;'Campaign Metadata'!$B$2,"Before CybertruckLaunch",'Engagement Summary'!A187&lt;='Campaign Metadata'!$C$2,"CybertruckLaunch",A48&lt;'Campaign Metadata'!$B$3,"Before ModelYCampaign",A48&lt;='Campaign Metadata'!$C$3,"ModelYCampaign",A48&lt;'Campaign Metadata'!$B$4,"Before FSDUpdate",A48&lt;='Campaign Metadata'!$C$4,"FSDUpdate",A48&lt;'Campaign Metadata'!$B$5,"Before SustainabilityDrive",A48&lt;'Campaign Metadata'!$C$5,"Sustainability Drive")</f>
        <v>#N/A</v>
      </c>
      <c r="I48">
        <f t="shared" si="1"/>
        <v>1045</v>
      </c>
    </row>
    <row r="49" spans="1:9" x14ac:dyDescent="0.2">
      <c r="A49" s="21">
        <v>45775</v>
      </c>
      <c r="B49" s="13" t="s">
        <v>38</v>
      </c>
      <c r="C49" s="13">
        <v>833</v>
      </c>
      <c r="D49" s="13">
        <v>380</v>
      </c>
      <c r="E49" s="13">
        <v>224830</v>
      </c>
      <c r="F49" s="13">
        <v>3.86</v>
      </c>
      <c r="G49" s="15">
        <v>3582</v>
      </c>
      <c r="H49" t="e" cm="1">
        <f t="array" ref="H49">_xlfn.IFS(A49&lt;'Campaign Metadata'!$B$2,"Before CybertruckLaunch",'Engagement Summary'!A191&lt;='Campaign Metadata'!$C$2,"CybertruckLaunch",A49&lt;'Campaign Metadata'!$B$3,"Before ModelYCampaign",A49&lt;='Campaign Metadata'!$C$3,"ModelYCampaign",A49&lt;'Campaign Metadata'!$B$4,"Before FSDUpdate",A49&lt;='Campaign Metadata'!$C$4,"FSDUpdate",A49&lt;'Campaign Metadata'!$B$5,"Before SustainabilityDrive",A49&lt;'Campaign Metadata'!$C$5,"Sustainability Drive")</f>
        <v>#N/A</v>
      </c>
      <c r="I49">
        <f t="shared" si="1"/>
        <v>453</v>
      </c>
    </row>
    <row r="50" spans="1:9" x14ac:dyDescent="0.2">
      <c r="A50" s="21">
        <v>45782</v>
      </c>
      <c r="B50" s="13" t="s">
        <v>38</v>
      </c>
      <c r="C50" s="13">
        <v>405</v>
      </c>
      <c r="D50" s="13">
        <v>66</v>
      </c>
      <c r="E50" s="13">
        <v>418696</v>
      </c>
      <c r="F50" s="13">
        <v>5.59</v>
      </c>
      <c r="G50" s="15">
        <v>48419</v>
      </c>
      <c r="H50" t="e" cm="1">
        <f t="array" ref="H50">_xlfn.IFS(A50&lt;'Campaign Metadata'!$B$2,"Before CybertruckLaunch",'Engagement Summary'!A195&lt;='Campaign Metadata'!$C$2,"CybertruckLaunch",A50&lt;'Campaign Metadata'!$B$3,"Before ModelYCampaign",A50&lt;='Campaign Metadata'!$C$3,"ModelYCampaign",A50&lt;'Campaign Metadata'!$B$4,"Before FSDUpdate",A50&lt;='Campaign Metadata'!$C$4,"FSDUpdate",A50&lt;'Campaign Metadata'!$B$5,"Before SustainabilityDrive",A50&lt;'Campaign Metadata'!$C$5,"Sustainability Drive")</f>
        <v>#N/A</v>
      </c>
      <c r="I50">
        <f t="shared" si="1"/>
        <v>339</v>
      </c>
    </row>
    <row r="51" spans="1:9" x14ac:dyDescent="0.2">
      <c r="A51" s="21">
        <v>45789</v>
      </c>
      <c r="B51" s="13" t="s">
        <v>38</v>
      </c>
      <c r="C51" s="13">
        <v>837</v>
      </c>
      <c r="D51" s="13">
        <v>430</v>
      </c>
      <c r="E51" s="13">
        <v>364820</v>
      </c>
      <c r="F51" s="13">
        <v>4</v>
      </c>
      <c r="G51" s="15">
        <v>49400</v>
      </c>
      <c r="H51" t="e" cm="1">
        <f t="array" ref="H51">_xlfn.IFS(A51&lt;'Campaign Metadata'!$B$2,"Before CybertruckLaunch",'Engagement Summary'!A199&lt;='Campaign Metadata'!$C$2,"CybertruckLaunch",A51&lt;'Campaign Metadata'!$B$3,"Before ModelYCampaign",A51&lt;='Campaign Metadata'!$C$3,"ModelYCampaign",A51&lt;'Campaign Metadata'!$B$4,"Before FSDUpdate",A51&lt;='Campaign Metadata'!$C$4,"FSDUpdate",A51&lt;'Campaign Metadata'!$B$5,"Before SustainabilityDrive",A51&lt;'Campaign Metadata'!$C$5,"Sustainability Drive")</f>
        <v>#N/A</v>
      </c>
      <c r="I51">
        <f t="shared" si="1"/>
        <v>407</v>
      </c>
    </row>
    <row r="52" spans="1:9" x14ac:dyDescent="0.2">
      <c r="A52" s="20">
        <v>45446</v>
      </c>
      <c r="B52" s="9" t="s">
        <v>31</v>
      </c>
      <c r="C52" s="9">
        <v>1135</v>
      </c>
      <c r="D52" s="9">
        <v>88</v>
      </c>
      <c r="E52" s="9">
        <v>344084</v>
      </c>
      <c r="F52" s="9">
        <v>8.06</v>
      </c>
      <c r="G52" s="11">
        <v>5904</v>
      </c>
      <c r="H52" t="str" cm="1">
        <f t="array" ref="H52">_xlfn.IFS(A52&lt;'Campaign Metadata'!$B$2,"Before CybertruckLaunch",'Engagement Summary'!A2&lt;='Campaign Metadata'!$C$2,"CybertruckLaunch",A52&lt;'Campaign Metadata'!$B$3,"Before ModelYCampaign",A52&lt;='Campaign Metadata'!$C$3,"ModelYCampaign",A52&lt;'Campaign Metadata'!$B$4,"Before FSDUpdate",A52&lt;='Campaign Metadata'!$C$4,FSDUpdate,A52&lt;'Campaign Metadata'!$B$5,Before SustainabilityDrive,A52&lt;'Campaign Metadata'!$C$5,"Sustainability Drive")</f>
        <v>Before CybertruckLaunch</v>
      </c>
      <c r="I52">
        <f t="shared" si="1"/>
        <v>1047</v>
      </c>
    </row>
    <row r="53" spans="1:9" x14ac:dyDescent="0.2">
      <c r="A53" s="20">
        <v>45453</v>
      </c>
      <c r="B53" s="9" t="s">
        <v>31</v>
      </c>
      <c r="C53" s="9">
        <v>656</v>
      </c>
      <c r="D53" s="9">
        <v>139</v>
      </c>
      <c r="E53" s="9">
        <v>49157</v>
      </c>
      <c r="F53" s="9">
        <v>9.0500000000000007</v>
      </c>
      <c r="G53" s="11">
        <v>9920</v>
      </c>
      <c r="H53" t="str" cm="1">
        <f t="array" ref="H53">_xlfn.IFS(A53&lt;'Campaign Metadata'!$B$2,"Before CybertruckLaunch",'Engagement Summary'!A6&lt;='Campaign Metadata'!$C$2,"CybertruckLaunch",A53&lt;'Campaign Metadata'!$B$3,"Before ModelYCampaign",A53&lt;='Campaign Metadata'!$C$3,"ModelYCampaign",A53&lt;'Campaign Metadata'!$B$4,"Before FSDUpdate",A53&lt;='Campaign Metadata'!$C$4,FSDUpdate,A53&lt;'Campaign Metadata'!$B$5,Before SustainabilityDrive,A53&lt;'Campaign Metadata'!$C$5,"Sustainability Drive")</f>
        <v>Before CybertruckLaunch</v>
      </c>
      <c r="I53">
        <f t="shared" si="1"/>
        <v>517</v>
      </c>
    </row>
    <row r="54" spans="1:9" x14ac:dyDescent="0.2">
      <c r="A54" s="20">
        <v>45460</v>
      </c>
      <c r="B54" s="9" t="s">
        <v>31</v>
      </c>
      <c r="C54" s="9">
        <v>1048</v>
      </c>
      <c r="D54" s="9">
        <v>155</v>
      </c>
      <c r="E54" s="9">
        <v>456946</v>
      </c>
      <c r="F54" s="9">
        <v>2.46</v>
      </c>
      <c r="G54" s="11">
        <v>11329</v>
      </c>
      <c r="H54" t="str" cm="1">
        <f t="array" ref="H54">_xlfn.IFS(A54&lt;'Campaign Metadata'!$B$2,"Before CybertruckLaunch",'Engagement Summary'!A10&lt;='Campaign Metadata'!$C$2,"CybertruckLaunch",A54&lt;'Campaign Metadata'!$B$3,"Before ModelYCampaign",A54&lt;='Campaign Metadata'!$C$3,"ModelYCampaign",A54&lt;'Campaign Metadata'!$B$4,"Before FSDUpdate",A54&lt;='Campaign Metadata'!$C$4,FSDUpdate,A54&lt;'Campaign Metadata'!$B$5,Before SustainabilityDrive,A54&lt;'Campaign Metadata'!$C$5,"Sustainability Drive")</f>
        <v>Before ModelYCampaign</v>
      </c>
      <c r="I54">
        <f t="shared" si="1"/>
        <v>893</v>
      </c>
    </row>
    <row r="55" spans="1:9" x14ac:dyDescent="0.2">
      <c r="A55" s="20">
        <v>45467</v>
      </c>
      <c r="B55" s="9" t="s">
        <v>31</v>
      </c>
      <c r="C55" s="9">
        <v>911</v>
      </c>
      <c r="D55" s="9">
        <v>282</v>
      </c>
      <c r="E55" s="9">
        <v>35664</v>
      </c>
      <c r="F55" s="9">
        <v>6.92</v>
      </c>
      <c r="G55" s="11">
        <v>18050</v>
      </c>
      <c r="H55" t="str" cm="1">
        <f t="array" ref="H55">_xlfn.IFS(A55&lt;'Campaign Metadata'!$B$2,"Before CybertruckLaunch",'Engagement Summary'!A14&lt;='Campaign Metadata'!$C$2,"CybertruckLaunch",A55&lt;'Campaign Metadata'!$B$3,"Before ModelYCampaign",A55&lt;='Campaign Metadata'!$C$3,"ModelYCampaign",A55&lt;'Campaign Metadata'!$B$4,"Before FSDUpdate",A55&lt;='Campaign Metadata'!$C$4,FSDUpdate,A55&lt;'Campaign Metadata'!$B$5,Before SustainabilityDrive,A55&lt;'Campaign Metadata'!$C$5,"Sustainability Drive")</f>
        <v>Before ModelYCampaign</v>
      </c>
      <c r="I55">
        <f t="shared" si="1"/>
        <v>629</v>
      </c>
    </row>
    <row r="56" spans="1:9" x14ac:dyDescent="0.2">
      <c r="A56" s="20">
        <v>45474</v>
      </c>
      <c r="B56" s="9" t="s">
        <v>31</v>
      </c>
      <c r="C56" s="9">
        <v>226</v>
      </c>
      <c r="D56" s="9">
        <v>445</v>
      </c>
      <c r="E56" s="9">
        <v>419447</v>
      </c>
      <c r="F56" s="9">
        <v>9.36</v>
      </c>
      <c r="G56" s="11">
        <v>9566</v>
      </c>
      <c r="H56" t="str" cm="1">
        <f t="array" ref="H56">_xlfn.IFS(A56&lt;'Campaign Metadata'!$B$2,"Before CybertruckLaunch",'Engagement Summary'!A18&lt;='Campaign Metadata'!$C$2,"CybertruckLaunch",A56&lt;'Campaign Metadata'!$B$3,"Before ModelYCampaign",A56&lt;='Campaign Metadata'!$C$3,"ModelYCampaign",A56&lt;'Campaign Metadata'!$B$4,"Before FSDUpdate",A56&lt;='Campaign Metadata'!$C$4,FSDUpdate,A56&lt;'Campaign Metadata'!$B$5,Before SustainabilityDrive,A56&lt;'Campaign Metadata'!$C$5,"Sustainability Drive")</f>
        <v>Before ModelYCampaign</v>
      </c>
      <c r="I56">
        <f t="shared" si="1"/>
        <v>-219</v>
      </c>
    </row>
    <row r="57" spans="1:9" x14ac:dyDescent="0.2">
      <c r="A57" s="20">
        <v>45481</v>
      </c>
      <c r="B57" s="9" t="s">
        <v>31</v>
      </c>
      <c r="C57" s="9">
        <v>1757</v>
      </c>
      <c r="D57" s="9">
        <v>85</v>
      </c>
      <c r="E57" s="9">
        <v>58223</v>
      </c>
      <c r="F57" s="9">
        <v>8.74</v>
      </c>
      <c r="G57" s="11">
        <v>22728</v>
      </c>
      <c r="H57" t="str" cm="1">
        <f t="array" ref="H57">_xlfn.IFS(A57&lt;'Campaign Metadata'!$B$2,"Before CybertruckLaunch",'Engagement Summary'!A22&lt;='Campaign Metadata'!$C$2,"CybertruckLaunch",A57&lt;'Campaign Metadata'!$B$3,"Before ModelYCampaign",A57&lt;='Campaign Metadata'!$C$3,"ModelYCampaign",A57&lt;'Campaign Metadata'!$B$4,"Before FSDUpdate",A57&lt;='Campaign Metadata'!$C$4,FSDUpdate,A57&lt;'Campaign Metadata'!$B$5,Before SustainabilityDrive,A57&lt;'Campaign Metadata'!$C$5,"Sustainability Drive")</f>
        <v>Before ModelYCampaign</v>
      </c>
      <c r="I57">
        <f t="shared" si="1"/>
        <v>1672</v>
      </c>
    </row>
    <row r="58" spans="1:9" x14ac:dyDescent="0.2">
      <c r="A58" s="20">
        <v>45488</v>
      </c>
      <c r="B58" s="9" t="s">
        <v>31</v>
      </c>
      <c r="C58" s="9">
        <v>1960</v>
      </c>
      <c r="D58" s="9">
        <v>115</v>
      </c>
      <c r="E58" s="9">
        <v>154169</v>
      </c>
      <c r="F58" s="9">
        <v>3.74</v>
      </c>
      <c r="G58" s="11">
        <v>10740</v>
      </c>
      <c r="H58" t="str" cm="1">
        <f t="array" ref="H58">_xlfn.IFS(A58&lt;'Campaign Metadata'!$B$2,"Before CybertruckLaunch",'Engagement Summary'!A26&lt;='Campaign Metadata'!$C$2,"CybertruckLaunch",A58&lt;'Campaign Metadata'!$B$3,"Before ModelYCampaign",A58&lt;='Campaign Metadata'!$C$3,"ModelYCampaign",A58&lt;'Campaign Metadata'!$B$4,"Before FSDUpdate",A58&lt;='Campaign Metadata'!$C$4,FSDUpdate,A58&lt;'Campaign Metadata'!$B$5,Before SustainabilityDrive,A58&lt;'Campaign Metadata'!$C$5,"Sustainability Drive")</f>
        <v>Before ModelYCampaign</v>
      </c>
      <c r="I58">
        <f t="shared" si="1"/>
        <v>1845</v>
      </c>
    </row>
    <row r="59" spans="1:9" x14ac:dyDescent="0.2">
      <c r="A59" s="20">
        <v>45495</v>
      </c>
      <c r="B59" s="9" t="s">
        <v>31</v>
      </c>
      <c r="C59" s="9">
        <v>508</v>
      </c>
      <c r="D59" s="9">
        <v>349</v>
      </c>
      <c r="E59" s="9">
        <v>473812</v>
      </c>
      <c r="F59" s="9">
        <v>7.88</v>
      </c>
      <c r="G59" s="11">
        <v>17328</v>
      </c>
      <c r="H59" t="str" cm="1">
        <f t="array" ref="H59">_xlfn.IFS(A59&lt;'Campaign Metadata'!$B$2,"Before CybertruckLaunch",'Engagement Summary'!A30&lt;='Campaign Metadata'!$C$2,"CybertruckLaunch",A59&lt;'Campaign Metadata'!$B$3,"Before ModelYCampaign",A59&lt;='Campaign Metadata'!$C$3,"ModelYCampaign",A59&lt;'Campaign Metadata'!$B$4,"Before FSDUpdate",A59&lt;='Campaign Metadata'!$C$4,FSDUpdate,A59&lt;'Campaign Metadata'!$B$5,Before SustainabilityDrive,A59&lt;'Campaign Metadata'!$C$5,"Sustainability Drive")</f>
        <v>Before ModelYCampaign</v>
      </c>
      <c r="I59">
        <f t="shared" si="1"/>
        <v>159</v>
      </c>
    </row>
    <row r="60" spans="1:9" x14ac:dyDescent="0.2">
      <c r="A60" s="20">
        <v>45502</v>
      </c>
      <c r="B60" s="9" t="s">
        <v>31</v>
      </c>
      <c r="C60" s="9">
        <v>653</v>
      </c>
      <c r="D60" s="9">
        <v>112</v>
      </c>
      <c r="E60" s="9">
        <v>23664</v>
      </c>
      <c r="F60" s="9">
        <v>4.05</v>
      </c>
      <c r="G60" s="11">
        <v>15353</v>
      </c>
      <c r="H60" t="str" cm="1">
        <f t="array" ref="H60">_xlfn.IFS(A60&lt;'Campaign Metadata'!$B$2,"Before CybertruckLaunch",'Engagement Summary'!A34&lt;='Campaign Metadata'!$C$2,"CybertruckLaunch",A60&lt;'Campaign Metadata'!$B$3,"Before ModelYCampaign",A60&lt;='Campaign Metadata'!$C$3,"ModelYCampaign",A60&lt;'Campaign Metadata'!$B$4,"Before FSDUpdate",A60&lt;='Campaign Metadata'!$C$4,FSDUpdate,A60&lt;'Campaign Metadata'!$B$5,Before SustainabilityDrive,A60&lt;'Campaign Metadata'!$C$5,"Sustainability Drive")</f>
        <v>Before ModelYCampaign</v>
      </c>
      <c r="I60">
        <f t="shared" si="1"/>
        <v>541</v>
      </c>
    </row>
    <row r="61" spans="1:9" x14ac:dyDescent="0.2">
      <c r="A61" s="20">
        <v>45509</v>
      </c>
      <c r="B61" s="9" t="s">
        <v>31</v>
      </c>
      <c r="C61" s="9">
        <v>645</v>
      </c>
      <c r="D61" s="9">
        <v>293</v>
      </c>
      <c r="E61" s="9">
        <v>437968</v>
      </c>
      <c r="F61" s="9">
        <v>7.83</v>
      </c>
      <c r="G61" s="11">
        <v>49303</v>
      </c>
      <c r="H61" t="str" cm="1">
        <f t="array" ref="H61">_xlfn.IFS(A61&lt;'Campaign Metadata'!$B$2,"Before CybertruckLaunch",'Engagement Summary'!A38&lt;='Campaign Metadata'!$C$2,"CybertruckLaunch",A61&lt;'Campaign Metadata'!$B$3,"Before ModelYCampaign",A61&lt;='Campaign Metadata'!$C$3,"ModelYCampaign",A61&lt;'Campaign Metadata'!$B$4,"Before FSDUpdate",A61&lt;='Campaign Metadata'!$C$4,FSDUpdate,A61&lt;'Campaign Metadata'!$B$5,Before SustainabilityDrive,A61&lt;'Campaign Metadata'!$C$5,"Sustainability Drive")</f>
        <v>Before ModelYCampaign</v>
      </c>
      <c r="I61">
        <f t="shared" si="1"/>
        <v>352</v>
      </c>
    </row>
    <row r="62" spans="1:9" x14ac:dyDescent="0.2">
      <c r="A62" s="20">
        <v>45516</v>
      </c>
      <c r="B62" s="9" t="s">
        <v>31</v>
      </c>
      <c r="C62" s="9">
        <v>1528</v>
      </c>
      <c r="D62" s="9">
        <v>203</v>
      </c>
      <c r="E62" s="9">
        <v>489188</v>
      </c>
      <c r="F62" s="9">
        <v>6.23</v>
      </c>
      <c r="G62" s="11">
        <v>47101</v>
      </c>
      <c r="H62" t="str" cm="1">
        <f t="array" ref="H62">_xlfn.IFS(A62&lt;'Campaign Metadata'!$B$2,"Before CybertruckLaunch",'Engagement Summary'!A42&lt;='Campaign Metadata'!$C$2,"CybertruckLaunch",A62&lt;'Campaign Metadata'!$B$3,"Before ModelYCampaign",A62&lt;='Campaign Metadata'!$C$3,"ModelYCampaign",A62&lt;'Campaign Metadata'!$B$4,"Before FSDUpdate",A62&lt;='Campaign Metadata'!$C$4,FSDUpdate,A62&lt;'Campaign Metadata'!$B$5,Before SustainabilityDrive,A62&lt;'Campaign Metadata'!$C$5,"Sustainability Drive")</f>
        <v>Before ModelYCampaign</v>
      </c>
      <c r="I62">
        <f t="shared" si="1"/>
        <v>1325</v>
      </c>
    </row>
    <row r="63" spans="1:9" x14ac:dyDescent="0.2">
      <c r="A63" s="20">
        <v>45523</v>
      </c>
      <c r="B63" s="9" t="s">
        <v>31</v>
      </c>
      <c r="C63" s="9">
        <v>215</v>
      </c>
      <c r="D63" s="9">
        <v>139</v>
      </c>
      <c r="E63" s="9">
        <v>325444</v>
      </c>
      <c r="F63" s="9">
        <v>3.25</v>
      </c>
      <c r="G63" s="11">
        <v>35501</v>
      </c>
      <c r="H63" t="str" cm="1">
        <f t="array" ref="H63">_xlfn.IFS(A63&lt;'Campaign Metadata'!$B$2,"Before CybertruckLaunch",'Engagement Summary'!A46&lt;='Campaign Metadata'!$C$2,"CybertruckLaunch",A63&lt;'Campaign Metadata'!$B$3,"Before ModelYCampaign",A63&lt;='Campaign Metadata'!$C$3,"ModelYCampaign",A63&lt;'Campaign Metadata'!$B$4,"Before FSDUpdate",A63&lt;='Campaign Metadata'!$C$4,FSDUpdate,A63&lt;'Campaign Metadata'!$B$5,Before SustainabilityDrive,A63&lt;'Campaign Metadata'!$C$5,"Sustainability Drive")</f>
        <v>Before ModelYCampaign</v>
      </c>
      <c r="I63">
        <f t="shared" si="1"/>
        <v>76</v>
      </c>
    </row>
    <row r="64" spans="1:9" x14ac:dyDescent="0.2">
      <c r="A64" s="20">
        <v>45530</v>
      </c>
      <c r="B64" s="9" t="s">
        <v>31</v>
      </c>
      <c r="C64" s="9">
        <v>1685</v>
      </c>
      <c r="D64" s="9">
        <v>76</v>
      </c>
      <c r="E64" s="9">
        <v>453799</v>
      </c>
      <c r="F64" s="9">
        <v>5.71</v>
      </c>
      <c r="G64" s="11">
        <v>24913</v>
      </c>
      <c r="H64" t="str" cm="1">
        <f t="array" ref="H64">_xlfn.IFS(A64&lt;'Campaign Metadata'!$B$2,"Before CybertruckLaunch",'Engagement Summary'!A50&lt;='Campaign Metadata'!$C$2,"CybertruckLaunch",A64&lt;'Campaign Metadata'!$B$3,"Before ModelYCampaign",A64&lt;='Campaign Metadata'!$C$3,"ModelYCampaign",A64&lt;'Campaign Metadata'!$B$4,"Before FSDUpdate",A64&lt;='Campaign Metadata'!$C$4,FSDUpdate,A64&lt;'Campaign Metadata'!$B$5,Before SustainabilityDrive,A64&lt;'Campaign Metadata'!$C$5,"Sustainability Drive")</f>
        <v>Before ModelYCampaign</v>
      </c>
      <c r="I64">
        <f t="shared" si="1"/>
        <v>1609</v>
      </c>
    </row>
    <row r="65" spans="1:9" x14ac:dyDescent="0.2">
      <c r="A65" s="20">
        <v>45537</v>
      </c>
      <c r="B65" s="9" t="s">
        <v>31</v>
      </c>
      <c r="C65" s="9">
        <v>1429</v>
      </c>
      <c r="D65" s="9">
        <v>182</v>
      </c>
      <c r="E65" s="9">
        <v>101332</v>
      </c>
      <c r="F65" s="9">
        <v>7.16</v>
      </c>
      <c r="G65" s="11">
        <v>37829</v>
      </c>
      <c r="H65" t="str" cm="1">
        <f t="array" ref="H65">_xlfn.IFS(A65&lt;'Campaign Metadata'!$B$2,"Before CybertruckLaunch",'Engagement Summary'!A54&lt;='Campaign Metadata'!$C$2,"CybertruckLaunch",A65&lt;'Campaign Metadata'!$B$3,"Before ModelYCampaign",A65&lt;='Campaign Metadata'!$C$3,"ModelYCampaign",A65&lt;'Campaign Metadata'!$B$4,"Before FSDUpdate",A65&lt;='Campaign Metadata'!$C$4,FSDUpdate,A65&lt;'Campaign Metadata'!$B$5,Before SustainabilityDrive,A65&lt;'Campaign Metadata'!$C$5,"Sustainability Drive")</f>
        <v>CybertruckLaunch</v>
      </c>
      <c r="I65">
        <f t="shared" si="1"/>
        <v>1247</v>
      </c>
    </row>
    <row r="66" spans="1:9" x14ac:dyDescent="0.2">
      <c r="A66" s="20">
        <v>45544</v>
      </c>
      <c r="B66" s="9" t="s">
        <v>31</v>
      </c>
      <c r="C66" s="9">
        <v>1592</v>
      </c>
      <c r="D66" s="9">
        <v>20</v>
      </c>
      <c r="E66" s="9">
        <v>378054</v>
      </c>
      <c r="F66" s="9">
        <v>9.09</v>
      </c>
      <c r="G66" s="11">
        <v>26663</v>
      </c>
      <c r="H66" t="str" cm="1">
        <f t="array" ref="H66">_xlfn.IFS(A66&lt;'Campaign Metadata'!$B$2,"Before CybertruckLaunch",'Engagement Summary'!A58&lt;='Campaign Metadata'!$C$2,"CybertruckLaunch",A66&lt;'Campaign Metadata'!$B$3,"Before ModelYCampaign",A66&lt;='Campaign Metadata'!$C$3,"ModelYCampaign",A66&lt;'Campaign Metadata'!$B$4,"Before FSDUpdate",A66&lt;='Campaign Metadata'!$C$4,FSDUpdate,A66&lt;'Campaign Metadata'!$B$5,Before SustainabilityDrive,A66&lt;'Campaign Metadata'!$C$5,"Sustainability Drive")</f>
        <v>CybertruckLaunch</v>
      </c>
      <c r="I66">
        <f t="shared" ref="I66:I97" si="2">C66-D66</f>
        <v>1572</v>
      </c>
    </row>
    <row r="67" spans="1:9" x14ac:dyDescent="0.2">
      <c r="A67" s="20">
        <v>45551</v>
      </c>
      <c r="B67" s="9" t="s">
        <v>31</v>
      </c>
      <c r="C67" s="9">
        <v>778</v>
      </c>
      <c r="D67" s="9">
        <v>401</v>
      </c>
      <c r="E67" s="9">
        <v>50793</v>
      </c>
      <c r="F67" s="9">
        <v>3.4</v>
      </c>
      <c r="G67" s="11">
        <v>21939</v>
      </c>
      <c r="H67" t="str" cm="1">
        <f t="array" ref="H67">_xlfn.IFS(A67&lt;'Campaign Metadata'!$B$2,"Before CybertruckLaunch",'Engagement Summary'!A62&lt;='Campaign Metadata'!$C$2,"CybertruckLaunch",A67&lt;'Campaign Metadata'!$B$3,"Before ModelYCampaign",A67&lt;='Campaign Metadata'!$C$3,"ModelYCampaign",A67&lt;'Campaign Metadata'!$B$4,"Before FSDUpdate",A67&lt;='Campaign Metadata'!$C$4,FSDUpdate,A67&lt;'Campaign Metadata'!$B$5,Before SustainabilityDrive,A67&lt;'Campaign Metadata'!$C$5,"Sustainability Drive")</f>
        <v>Before ModelYCampaign</v>
      </c>
      <c r="I67">
        <f t="shared" si="2"/>
        <v>377</v>
      </c>
    </row>
    <row r="68" spans="1:9" x14ac:dyDescent="0.2">
      <c r="A68" s="20">
        <v>45558</v>
      </c>
      <c r="B68" s="9" t="s">
        <v>31</v>
      </c>
      <c r="C68" s="9">
        <v>817</v>
      </c>
      <c r="D68" s="9">
        <v>151</v>
      </c>
      <c r="E68" s="9">
        <v>422625</v>
      </c>
      <c r="F68" s="9">
        <v>2.36</v>
      </c>
      <c r="G68" s="11">
        <v>1083</v>
      </c>
      <c r="H68" t="str" cm="1">
        <f t="array" ref="H68">_xlfn.IFS(A68&lt;'Campaign Metadata'!$B$2,"Before CybertruckLaunch",'Engagement Summary'!A66&lt;='Campaign Metadata'!$C$2,"CybertruckLaunch",A68&lt;'Campaign Metadata'!$B$3,"Before ModelYCampaign",A68&lt;='Campaign Metadata'!$C$3,"ModelYCampaign",A68&lt;'Campaign Metadata'!$B$4,"Before FSDUpdate",A68&lt;='Campaign Metadata'!$C$4,FSDUpdate,A68&lt;'Campaign Metadata'!$B$5,Before SustainabilityDrive,A68&lt;'Campaign Metadata'!$C$5,"Sustainability Drive")</f>
        <v>Before ModelYCampaign</v>
      </c>
      <c r="I68">
        <f t="shared" si="2"/>
        <v>666</v>
      </c>
    </row>
    <row r="69" spans="1:9" x14ac:dyDescent="0.2">
      <c r="A69" s="20">
        <v>45565</v>
      </c>
      <c r="B69" s="9" t="s">
        <v>31</v>
      </c>
      <c r="C69" s="9">
        <v>1433</v>
      </c>
      <c r="D69" s="9">
        <v>408</v>
      </c>
      <c r="E69" s="9">
        <v>370269</v>
      </c>
      <c r="F69" s="9">
        <v>3.3</v>
      </c>
      <c r="G69" s="11">
        <v>30575</v>
      </c>
      <c r="H69" t="str" cm="1">
        <f t="array" ref="H69">_xlfn.IFS(A69&lt;'Campaign Metadata'!$B$2,"Before CybertruckLaunch",'Engagement Summary'!A70&lt;='Campaign Metadata'!$C$2,"CybertruckLaunch",A69&lt;'Campaign Metadata'!$B$3,"Before ModelYCampaign",A69&lt;='Campaign Metadata'!$C$3,"ModelYCampaign",A69&lt;'Campaign Metadata'!$B$4,"Before FSDUpdate",A69&lt;='Campaign Metadata'!$C$4,FSDUpdate,A69&lt;'Campaign Metadata'!$B$5,Before SustainabilityDrive,A69&lt;'Campaign Metadata'!$C$5,"Sustainability Drive")</f>
        <v>Before ModelYCampaign</v>
      </c>
      <c r="I69">
        <f t="shared" si="2"/>
        <v>1025</v>
      </c>
    </row>
    <row r="70" spans="1:9" x14ac:dyDescent="0.2">
      <c r="A70" s="20">
        <v>45572</v>
      </c>
      <c r="B70" s="9" t="s">
        <v>31</v>
      </c>
      <c r="C70" s="9">
        <v>1939</v>
      </c>
      <c r="D70" s="9">
        <v>67</v>
      </c>
      <c r="E70" s="9">
        <v>187183</v>
      </c>
      <c r="F70" s="9">
        <v>6.25</v>
      </c>
      <c r="G70" s="11">
        <v>41215</v>
      </c>
      <c r="H70" t="str" cm="1">
        <f t="array" ref="H70">_xlfn.IFS(A70&lt;'Campaign Metadata'!$B$2,"Before CybertruckLaunch",'Engagement Summary'!A74&lt;='Campaign Metadata'!$C$2,"CybertruckLaunch",A70&lt;'Campaign Metadata'!$B$3,"Before ModelYCampaign",A70&lt;='Campaign Metadata'!$C$3,"ModelYCampaign",A70&lt;'Campaign Metadata'!$B$4,"Before FSDUpdate",A70&lt;='Campaign Metadata'!$C$4,FSDUpdate,A70&lt;'Campaign Metadata'!$B$5,Before SustainabilityDrive,A70&lt;'Campaign Metadata'!$C$5,"Sustainability Drive")</f>
        <v>ModelYCampaign</v>
      </c>
      <c r="I70">
        <f t="shared" si="2"/>
        <v>1872</v>
      </c>
    </row>
    <row r="71" spans="1:9" x14ac:dyDescent="0.2">
      <c r="A71" s="20">
        <v>45579</v>
      </c>
      <c r="B71" s="9" t="s">
        <v>31</v>
      </c>
      <c r="C71" s="9">
        <v>1527</v>
      </c>
      <c r="D71" s="9">
        <v>303</v>
      </c>
      <c r="E71" s="9">
        <v>388555</v>
      </c>
      <c r="F71" s="9">
        <v>8.9</v>
      </c>
      <c r="G71" s="11">
        <v>36397</v>
      </c>
      <c r="H71" t="str" cm="1">
        <f t="array" ref="H71">_xlfn.IFS(A71&lt;'Campaign Metadata'!$B$2,"Before CybertruckLaunch",'Engagement Summary'!A78&lt;='Campaign Metadata'!$C$2,"CybertruckLaunch",A71&lt;'Campaign Metadata'!$B$3,"Before ModelYCampaign",A71&lt;='Campaign Metadata'!$C$3,"ModelYCampaign",A71&lt;'Campaign Metadata'!$B$4,"Before FSDUpdate",A71&lt;='Campaign Metadata'!$C$4,FSDUpdate,A71&lt;'Campaign Metadata'!$B$5,Before SustainabilityDrive,A71&lt;'Campaign Metadata'!$C$5,"Sustainability Drive")</f>
        <v>ModelYCampaign</v>
      </c>
      <c r="I71">
        <f t="shared" si="2"/>
        <v>1224</v>
      </c>
    </row>
    <row r="72" spans="1:9" x14ac:dyDescent="0.2">
      <c r="A72" s="20">
        <v>45586</v>
      </c>
      <c r="B72" s="9" t="s">
        <v>31</v>
      </c>
      <c r="C72" s="9">
        <v>703</v>
      </c>
      <c r="D72" s="9">
        <v>441</v>
      </c>
      <c r="E72" s="9">
        <v>357089</v>
      </c>
      <c r="F72" s="9">
        <v>6.5</v>
      </c>
      <c r="G72" s="11">
        <v>32478</v>
      </c>
      <c r="H72" t="str" cm="1">
        <f t="array" ref="H72">_xlfn.IFS(A72&lt;'Campaign Metadata'!$B$2,"Before CybertruckLaunch",'Engagement Summary'!A82&lt;='Campaign Metadata'!$C$2,"CybertruckLaunch",A72&lt;'Campaign Metadata'!$B$3,"Before ModelYCampaign",A72&lt;='Campaign Metadata'!$C$3,"ModelYCampaign",A72&lt;'Campaign Metadata'!$B$4,"Before FSDUpdate",A72&lt;='Campaign Metadata'!$C$4,FSDUpdate,A72&lt;'Campaign Metadata'!$B$5,Before SustainabilityDrive,A72&lt;'Campaign Metadata'!$C$5,"Sustainability Drive")</f>
        <v>ModelYCampaign</v>
      </c>
      <c r="I72">
        <f t="shared" si="2"/>
        <v>262</v>
      </c>
    </row>
    <row r="73" spans="1:9" x14ac:dyDescent="0.2">
      <c r="A73" s="20">
        <v>45593</v>
      </c>
      <c r="B73" s="9" t="s">
        <v>31</v>
      </c>
      <c r="C73" s="9">
        <v>642</v>
      </c>
      <c r="D73" s="9">
        <v>66</v>
      </c>
      <c r="E73" s="9">
        <v>346522</v>
      </c>
      <c r="F73" s="9">
        <v>5.85</v>
      </c>
      <c r="G73" s="11">
        <v>13116</v>
      </c>
      <c r="H73" t="str" cm="1">
        <f t="array" ref="H73">_xlfn.IFS(A73&lt;'Campaign Metadata'!$B$2,"Before CybertruckLaunch",'Engagement Summary'!A86&lt;='Campaign Metadata'!$C$2,"CybertruckLaunch",A73&lt;'Campaign Metadata'!$B$3,"Before ModelYCampaign",A73&lt;='Campaign Metadata'!$C$3,"ModelYCampaign",A73&lt;'Campaign Metadata'!$B$4,"Before FSDUpdate",A73&lt;='Campaign Metadata'!$C$4,FSDUpdate,A73&lt;'Campaign Metadata'!$B$5,Before SustainabilityDrive,A73&lt;'Campaign Metadata'!$C$5,"Sustainability Drive")</f>
        <v>ModelYCampaign</v>
      </c>
      <c r="I73">
        <f t="shared" si="2"/>
        <v>576</v>
      </c>
    </row>
    <row r="74" spans="1:9" x14ac:dyDescent="0.2">
      <c r="A74" s="20">
        <v>45600</v>
      </c>
      <c r="B74" s="9" t="s">
        <v>31</v>
      </c>
      <c r="C74" s="9">
        <v>1466</v>
      </c>
      <c r="D74" s="9">
        <v>69</v>
      </c>
      <c r="E74" s="9">
        <v>54935</v>
      </c>
      <c r="F74" s="9">
        <v>6.85</v>
      </c>
      <c r="G74" s="11">
        <v>36484</v>
      </c>
      <c r="H74" t="str" cm="1">
        <f t="array" ref="H74">_xlfn.IFS(A74&lt;'Campaign Metadata'!$B$2,"Before CybertruckLaunch",'Engagement Summary'!A90&lt;='Campaign Metadata'!$C$2,"CybertruckLaunch",A74&lt;'Campaign Metadata'!$B$3,"Before ModelYCampaign",A74&lt;='Campaign Metadata'!$C$3,"ModelYCampaign",A74&lt;'Campaign Metadata'!$B$4,"Before FSDUpdate",A74&lt;='Campaign Metadata'!$C$4,FSDUpdate,A74&lt;'Campaign Metadata'!$B$5,Before SustainabilityDrive,A74&lt;'Campaign Metadata'!$C$5,"Sustainability Drive")</f>
        <v>Before FSDUpdate</v>
      </c>
      <c r="I74">
        <f t="shared" si="2"/>
        <v>1397</v>
      </c>
    </row>
    <row r="75" spans="1:9" x14ac:dyDescent="0.2">
      <c r="A75" s="20">
        <v>45607</v>
      </c>
      <c r="B75" s="9" t="s">
        <v>31</v>
      </c>
      <c r="C75" s="9">
        <v>1075</v>
      </c>
      <c r="D75" s="9">
        <v>173</v>
      </c>
      <c r="E75" s="9">
        <v>51395</v>
      </c>
      <c r="F75" s="9">
        <v>4.66</v>
      </c>
      <c r="G75" s="11">
        <v>47812</v>
      </c>
      <c r="H75" t="str" cm="1">
        <f t="array" ref="H75">_xlfn.IFS(A75&lt;'Campaign Metadata'!$B$2,"Before CybertruckLaunch",'Engagement Summary'!A94&lt;='Campaign Metadata'!$C$2,"CybertruckLaunch",A75&lt;'Campaign Metadata'!$B$3,"Before ModelYCampaign",A75&lt;='Campaign Metadata'!$C$3,"ModelYCampaign",A75&lt;'Campaign Metadata'!$B$4,"Before FSDUpdate",A75&lt;='Campaign Metadata'!$C$4,FSDUpdate,A75&lt;'Campaign Metadata'!$B$5,Before SustainabilityDrive,A75&lt;'Campaign Metadata'!$C$5,"Sustainability Drive")</f>
        <v>Before FSDUpdate</v>
      </c>
      <c r="I75">
        <f t="shared" si="2"/>
        <v>902</v>
      </c>
    </row>
    <row r="76" spans="1:9" x14ac:dyDescent="0.2">
      <c r="A76" s="20">
        <v>45614</v>
      </c>
      <c r="B76" s="9" t="s">
        <v>31</v>
      </c>
      <c r="C76" s="9">
        <v>187</v>
      </c>
      <c r="D76" s="9">
        <v>236</v>
      </c>
      <c r="E76" s="9">
        <v>51087</v>
      </c>
      <c r="F76" s="9">
        <v>9.41</v>
      </c>
      <c r="G76" s="11">
        <v>29533</v>
      </c>
      <c r="H76" t="str" cm="1">
        <f t="array" ref="H76">_xlfn.IFS(A76&lt;'Campaign Metadata'!$B$2,"Before CybertruckLaunch",'Engagement Summary'!A98&lt;='Campaign Metadata'!$C$2,"CybertruckLaunch",A76&lt;'Campaign Metadata'!$B$3,"Before ModelYCampaign",A76&lt;='Campaign Metadata'!$C$3,"ModelYCampaign",A76&lt;'Campaign Metadata'!$B$4,"Before FSDUpdate",A76&lt;='Campaign Metadata'!$C$4,FSDUpdate,A76&lt;'Campaign Metadata'!$B$5,Before SustainabilityDrive,A76&lt;'Campaign Metadata'!$C$5,"Sustainability Drive")</f>
        <v>Before FSDUpdate</v>
      </c>
      <c r="I76">
        <f t="shared" si="2"/>
        <v>-49</v>
      </c>
    </row>
    <row r="77" spans="1:9" x14ac:dyDescent="0.2">
      <c r="A77" s="20">
        <v>45621</v>
      </c>
      <c r="B77" s="9" t="s">
        <v>31</v>
      </c>
      <c r="C77" s="9">
        <v>1854</v>
      </c>
      <c r="D77" s="9">
        <v>161</v>
      </c>
      <c r="E77" s="9">
        <v>282466</v>
      </c>
      <c r="F77" s="9">
        <v>5.17</v>
      </c>
      <c r="G77" s="11">
        <v>1810</v>
      </c>
      <c r="H77" t="str" cm="1">
        <f t="array" ref="H77">_xlfn.IFS(A77&lt;'Campaign Metadata'!$B$2,"Before CybertruckLaunch",'Engagement Summary'!A102&lt;='Campaign Metadata'!$C$2,"CybertruckLaunch",A77&lt;'Campaign Metadata'!$B$3,"Before ModelYCampaign",A77&lt;='Campaign Metadata'!$C$3,"ModelYCampaign",A77&lt;'Campaign Metadata'!$B$4,"Before FSDUpdate",A77&lt;='Campaign Metadata'!$C$4,FSDUpdate,A77&lt;'Campaign Metadata'!$B$5,Before SustainabilityDrive,A77&lt;'Campaign Metadata'!$C$5,"Sustainability Drive")</f>
        <v>CybertruckLaunch</v>
      </c>
      <c r="I77">
        <f t="shared" si="2"/>
        <v>1693</v>
      </c>
    </row>
    <row r="78" spans="1:9" x14ac:dyDescent="0.2">
      <c r="A78" s="20">
        <v>45628</v>
      </c>
      <c r="B78" s="9" t="s">
        <v>31</v>
      </c>
      <c r="C78" s="9">
        <v>1696</v>
      </c>
      <c r="D78" s="9">
        <v>71</v>
      </c>
      <c r="E78" s="9">
        <v>421957</v>
      </c>
      <c r="F78" s="9">
        <v>3.79</v>
      </c>
      <c r="G78" s="11">
        <v>36103</v>
      </c>
      <c r="H78" t="str" cm="1">
        <f t="array" ref="H78">_xlfn.IFS(A78&lt;'Campaign Metadata'!$B$2,"Before CybertruckLaunch",'Engagement Summary'!A106&lt;='Campaign Metadata'!$C$2,"CybertruckLaunch",A78&lt;'Campaign Metadata'!$B$3,"Before ModelYCampaign",A78&lt;='Campaign Metadata'!$C$3,"ModelYCampaign",A78&lt;'Campaign Metadata'!$B$4,"Before FSDUpdate",A78&lt;='Campaign Metadata'!$C$4,FSDUpdate,A78&lt;'Campaign Metadata'!$B$5,Before SustainabilityDrive,A78&lt;'Campaign Metadata'!$C$5,"Sustainability Drive")</f>
        <v>CybertruckLaunch</v>
      </c>
      <c r="I78">
        <f t="shared" si="2"/>
        <v>1625</v>
      </c>
    </row>
    <row r="79" spans="1:9" x14ac:dyDescent="0.2">
      <c r="A79" s="20">
        <v>45635</v>
      </c>
      <c r="B79" s="9" t="s">
        <v>31</v>
      </c>
      <c r="C79" s="9">
        <v>1494</v>
      </c>
      <c r="D79" s="9">
        <v>375</v>
      </c>
      <c r="E79" s="9">
        <v>220616</v>
      </c>
      <c r="F79" s="9">
        <v>1.81</v>
      </c>
      <c r="G79" s="11">
        <v>22724</v>
      </c>
      <c r="H79" t="str" cm="1">
        <f t="array" ref="H79">_xlfn.IFS(A79&lt;'Campaign Metadata'!$B$2,"Before CybertruckLaunch",'Engagement Summary'!A110&lt;='Campaign Metadata'!$C$2,"CybertruckLaunch",A79&lt;'Campaign Metadata'!$B$3,"Before ModelYCampaign",A79&lt;='Campaign Metadata'!$C$3,"ModelYCampaign",A79&lt;'Campaign Metadata'!$B$4,"Before FSDUpdate",A79&lt;='Campaign Metadata'!$C$4,FSDUpdate,A79&lt;'Campaign Metadata'!$B$5,Before SustainabilityDrive,A79&lt;'Campaign Metadata'!$C$5,"Sustainability Drive")</f>
        <v>Before FSDUpdate</v>
      </c>
      <c r="I79">
        <f t="shared" si="2"/>
        <v>1119</v>
      </c>
    </row>
    <row r="80" spans="1:9" x14ac:dyDescent="0.2">
      <c r="A80" s="20">
        <v>45642</v>
      </c>
      <c r="B80" s="9" t="s">
        <v>31</v>
      </c>
      <c r="C80" s="9">
        <v>1502</v>
      </c>
      <c r="D80" s="9">
        <v>70</v>
      </c>
      <c r="E80" s="9">
        <v>465553</v>
      </c>
      <c r="F80" s="9">
        <v>3.32</v>
      </c>
      <c r="G80" s="11">
        <v>20692</v>
      </c>
      <c r="H80" t="str" cm="1">
        <f t="array" ref="H80">_xlfn.IFS(A80&lt;'Campaign Metadata'!$B$2,"Before CybertruckLaunch",'Engagement Summary'!A114&lt;='Campaign Metadata'!$C$2,"CybertruckLaunch",A80&lt;'Campaign Metadata'!$B$3,"Before ModelYCampaign",A80&lt;='Campaign Metadata'!$C$3,"ModelYCampaign",A80&lt;'Campaign Metadata'!$B$4,"Before FSDUpdate",A80&lt;='Campaign Metadata'!$C$4,FSDUpdate,A80&lt;'Campaign Metadata'!$B$5,Before SustainabilityDrive,A80&lt;'Campaign Metadata'!$C$5,"Sustainability Drive")</f>
        <v>Before FSDUpdate</v>
      </c>
      <c r="I80">
        <f t="shared" si="2"/>
        <v>1432</v>
      </c>
    </row>
    <row r="81" spans="1:9" x14ac:dyDescent="0.2">
      <c r="A81" s="20">
        <v>45649</v>
      </c>
      <c r="B81" s="9" t="s">
        <v>31</v>
      </c>
      <c r="C81" s="9">
        <v>1092</v>
      </c>
      <c r="D81" s="9">
        <v>408</v>
      </c>
      <c r="E81" s="9">
        <v>280795</v>
      </c>
      <c r="F81" s="9">
        <v>8.44</v>
      </c>
      <c r="G81" s="11">
        <v>4683</v>
      </c>
      <c r="H81" t="str" cm="1">
        <f t="array" ref="H81">_xlfn.IFS(A81&lt;'Campaign Metadata'!$B$2,"Before CybertruckLaunch",'Engagement Summary'!A118&lt;='Campaign Metadata'!$C$2,"CybertruckLaunch",A81&lt;'Campaign Metadata'!$B$3,"Before ModelYCampaign",A81&lt;='Campaign Metadata'!$C$3,"ModelYCampaign",A81&lt;'Campaign Metadata'!$B$4,"Before FSDUpdate",A81&lt;='Campaign Metadata'!$C$4,FSDUpdate,A81&lt;'Campaign Metadata'!$B$5,Before SustainabilityDrive,A81&lt;'Campaign Metadata'!$C$5,"Sustainability Drive")</f>
        <v>Before FSDUpdate</v>
      </c>
      <c r="I81">
        <f t="shared" si="2"/>
        <v>684</v>
      </c>
    </row>
    <row r="82" spans="1:9" x14ac:dyDescent="0.2">
      <c r="A82" s="20">
        <v>45656</v>
      </c>
      <c r="B82" s="9" t="s">
        <v>31</v>
      </c>
      <c r="C82" s="9">
        <v>1814</v>
      </c>
      <c r="D82" s="9">
        <v>49</v>
      </c>
      <c r="E82" s="9">
        <v>140804</v>
      </c>
      <c r="F82" s="9">
        <v>1.76</v>
      </c>
      <c r="G82" s="11">
        <v>4313</v>
      </c>
      <c r="H82" t="str" cm="1">
        <f t="array" ref="H82">_xlfn.IFS(A82&lt;'Campaign Metadata'!$B$2,"Before CybertruckLaunch",'Engagement Summary'!A122&lt;='Campaign Metadata'!$C$2,"CybertruckLaunch",A82&lt;'Campaign Metadata'!$B$3,"Before ModelYCampaign",A82&lt;='Campaign Metadata'!$C$3,"ModelYCampaign",A82&lt;'Campaign Metadata'!$B$4,"Before FSDUpdate",A82&lt;='Campaign Metadata'!$C$4,"FSDUpdate",A82&lt;'Campaign Metadata'!$B$5,"Before SustainabilityDrive",A82&lt;'Campaign Metadata'!$C$5,"Sustainability Drive")</f>
        <v>FSDUpdate</v>
      </c>
      <c r="I82">
        <f t="shared" si="2"/>
        <v>1765</v>
      </c>
    </row>
    <row r="83" spans="1:9" x14ac:dyDescent="0.2">
      <c r="A83" s="20">
        <v>45663</v>
      </c>
      <c r="B83" s="9" t="s">
        <v>31</v>
      </c>
      <c r="C83" s="9">
        <v>1013</v>
      </c>
      <c r="D83" s="9">
        <v>110</v>
      </c>
      <c r="E83" s="9">
        <v>466382</v>
      </c>
      <c r="F83" s="9">
        <v>5.3</v>
      </c>
      <c r="G83" s="11">
        <v>37132</v>
      </c>
      <c r="H83" t="str" cm="1">
        <f t="array" ref="H83">_xlfn.IFS(A83&lt;'Campaign Metadata'!$B$2,"Before CybertruckLaunch",'Engagement Summary'!A126&lt;='Campaign Metadata'!$C$2,"CybertruckLaunch",A83&lt;'Campaign Metadata'!$B$3,"Before ModelYCampaign",A83&lt;='Campaign Metadata'!$C$3,"ModelYCampaign",A83&lt;'Campaign Metadata'!$B$4,"Before FSDUpdate",A83&lt;='Campaign Metadata'!$C$4,"FSDUpdate",A83&lt;'Campaign Metadata'!$B$5,"Before SustainabilityDrive",A83&lt;'Campaign Metadata'!$C$5,"Sustainability Drive")</f>
        <v>FSDUpdate</v>
      </c>
      <c r="I83">
        <f t="shared" si="2"/>
        <v>903</v>
      </c>
    </row>
    <row r="84" spans="1:9" x14ac:dyDescent="0.2">
      <c r="A84" s="20">
        <v>45670</v>
      </c>
      <c r="B84" s="9" t="s">
        <v>31</v>
      </c>
      <c r="C84" s="9">
        <v>1855</v>
      </c>
      <c r="D84" s="9">
        <v>133</v>
      </c>
      <c r="E84" s="9">
        <v>349413</v>
      </c>
      <c r="F84" s="9">
        <v>3.3</v>
      </c>
      <c r="G84" s="11">
        <v>14548</v>
      </c>
      <c r="H84" t="str" cm="1">
        <f t="array" ref="H84">_xlfn.IFS(A84&lt;'Campaign Metadata'!$B$2,"Before CybertruckLaunch",'Engagement Summary'!A130&lt;='Campaign Metadata'!$C$2,"CybertruckLaunch",A84&lt;'Campaign Metadata'!$B$3,"Before ModelYCampaign",A84&lt;='Campaign Metadata'!$C$3,"ModelYCampaign",A84&lt;'Campaign Metadata'!$B$4,"Before FSDUpdate",A84&lt;='Campaign Metadata'!$C$4,"FSDUpdate",A84&lt;'Campaign Metadata'!$B$5,"Before SustainabilityDrive",A84&lt;'Campaign Metadata'!$C$5,"Sustainability Drive")</f>
        <v>Before SustainabilityDrive</v>
      </c>
      <c r="I84">
        <f t="shared" si="2"/>
        <v>1722</v>
      </c>
    </row>
    <row r="85" spans="1:9" x14ac:dyDescent="0.2">
      <c r="A85" s="20">
        <v>45677</v>
      </c>
      <c r="B85" s="9" t="s">
        <v>31</v>
      </c>
      <c r="C85" s="9">
        <v>1748</v>
      </c>
      <c r="D85" s="9">
        <v>176</v>
      </c>
      <c r="E85" s="9">
        <v>383681</v>
      </c>
      <c r="F85" s="9">
        <v>9.24</v>
      </c>
      <c r="G85" s="11">
        <v>43122</v>
      </c>
      <c r="H85" t="str" cm="1">
        <f t="array" ref="H85">_xlfn.IFS(A85&lt;'Campaign Metadata'!$B$2,"Before CybertruckLaunch",'Engagement Summary'!A134&lt;='Campaign Metadata'!$C$2,"CybertruckLaunch",A85&lt;'Campaign Metadata'!$B$3,"Before ModelYCampaign",A85&lt;='Campaign Metadata'!$C$3,"ModelYCampaign",A85&lt;'Campaign Metadata'!$B$4,"Before FSDUpdate",A85&lt;='Campaign Metadata'!$C$4,"FSDUpdate",A85&lt;'Campaign Metadata'!$B$5,"Before SustainabilityDrive",A85&lt;'Campaign Metadata'!$C$5,"Sustainability Drive")</f>
        <v>Before SustainabilityDrive</v>
      </c>
      <c r="I85">
        <f t="shared" si="2"/>
        <v>1572</v>
      </c>
    </row>
    <row r="86" spans="1:9" x14ac:dyDescent="0.2">
      <c r="A86" s="20">
        <v>45684</v>
      </c>
      <c r="B86" s="9" t="s">
        <v>31</v>
      </c>
      <c r="C86" s="9">
        <v>115</v>
      </c>
      <c r="D86" s="9">
        <v>281</v>
      </c>
      <c r="E86" s="9">
        <v>357265</v>
      </c>
      <c r="F86" s="9">
        <v>9.23</v>
      </c>
      <c r="G86" s="11">
        <v>25525</v>
      </c>
      <c r="H86" t="str" cm="1">
        <f t="array" ref="H86">_xlfn.IFS(A86&lt;'Campaign Metadata'!$B$2,"Before CybertruckLaunch",'Engagement Summary'!A138&lt;='Campaign Metadata'!$C$2,"CybertruckLaunch",A86&lt;'Campaign Metadata'!$B$3,"Before ModelYCampaign",A86&lt;='Campaign Metadata'!$C$3,"ModelYCampaign",A86&lt;'Campaign Metadata'!$B$4,"Before FSDUpdate",A86&lt;='Campaign Metadata'!$C$4,"FSDUpdate",A86&lt;'Campaign Metadata'!$B$5,"Before SustainabilityDrive",A86&lt;'Campaign Metadata'!$C$5,"Sustainability Drive")</f>
        <v>Before SustainabilityDrive</v>
      </c>
      <c r="I86">
        <f t="shared" si="2"/>
        <v>-166</v>
      </c>
    </row>
    <row r="87" spans="1:9" x14ac:dyDescent="0.2">
      <c r="A87" s="20">
        <v>45691</v>
      </c>
      <c r="B87" s="9" t="s">
        <v>31</v>
      </c>
      <c r="C87" s="9">
        <v>1556</v>
      </c>
      <c r="D87" s="9">
        <v>476</v>
      </c>
      <c r="E87" s="9">
        <v>351556</v>
      </c>
      <c r="F87" s="9">
        <v>3.89</v>
      </c>
      <c r="G87" s="11">
        <v>10825</v>
      </c>
      <c r="H87" t="str" cm="1">
        <f t="array" ref="H87">_xlfn.IFS(A87&lt;'Campaign Metadata'!$B$2,"Before CybertruckLaunch",'Engagement Summary'!A142&lt;='Campaign Metadata'!$C$2,"CybertruckLaunch",A87&lt;'Campaign Metadata'!$B$3,"Before ModelYCampaign",A87&lt;='Campaign Metadata'!$C$3,"ModelYCampaign",A87&lt;'Campaign Metadata'!$B$4,"Before FSDUpdate",A87&lt;='Campaign Metadata'!$C$4,"FSDUpdate",A87&lt;'Campaign Metadata'!$B$5,"Before SustainabilityDrive",A87&lt;'Campaign Metadata'!$C$5,"Sustainability Drive")</f>
        <v>Before SustainabilityDrive</v>
      </c>
      <c r="I87">
        <f t="shared" si="2"/>
        <v>1080</v>
      </c>
    </row>
    <row r="88" spans="1:9" x14ac:dyDescent="0.2">
      <c r="A88" s="20">
        <v>45698</v>
      </c>
      <c r="B88" s="9" t="s">
        <v>31</v>
      </c>
      <c r="C88" s="9">
        <v>1957</v>
      </c>
      <c r="D88" s="9">
        <v>234</v>
      </c>
      <c r="E88" s="9">
        <v>222126</v>
      </c>
      <c r="F88" s="9">
        <v>4.6100000000000003</v>
      </c>
      <c r="G88" s="11">
        <v>3314</v>
      </c>
      <c r="H88" t="str" cm="1">
        <f t="array" ref="H88">_xlfn.IFS(A88&lt;'Campaign Metadata'!$B$2,"Before CybertruckLaunch",'Engagement Summary'!A146&lt;='Campaign Metadata'!$C$2,"CybertruckLaunch",A88&lt;'Campaign Metadata'!$B$3,"Before ModelYCampaign",A88&lt;='Campaign Metadata'!$C$3,"ModelYCampaign",A88&lt;'Campaign Metadata'!$B$4,"Before FSDUpdate",A88&lt;='Campaign Metadata'!$C$4,"FSDUpdate",A88&lt;'Campaign Metadata'!$B$5,"Before SustainabilityDrive",A88&lt;'Campaign Metadata'!$C$5,"Sustainability Drive")</f>
        <v>Before SustainabilityDrive</v>
      </c>
      <c r="I88">
        <f t="shared" si="2"/>
        <v>1723</v>
      </c>
    </row>
    <row r="89" spans="1:9" x14ac:dyDescent="0.2">
      <c r="A89" s="20">
        <v>45705</v>
      </c>
      <c r="B89" s="9" t="s">
        <v>31</v>
      </c>
      <c r="C89" s="9">
        <v>1138</v>
      </c>
      <c r="D89" s="9">
        <v>173</v>
      </c>
      <c r="E89" s="9">
        <v>453243</v>
      </c>
      <c r="F89" s="9">
        <v>2.86</v>
      </c>
      <c r="G89" s="11">
        <v>44097</v>
      </c>
      <c r="H89" t="str" cm="1">
        <f t="array" ref="H89">_xlfn.IFS(A89&lt;'Campaign Metadata'!$B$2,"Before CybertruckLaunch",'Engagement Summary'!A150&lt;='Campaign Metadata'!$C$2,"CybertruckLaunch",A89&lt;'Campaign Metadata'!$B$3,"Before ModelYCampaign",A89&lt;='Campaign Metadata'!$C$3,"ModelYCampaign",A89&lt;'Campaign Metadata'!$B$4,"Before FSDUpdate",A89&lt;='Campaign Metadata'!$C$4,"FSDUpdate",A89&lt;'Campaign Metadata'!$B$5,"Before SustainabilityDrive",A89&lt;'Campaign Metadata'!$C$5,"Sustainability Drive")</f>
        <v>Before SustainabilityDrive</v>
      </c>
      <c r="I89">
        <f t="shared" si="2"/>
        <v>965</v>
      </c>
    </row>
    <row r="90" spans="1:9" x14ac:dyDescent="0.2">
      <c r="A90" s="20">
        <v>45712</v>
      </c>
      <c r="B90" s="9" t="s">
        <v>31</v>
      </c>
      <c r="C90" s="9">
        <v>1440</v>
      </c>
      <c r="D90" s="9">
        <v>65</v>
      </c>
      <c r="E90" s="9">
        <v>126524</v>
      </c>
      <c r="F90" s="9">
        <v>4.34</v>
      </c>
      <c r="G90" s="11">
        <v>49772</v>
      </c>
      <c r="H90" t="str" cm="1">
        <f t="array" ref="H90">_xlfn.IFS(A90&lt;'Campaign Metadata'!$B$2,"Before CybertruckLaunch",'Engagement Summary'!A154&lt;='Campaign Metadata'!$C$2,"CybertruckLaunch",A90&lt;'Campaign Metadata'!$B$3,"Before ModelYCampaign",A90&lt;='Campaign Metadata'!$C$3,"ModelYCampaign",A90&lt;'Campaign Metadata'!$B$4,"Before FSDUpdate",A90&lt;='Campaign Metadata'!$C$4,"FSDUpdate",A90&lt;'Campaign Metadata'!$B$5,"Before SustainabilityDrive",A90&lt;'Campaign Metadata'!$C$5,"Sustainability Drive")</f>
        <v>CybertruckLaunch</v>
      </c>
      <c r="I90">
        <f t="shared" si="2"/>
        <v>1375</v>
      </c>
    </row>
    <row r="91" spans="1:9" x14ac:dyDescent="0.2">
      <c r="A91" s="20">
        <v>45719</v>
      </c>
      <c r="B91" s="9" t="s">
        <v>31</v>
      </c>
      <c r="C91" s="9">
        <v>1371</v>
      </c>
      <c r="D91" s="9">
        <v>56</v>
      </c>
      <c r="E91" s="9">
        <v>257579</v>
      </c>
      <c r="F91" s="9">
        <v>8.6199999999999992</v>
      </c>
      <c r="G91" s="11">
        <v>33799</v>
      </c>
      <c r="H91" t="str" cm="1">
        <f t="array" ref="H91">_xlfn.IFS(A91&lt;'Campaign Metadata'!$B$2,"Before CybertruckLaunch",'Engagement Summary'!A158&lt;='Campaign Metadata'!$C$2,"CybertruckLaunch",A91&lt;'Campaign Metadata'!$B$3,"Before ModelYCampaign",A91&lt;='Campaign Metadata'!$C$3,"ModelYCampaign",A91&lt;'Campaign Metadata'!$B$4,"Before FSDUpdate",A91&lt;='Campaign Metadata'!$C$4,"FSDUpdate",A91&lt;'Campaign Metadata'!$B$5,"Before SustainabilityDrive",A91&lt;'Campaign Metadata'!$C$5,"Sustainability Drive")</f>
        <v>CybertruckLaunch</v>
      </c>
      <c r="I91">
        <f t="shared" si="2"/>
        <v>1315</v>
      </c>
    </row>
    <row r="92" spans="1:9" x14ac:dyDescent="0.2">
      <c r="A92" s="20">
        <v>45726</v>
      </c>
      <c r="B92" s="9" t="s">
        <v>31</v>
      </c>
      <c r="C92" s="9">
        <v>393</v>
      </c>
      <c r="D92" s="9">
        <v>181</v>
      </c>
      <c r="E92" s="9">
        <v>462142</v>
      </c>
      <c r="F92" s="9">
        <v>7.23</v>
      </c>
      <c r="G92" s="11">
        <v>6296</v>
      </c>
      <c r="H92" t="str" cm="1">
        <f t="array" ref="H92">_xlfn.IFS(A92&lt;'Campaign Metadata'!$B$2,"Before CybertruckLaunch",'Engagement Summary'!A162&lt;='Campaign Metadata'!$C$2,"CybertruckLaunch",A92&lt;'Campaign Metadata'!$B$3,"Before ModelYCampaign",A92&lt;='Campaign Metadata'!$C$3,"ModelYCampaign",A92&lt;'Campaign Metadata'!$B$4,"Before FSDUpdate",A92&lt;='Campaign Metadata'!$C$4,"FSDUpdate",A92&lt;'Campaign Metadata'!$B$5,"Before SustainabilityDrive",A92&lt;'Campaign Metadata'!$C$5,"Sustainability Drive")</f>
        <v>Sustainability Drive</v>
      </c>
      <c r="I92">
        <f t="shared" si="2"/>
        <v>212</v>
      </c>
    </row>
    <row r="93" spans="1:9" x14ac:dyDescent="0.2">
      <c r="A93" s="20">
        <v>45733</v>
      </c>
      <c r="B93" s="9" t="s">
        <v>31</v>
      </c>
      <c r="C93" s="9">
        <v>1102</v>
      </c>
      <c r="D93" s="9">
        <v>422</v>
      </c>
      <c r="E93" s="9">
        <v>410330</v>
      </c>
      <c r="F93" s="9">
        <v>7.74</v>
      </c>
      <c r="G93" s="11">
        <v>9480</v>
      </c>
      <c r="H93" t="str" cm="1">
        <f t="array" ref="H93">_xlfn.IFS(A93&lt;'Campaign Metadata'!$B$2,"Before CybertruckLaunch",'Engagement Summary'!A166&lt;='Campaign Metadata'!$C$2,"CybertruckLaunch",A93&lt;'Campaign Metadata'!$B$3,"Before ModelYCampaign",A93&lt;='Campaign Metadata'!$C$3,"ModelYCampaign",A93&lt;'Campaign Metadata'!$B$4,"Before FSDUpdate",A93&lt;='Campaign Metadata'!$C$4,"FSDUpdate",A93&lt;'Campaign Metadata'!$B$5,"Before SustainabilityDrive",A93&lt;'Campaign Metadata'!$C$5,"Sustainability Drive")</f>
        <v>Sustainability Drive</v>
      </c>
      <c r="I93">
        <f t="shared" si="2"/>
        <v>680</v>
      </c>
    </row>
    <row r="94" spans="1:9" x14ac:dyDescent="0.2">
      <c r="A94" s="20">
        <v>45740</v>
      </c>
      <c r="B94" s="9" t="s">
        <v>31</v>
      </c>
      <c r="C94" s="9">
        <v>490</v>
      </c>
      <c r="D94" s="9">
        <v>29</v>
      </c>
      <c r="E94" s="9">
        <v>364810</v>
      </c>
      <c r="F94" s="9">
        <v>1.53</v>
      </c>
      <c r="G94" s="11">
        <v>49077</v>
      </c>
      <c r="H94" t="str" cm="1">
        <f t="array" ref="H94">_xlfn.IFS(A94&lt;'Campaign Metadata'!$B$2,"Before CybertruckLaunch",'Engagement Summary'!A170&lt;='Campaign Metadata'!$C$2,"CybertruckLaunch",A94&lt;'Campaign Metadata'!$B$3,"Before ModelYCampaign",A94&lt;='Campaign Metadata'!$C$3,"ModelYCampaign",A94&lt;'Campaign Metadata'!$B$4,"Before FSDUpdate",A94&lt;='Campaign Metadata'!$C$4,"FSDUpdate",A94&lt;'Campaign Metadata'!$B$5,"Before SustainabilityDrive",A94&lt;'Campaign Metadata'!$C$5,"Sustainability Drive")</f>
        <v>Sustainability Drive</v>
      </c>
      <c r="I94">
        <f t="shared" si="2"/>
        <v>461</v>
      </c>
    </row>
    <row r="95" spans="1:9" x14ac:dyDescent="0.2">
      <c r="A95" s="20">
        <v>45747</v>
      </c>
      <c r="B95" s="9" t="s">
        <v>31</v>
      </c>
      <c r="C95" s="9">
        <v>1033</v>
      </c>
      <c r="D95" s="9">
        <v>392</v>
      </c>
      <c r="E95" s="9">
        <v>282780</v>
      </c>
      <c r="F95" s="9">
        <v>6.27</v>
      </c>
      <c r="G95" s="11">
        <v>23140</v>
      </c>
      <c r="H95" t="e" cm="1">
        <f t="array" ref="H95">_xlfn.IFS(A95&lt;'Campaign Metadata'!$B$2,"Before CybertruckLaunch",'Engagement Summary'!A174&lt;='Campaign Metadata'!$C$2,"CybertruckLaunch",A95&lt;'Campaign Metadata'!$B$3,"Before ModelYCampaign",A95&lt;='Campaign Metadata'!$C$3,"ModelYCampaign",A95&lt;'Campaign Metadata'!$B$4,"Before FSDUpdate",A95&lt;='Campaign Metadata'!$C$4,"FSDUpdate",A95&lt;'Campaign Metadata'!$B$5,"Before SustainabilityDrive",A95&lt;'Campaign Metadata'!$C$5,"Sustainability Drive")</f>
        <v>#N/A</v>
      </c>
      <c r="I95">
        <f t="shared" si="2"/>
        <v>641</v>
      </c>
    </row>
    <row r="96" spans="1:9" x14ac:dyDescent="0.2">
      <c r="A96" s="20">
        <v>45754</v>
      </c>
      <c r="B96" s="9" t="s">
        <v>31</v>
      </c>
      <c r="C96" s="9">
        <v>559</v>
      </c>
      <c r="D96" s="9">
        <v>392</v>
      </c>
      <c r="E96" s="9">
        <v>78789</v>
      </c>
      <c r="F96" s="9">
        <v>3.19</v>
      </c>
      <c r="G96" s="11">
        <v>2436</v>
      </c>
      <c r="H96" t="e" cm="1">
        <f t="array" ref="H96">_xlfn.IFS(A96&lt;'Campaign Metadata'!$B$2,"Before CybertruckLaunch",'Engagement Summary'!A178&lt;='Campaign Metadata'!$C$2,"CybertruckLaunch",A96&lt;'Campaign Metadata'!$B$3,"Before ModelYCampaign",A96&lt;='Campaign Metadata'!$C$3,"ModelYCampaign",A96&lt;'Campaign Metadata'!$B$4,"Before FSDUpdate",A96&lt;='Campaign Metadata'!$C$4,"FSDUpdate",A96&lt;'Campaign Metadata'!$B$5,"Before SustainabilityDrive",A96&lt;'Campaign Metadata'!$C$5,"Sustainability Drive")</f>
        <v>#N/A</v>
      </c>
      <c r="I96">
        <f t="shared" si="2"/>
        <v>167</v>
      </c>
    </row>
    <row r="97" spans="1:9" x14ac:dyDescent="0.2">
      <c r="A97" s="20">
        <v>45761</v>
      </c>
      <c r="B97" s="9" t="s">
        <v>31</v>
      </c>
      <c r="C97" s="9">
        <v>198</v>
      </c>
      <c r="D97" s="9">
        <v>358</v>
      </c>
      <c r="E97" s="9">
        <v>66682</v>
      </c>
      <c r="F97" s="9">
        <v>6.73</v>
      </c>
      <c r="G97" s="11">
        <v>2293</v>
      </c>
      <c r="H97" t="e" cm="1">
        <f t="array" ref="H97">_xlfn.IFS(A97&lt;'Campaign Metadata'!$B$2,"Before CybertruckLaunch",'Engagement Summary'!A182&lt;='Campaign Metadata'!$C$2,"CybertruckLaunch",A97&lt;'Campaign Metadata'!$B$3,"Before ModelYCampaign",A97&lt;='Campaign Metadata'!$C$3,"ModelYCampaign",A97&lt;'Campaign Metadata'!$B$4,"Before FSDUpdate",A97&lt;='Campaign Metadata'!$C$4,"FSDUpdate",A97&lt;'Campaign Metadata'!$B$5,"Before SustainabilityDrive",A97&lt;'Campaign Metadata'!$C$5,"Sustainability Drive")</f>
        <v>#N/A</v>
      </c>
      <c r="I97">
        <f t="shared" si="2"/>
        <v>-160</v>
      </c>
    </row>
    <row r="98" spans="1:9" x14ac:dyDescent="0.2">
      <c r="A98" s="20">
        <v>45768</v>
      </c>
      <c r="B98" s="9" t="s">
        <v>31</v>
      </c>
      <c r="C98" s="9">
        <v>961</v>
      </c>
      <c r="D98" s="9">
        <v>358</v>
      </c>
      <c r="E98" s="9">
        <v>62942</v>
      </c>
      <c r="F98" s="9">
        <v>6.8</v>
      </c>
      <c r="G98" s="11">
        <v>18693</v>
      </c>
      <c r="H98" t="e" cm="1">
        <f t="array" ref="H98">_xlfn.IFS(A98&lt;'Campaign Metadata'!$B$2,"Before CybertruckLaunch",'Engagement Summary'!A186&lt;='Campaign Metadata'!$C$2,"CybertruckLaunch",A98&lt;'Campaign Metadata'!$B$3,"Before ModelYCampaign",A98&lt;='Campaign Metadata'!$C$3,"ModelYCampaign",A98&lt;'Campaign Metadata'!$B$4,"Before FSDUpdate",A98&lt;='Campaign Metadata'!$C$4,"FSDUpdate",A98&lt;'Campaign Metadata'!$B$5,"Before SustainabilityDrive",A98&lt;'Campaign Metadata'!$C$5,"Sustainability Drive")</f>
        <v>#N/A</v>
      </c>
      <c r="I98">
        <f t="shared" ref="I98:I129" si="3">C98-D98</f>
        <v>603</v>
      </c>
    </row>
    <row r="99" spans="1:9" x14ac:dyDescent="0.2">
      <c r="A99" s="20">
        <v>45775</v>
      </c>
      <c r="B99" s="9" t="s">
        <v>31</v>
      </c>
      <c r="C99" s="9">
        <v>1693</v>
      </c>
      <c r="D99" s="9">
        <v>154</v>
      </c>
      <c r="E99" s="9">
        <v>445944</v>
      </c>
      <c r="F99" s="9">
        <v>5.69</v>
      </c>
      <c r="G99" s="11">
        <v>14216</v>
      </c>
      <c r="H99" t="e" cm="1">
        <f t="array" ref="H99">_xlfn.IFS(A99&lt;'Campaign Metadata'!$B$2,"Before CybertruckLaunch",'Engagement Summary'!A190&lt;='Campaign Metadata'!$C$2,"CybertruckLaunch",A99&lt;'Campaign Metadata'!$B$3,"Before ModelYCampaign",A99&lt;='Campaign Metadata'!$C$3,"ModelYCampaign",A99&lt;'Campaign Metadata'!$B$4,"Before FSDUpdate",A99&lt;='Campaign Metadata'!$C$4,"FSDUpdate",A99&lt;'Campaign Metadata'!$B$5,"Before SustainabilityDrive",A99&lt;'Campaign Metadata'!$C$5,"Sustainability Drive")</f>
        <v>#N/A</v>
      </c>
      <c r="I99">
        <f t="shared" si="3"/>
        <v>1539</v>
      </c>
    </row>
    <row r="100" spans="1:9" x14ac:dyDescent="0.2">
      <c r="A100" s="20">
        <v>45782</v>
      </c>
      <c r="B100" s="9" t="s">
        <v>31</v>
      </c>
      <c r="C100" s="9">
        <v>1957</v>
      </c>
      <c r="D100" s="9">
        <v>76</v>
      </c>
      <c r="E100" s="9">
        <v>447902</v>
      </c>
      <c r="F100" s="9">
        <v>6.09</v>
      </c>
      <c r="G100" s="11">
        <v>33381</v>
      </c>
      <c r="H100" t="e" cm="1">
        <f t="array" ref="H100">_xlfn.IFS(A100&lt;'Campaign Metadata'!$B$2,"Before CybertruckLaunch",'Engagement Summary'!A194&lt;='Campaign Metadata'!$C$2,"CybertruckLaunch",A100&lt;'Campaign Metadata'!$B$3,"Before ModelYCampaign",A100&lt;='Campaign Metadata'!$C$3,"ModelYCampaign",A100&lt;'Campaign Metadata'!$B$4,"Before FSDUpdate",A100&lt;='Campaign Metadata'!$C$4,"FSDUpdate",A100&lt;'Campaign Metadata'!$B$5,"Before SustainabilityDrive",A100&lt;'Campaign Metadata'!$C$5,"Sustainability Drive")</f>
        <v>#N/A</v>
      </c>
      <c r="I100">
        <f t="shared" si="3"/>
        <v>1881</v>
      </c>
    </row>
    <row r="101" spans="1:9" x14ac:dyDescent="0.2">
      <c r="A101" s="20">
        <v>45789</v>
      </c>
      <c r="B101" s="9" t="s">
        <v>31</v>
      </c>
      <c r="C101" s="9">
        <v>1765</v>
      </c>
      <c r="D101" s="9">
        <v>109</v>
      </c>
      <c r="E101" s="9">
        <v>468301</v>
      </c>
      <c r="F101" s="9">
        <v>1.82</v>
      </c>
      <c r="G101" s="11">
        <v>20042</v>
      </c>
      <c r="H101" t="e" cm="1">
        <f t="array" ref="H101">_xlfn.IFS(A101&lt;'Campaign Metadata'!$B$2,"Before CybertruckLaunch",'Engagement Summary'!A198&lt;='Campaign Metadata'!$C$2,"CybertruckLaunch",A101&lt;'Campaign Metadata'!$B$3,"Before ModelYCampaign",A101&lt;='Campaign Metadata'!$C$3,"ModelYCampaign",A101&lt;'Campaign Metadata'!$B$4,"Before FSDUpdate",A101&lt;='Campaign Metadata'!$C$4,"FSDUpdate",A101&lt;'Campaign Metadata'!$B$5,"Before SustainabilityDrive",A101&lt;'Campaign Metadata'!$C$5,"Sustainability Drive")</f>
        <v>#N/A</v>
      </c>
      <c r="I101">
        <f t="shared" si="3"/>
        <v>1656</v>
      </c>
    </row>
    <row r="102" spans="1:9" x14ac:dyDescent="0.2">
      <c r="A102" s="20">
        <v>45446</v>
      </c>
      <c r="B102" s="9" t="s">
        <v>14</v>
      </c>
      <c r="C102" s="9">
        <v>584</v>
      </c>
      <c r="D102" s="9">
        <v>169</v>
      </c>
      <c r="E102" s="9">
        <v>146834</v>
      </c>
      <c r="F102" s="9">
        <v>8.31</v>
      </c>
      <c r="G102" s="11">
        <v>26752</v>
      </c>
      <c r="H102" t="str" cm="1">
        <f t="array" ref="H102">_xlfn.IFS(A102&lt;'Campaign Metadata'!$B$2,"Before CybertruckLaunch",'Engagement Summary'!A4&lt;='Campaign Metadata'!$C$2,"CybertruckLaunch",A102&lt;'Campaign Metadata'!$B$3,"Before ModelYCampaign",A102&lt;='Campaign Metadata'!$C$3,"ModelYCampaign",A102&lt;'Campaign Metadata'!$B$4,"Before FSDUpdate",A102&lt;='Campaign Metadata'!$C$4,FSDUpdate,A102&lt;'Campaign Metadata'!$B$5,Before SustainabilityDrive,A102&lt;'Campaign Metadata'!$C$5,"Sustainability Drive")</f>
        <v>Before CybertruckLaunch</v>
      </c>
      <c r="I102">
        <f t="shared" si="3"/>
        <v>415</v>
      </c>
    </row>
    <row r="103" spans="1:9" x14ac:dyDescent="0.2">
      <c r="A103" s="20">
        <v>45453</v>
      </c>
      <c r="B103" s="9" t="s">
        <v>14</v>
      </c>
      <c r="C103" s="9">
        <v>436</v>
      </c>
      <c r="D103" s="9">
        <v>250</v>
      </c>
      <c r="E103" s="9">
        <v>254347</v>
      </c>
      <c r="F103" s="9">
        <v>4.01</v>
      </c>
      <c r="G103" s="11">
        <v>8912</v>
      </c>
      <c r="H103" t="str" cm="1">
        <f t="array" ref="H103">_xlfn.IFS(A103&lt;'Campaign Metadata'!$B$2,"Before CybertruckLaunch",'Engagement Summary'!A8&lt;='Campaign Metadata'!$C$2,"CybertruckLaunch",A103&lt;'Campaign Metadata'!$B$3,"Before ModelYCampaign",A103&lt;='Campaign Metadata'!$C$3,"ModelYCampaign",A103&lt;'Campaign Metadata'!$B$4,"Before FSDUpdate",A103&lt;='Campaign Metadata'!$C$4,FSDUpdate,A103&lt;'Campaign Metadata'!$B$5,Before SustainabilityDrive,A103&lt;'Campaign Metadata'!$C$5,"Sustainability Drive")</f>
        <v>Before CybertruckLaunch</v>
      </c>
      <c r="I103">
        <f t="shared" si="3"/>
        <v>186</v>
      </c>
    </row>
    <row r="104" spans="1:9" x14ac:dyDescent="0.2">
      <c r="A104" s="20">
        <v>45460</v>
      </c>
      <c r="B104" s="9" t="s">
        <v>14</v>
      </c>
      <c r="C104" s="9">
        <v>1335</v>
      </c>
      <c r="D104" s="9">
        <v>40</v>
      </c>
      <c r="E104" s="9">
        <v>122732</v>
      </c>
      <c r="F104" s="9">
        <v>8.19</v>
      </c>
      <c r="G104" s="11">
        <v>22482</v>
      </c>
      <c r="H104" t="str" cm="1">
        <f t="array" ref="H104">_xlfn.IFS(A104&lt;'Campaign Metadata'!$B$2,"Before CybertruckLaunch",'Engagement Summary'!A12&lt;='Campaign Metadata'!$C$2,"CybertruckLaunch",A104&lt;'Campaign Metadata'!$B$3,"Before ModelYCampaign",A104&lt;='Campaign Metadata'!$C$3,"ModelYCampaign",A104&lt;'Campaign Metadata'!$B$4,"Before FSDUpdate",A104&lt;='Campaign Metadata'!$C$4,FSDUpdate,A104&lt;'Campaign Metadata'!$B$5,Before SustainabilityDrive,A104&lt;'Campaign Metadata'!$C$5,"Sustainability Drive")</f>
        <v>Before ModelYCampaign</v>
      </c>
      <c r="I104">
        <f t="shared" si="3"/>
        <v>1295</v>
      </c>
    </row>
    <row r="105" spans="1:9" x14ac:dyDescent="0.2">
      <c r="A105" s="20">
        <v>45467</v>
      </c>
      <c r="B105" s="9" t="s">
        <v>14</v>
      </c>
      <c r="C105" s="9">
        <v>1238</v>
      </c>
      <c r="D105" s="9">
        <v>403</v>
      </c>
      <c r="E105" s="9">
        <v>298421</v>
      </c>
      <c r="F105" s="9">
        <v>3.5</v>
      </c>
      <c r="G105" s="11">
        <v>31280</v>
      </c>
      <c r="H105" t="str" cm="1">
        <f t="array" ref="H105">_xlfn.IFS(A105&lt;'Campaign Metadata'!$B$2,"Before CybertruckLaunch",'Engagement Summary'!A16&lt;='Campaign Metadata'!$C$2,"CybertruckLaunch",A105&lt;'Campaign Metadata'!$B$3,"Before ModelYCampaign",A105&lt;='Campaign Metadata'!$C$3,"ModelYCampaign",A105&lt;'Campaign Metadata'!$B$4,"Before FSDUpdate",A105&lt;='Campaign Metadata'!$C$4,FSDUpdate,A105&lt;'Campaign Metadata'!$B$5,Before SustainabilityDrive,A105&lt;'Campaign Metadata'!$C$5,"Sustainability Drive")</f>
        <v>Before ModelYCampaign</v>
      </c>
      <c r="I105">
        <f t="shared" si="3"/>
        <v>835</v>
      </c>
    </row>
    <row r="106" spans="1:9" x14ac:dyDescent="0.2">
      <c r="A106" s="20">
        <v>45474</v>
      </c>
      <c r="B106" s="9" t="s">
        <v>14</v>
      </c>
      <c r="C106" s="9">
        <v>1420</v>
      </c>
      <c r="D106" s="9">
        <v>63</v>
      </c>
      <c r="E106" s="9">
        <v>315305</v>
      </c>
      <c r="F106" s="9">
        <v>6.19</v>
      </c>
      <c r="G106" s="11">
        <v>5914</v>
      </c>
      <c r="H106" t="str" cm="1">
        <f t="array" ref="H106">_xlfn.IFS(A106&lt;'Campaign Metadata'!$B$2,"Before CybertruckLaunch",'Engagement Summary'!A20&lt;='Campaign Metadata'!$C$2,"CybertruckLaunch",A106&lt;'Campaign Metadata'!$B$3,"Before ModelYCampaign",A106&lt;='Campaign Metadata'!$C$3,"ModelYCampaign",A106&lt;'Campaign Metadata'!$B$4,"Before FSDUpdate",A106&lt;='Campaign Metadata'!$C$4,FSDUpdate,A106&lt;'Campaign Metadata'!$B$5,Before SustainabilityDrive,A106&lt;'Campaign Metadata'!$C$5,"Sustainability Drive")</f>
        <v>Before ModelYCampaign</v>
      </c>
      <c r="I106">
        <f t="shared" si="3"/>
        <v>1357</v>
      </c>
    </row>
    <row r="107" spans="1:9" x14ac:dyDescent="0.2">
      <c r="A107" s="20">
        <v>45481</v>
      </c>
      <c r="B107" s="9" t="s">
        <v>14</v>
      </c>
      <c r="C107" s="9">
        <v>987</v>
      </c>
      <c r="D107" s="9">
        <v>440</v>
      </c>
      <c r="E107" s="9">
        <v>389810</v>
      </c>
      <c r="F107" s="9">
        <v>4.66</v>
      </c>
      <c r="G107" s="11">
        <v>2932</v>
      </c>
      <c r="H107" t="str" cm="1">
        <f t="array" ref="H107">_xlfn.IFS(A107&lt;'Campaign Metadata'!$B$2,"Before CybertruckLaunch",'Engagement Summary'!A24&lt;='Campaign Metadata'!$C$2,"CybertruckLaunch",A107&lt;'Campaign Metadata'!$B$3,"Before ModelYCampaign",A107&lt;='Campaign Metadata'!$C$3,"ModelYCampaign",A107&lt;'Campaign Metadata'!$B$4,"Before FSDUpdate",A107&lt;='Campaign Metadata'!$C$4,FSDUpdate,A107&lt;'Campaign Metadata'!$B$5,Before SustainabilityDrive,A107&lt;'Campaign Metadata'!$C$5,"Sustainability Drive")</f>
        <v>Before ModelYCampaign</v>
      </c>
      <c r="I107">
        <f t="shared" si="3"/>
        <v>547</v>
      </c>
    </row>
    <row r="108" spans="1:9" x14ac:dyDescent="0.2">
      <c r="A108" s="20">
        <v>45488</v>
      </c>
      <c r="B108" s="9" t="s">
        <v>14</v>
      </c>
      <c r="C108" s="9">
        <v>704</v>
      </c>
      <c r="D108" s="9">
        <v>275</v>
      </c>
      <c r="E108" s="9">
        <v>226002</v>
      </c>
      <c r="F108" s="9">
        <v>8.56</v>
      </c>
      <c r="G108" s="11">
        <v>32393</v>
      </c>
      <c r="H108" t="str" cm="1">
        <f t="array" ref="H108">_xlfn.IFS(A108&lt;'Campaign Metadata'!$B$2,"Before CybertruckLaunch",'Engagement Summary'!A28&lt;='Campaign Metadata'!$C$2,"CybertruckLaunch",A108&lt;'Campaign Metadata'!$B$3,"Before ModelYCampaign",A108&lt;='Campaign Metadata'!$C$3,"ModelYCampaign",A108&lt;'Campaign Metadata'!$B$4,"Before FSDUpdate",A108&lt;='Campaign Metadata'!$C$4,FSDUpdate,A108&lt;'Campaign Metadata'!$B$5,Before SustainabilityDrive,A108&lt;'Campaign Metadata'!$C$5,"Sustainability Drive")</f>
        <v>Before ModelYCampaign</v>
      </c>
      <c r="I108">
        <f t="shared" si="3"/>
        <v>429</v>
      </c>
    </row>
    <row r="109" spans="1:9" x14ac:dyDescent="0.2">
      <c r="A109" s="20">
        <v>45495</v>
      </c>
      <c r="B109" s="9" t="s">
        <v>14</v>
      </c>
      <c r="C109" s="9">
        <v>1701</v>
      </c>
      <c r="D109" s="9">
        <v>385</v>
      </c>
      <c r="E109" s="9">
        <v>198278</v>
      </c>
      <c r="F109" s="9">
        <v>5.34</v>
      </c>
      <c r="G109" s="11">
        <v>32763</v>
      </c>
      <c r="H109" t="str" cm="1">
        <f t="array" ref="H109">_xlfn.IFS(A109&lt;'Campaign Metadata'!$B$2,"Before CybertruckLaunch",'Engagement Summary'!A32&lt;='Campaign Metadata'!$C$2,"CybertruckLaunch",A109&lt;'Campaign Metadata'!$B$3,"Before ModelYCampaign",A109&lt;='Campaign Metadata'!$C$3,"ModelYCampaign",A109&lt;'Campaign Metadata'!$B$4,"Before FSDUpdate",A109&lt;='Campaign Metadata'!$C$4,FSDUpdate,A109&lt;'Campaign Metadata'!$B$5,Before SustainabilityDrive,A109&lt;'Campaign Metadata'!$C$5,"Sustainability Drive")</f>
        <v>Before ModelYCampaign</v>
      </c>
      <c r="I109">
        <f t="shared" si="3"/>
        <v>1316</v>
      </c>
    </row>
    <row r="110" spans="1:9" x14ac:dyDescent="0.2">
      <c r="A110" s="20">
        <v>45502</v>
      </c>
      <c r="B110" s="9" t="s">
        <v>14</v>
      </c>
      <c r="C110" s="9">
        <v>1756</v>
      </c>
      <c r="D110" s="9">
        <v>261</v>
      </c>
      <c r="E110" s="9">
        <v>287574</v>
      </c>
      <c r="F110" s="9">
        <v>4.3600000000000003</v>
      </c>
      <c r="G110" s="11">
        <v>39272</v>
      </c>
      <c r="H110" t="str" cm="1">
        <f t="array" ref="H110">_xlfn.IFS(A110&lt;'Campaign Metadata'!$B$2,"Before CybertruckLaunch",'Engagement Summary'!A36&lt;='Campaign Metadata'!$C$2,"CybertruckLaunch",A110&lt;'Campaign Metadata'!$B$3,"Before ModelYCampaign",A110&lt;='Campaign Metadata'!$C$3,"ModelYCampaign",A110&lt;'Campaign Metadata'!$B$4,"Before FSDUpdate",A110&lt;='Campaign Metadata'!$C$4,FSDUpdate,A110&lt;'Campaign Metadata'!$B$5,Before SustainabilityDrive,A110&lt;'Campaign Metadata'!$C$5,"Sustainability Drive")</f>
        <v>Before ModelYCampaign</v>
      </c>
      <c r="I110">
        <f t="shared" si="3"/>
        <v>1495</v>
      </c>
    </row>
    <row r="111" spans="1:9" x14ac:dyDescent="0.2">
      <c r="A111" s="20">
        <v>45509</v>
      </c>
      <c r="B111" s="9" t="s">
        <v>14</v>
      </c>
      <c r="C111" s="9">
        <v>826</v>
      </c>
      <c r="D111" s="9">
        <v>498</v>
      </c>
      <c r="E111" s="9">
        <v>449994</v>
      </c>
      <c r="F111" s="9">
        <v>9.43</v>
      </c>
      <c r="G111" s="11">
        <v>12384</v>
      </c>
      <c r="H111" t="str" cm="1">
        <f t="array" ref="H111">_xlfn.IFS(A111&lt;'Campaign Metadata'!$B$2,"Before CybertruckLaunch",'Engagement Summary'!A40&lt;='Campaign Metadata'!$C$2,"CybertruckLaunch",A111&lt;'Campaign Metadata'!$B$3,"Before ModelYCampaign",A111&lt;='Campaign Metadata'!$C$3,"ModelYCampaign",A111&lt;'Campaign Metadata'!$B$4,"Before FSDUpdate",A111&lt;='Campaign Metadata'!$C$4,FSDUpdate,A111&lt;'Campaign Metadata'!$B$5,Before SustainabilityDrive,A111&lt;'Campaign Metadata'!$C$5,"Sustainability Drive")</f>
        <v>Before ModelYCampaign</v>
      </c>
      <c r="I111">
        <f t="shared" si="3"/>
        <v>328</v>
      </c>
    </row>
    <row r="112" spans="1:9" x14ac:dyDescent="0.2">
      <c r="A112" s="20">
        <v>45516</v>
      </c>
      <c r="B112" s="9" t="s">
        <v>14</v>
      </c>
      <c r="C112" s="9">
        <v>485</v>
      </c>
      <c r="D112" s="9">
        <v>448</v>
      </c>
      <c r="E112" s="9">
        <v>434883</v>
      </c>
      <c r="F112" s="9">
        <v>8.5500000000000007</v>
      </c>
      <c r="G112" s="11">
        <v>33258</v>
      </c>
      <c r="H112" t="str" cm="1">
        <f t="array" ref="H112">_xlfn.IFS(A112&lt;'Campaign Metadata'!$B$2,"Before CybertruckLaunch",'Engagement Summary'!A44&lt;='Campaign Metadata'!$C$2,"CybertruckLaunch",A112&lt;'Campaign Metadata'!$B$3,"Before ModelYCampaign",A112&lt;='Campaign Metadata'!$C$3,"ModelYCampaign",A112&lt;'Campaign Metadata'!$B$4,"Before FSDUpdate",A112&lt;='Campaign Metadata'!$C$4,FSDUpdate,A112&lt;'Campaign Metadata'!$B$5,Before SustainabilityDrive,A112&lt;'Campaign Metadata'!$C$5,"Sustainability Drive")</f>
        <v>Before ModelYCampaign</v>
      </c>
      <c r="I112">
        <f t="shared" si="3"/>
        <v>37</v>
      </c>
    </row>
    <row r="113" spans="1:9" x14ac:dyDescent="0.2">
      <c r="A113" s="20">
        <v>45523</v>
      </c>
      <c r="B113" s="9" t="s">
        <v>14</v>
      </c>
      <c r="C113" s="9">
        <v>1751</v>
      </c>
      <c r="D113" s="9">
        <v>86</v>
      </c>
      <c r="E113" s="9">
        <v>188655</v>
      </c>
      <c r="F113" s="9">
        <v>7.24</v>
      </c>
      <c r="G113" s="11">
        <v>22206</v>
      </c>
      <c r="H113" t="str" cm="1">
        <f t="array" ref="H113">_xlfn.IFS(A113&lt;'Campaign Metadata'!$B$2,"Before CybertruckLaunch",'Engagement Summary'!A48&lt;='Campaign Metadata'!$C$2,"CybertruckLaunch",A113&lt;'Campaign Metadata'!$B$3,"Before ModelYCampaign",A113&lt;='Campaign Metadata'!$C$3,"ModelYCampaign",A113&lt;'Campaign Metadata'!$B$4,"Before FSDUpdate",A113&lt;='Campaign Metadata'!$C$4,FSDUpdate,A113&lt;'Campaign Metadata'!$B$5,Before SustainabilityDrive,A113&lt;'Campaign Metadata'!$C$5,"Sustainability Drive")</f>
        <v>Before ModelYCampaign</v>
      </c>
      <c r="I113">
        <f t="shared" si="3"/>
        <v>1665</v>
      </c>
    </row>
    <row r="114" spans="1:9" x14ac:dyDescent="0.2">
      <c r="A114" s="20">
        <v>45530</v>
      </c>
      <c r="B114" s="9" t="s">
        <v>14</v>
      </c>
      <c r="C114" s="9">
        <v>1300</v>
      </c>
      <c r="D114" s="9">
        <v>71</v>
      </c>
      <c r="E114" s="9">
        <v>186454</v>
      </c>
      <c r="F114" s="9">
        <v>3.91</v>
      </c>
      <c r="G114" s="11">
        <v>9942</v>
      </c>
      <c r="H114" t="str" cm="1">
        <f t="array" ref="H114">_xlfn.IFS(A114&lt;'Campaign Metadata'!$B$2,"Before CybertruckLaunch",'Engagement Summary'!A52&lt;='Campaign Metadata'!$C$2,"CybertruckLaunch",A114&lt;'Campaign Metadata'!$B$3,"Before ModelYCampaign",A114&lt;='Campaign Metadata'!$C$3,"ModelYCampaign",A114&lt;'Campaign Metadata'!$B$4,"Before FSDUpdate",A114&lt;='Campaign Metadata'!$C$4,FSDUpdate,A114&lt;'Campaign Metadata'!$B$5,Before SustainabilityDrive,A114&lt;'Campaign Metadata'!$C$5,"Sustainability Drive")</f>
        <v>CybertruckLaunch</v>
      </c>
      <c r="I114">
        <f t="shared" si="3"/>
        <v>1229</v>
      </c>
    </row>
    <row r="115" spans="1:9" x14ac:dyDescent="0.2">
      <c r="A115" s="20">
        <v>45537</v>
      </c>
      <c r="B115" s="9" t="s">
        <v>14</v>
      </c>
      <c r="C115" s="9">
        <v>557</v>
      </c>
      <c r="D115" s="9">
        <v>360</v>
      </c>
      <c r="E115" s="9">
        <v>318779</v>
      </c>
      <c r="F115" s="9">
        <v>8.02</v>
      </c>
      <c r="G115" s="11">
        <v>25797</v>
      </c>
      <c r="H115" t="str" cm="1">
        <f t="array" ref="H115">_xlfn.IFS(A115&lt;'Campaign Metadata'!$B$2,"Before CybertruckLaunch",'Engagement Summary'!A56&lt;='Campaign Metadata'!$C$2,"CybertruckLaunch",A115&lt;'Campaign Metadata'!$B$3,"Before ModelYCampaign",A115&lt;='Campaign Metadata'!$C$3,"ModelYCampaign",A115&lt;'Campaign Metadata'!$B$4,"Before FSDUpdate",A115&lt;='Campaign Metadata'!$C$4,FSDUpdate,A115&lt;'Campaign Metadata'!$B$5,Before SustainabilityDrive,A115&lt;'Campaign Metadata'!$C$5,"Sustainability Drive")</f>
        <v>CybertruckLaunch</v>
      </c>
      <c r="I115">
        <f t="shared" si="3"/>
        <v>197</v>
      </c>
    </row>
    <row r="116" spans="1:9" x14ac:dyDescent="0.2">
      <c r="A116" s="20">
        <v>45544</v>
      </c>
      <c r="B116" s="9" t="s">
        <v>14</v>
      </c>
      <c r="C116" s="9">
        <v>751</v>
      </c>
      <c r="D116" s="9">
        <v>491</v>
      </c>
      <c r="E116" s="9">
        <v>434047</v>
      </c>
      <c r="F116" s="9">
        <v>9.24</v>
      </c>
      <c r="G116" s="11">
        <v>15476</v>
      </c>
      <c r="H116" t="str" cm="1">
        <f t="array" ref="H116">_xlfn.IFS(A116&lt;'Campaign Metadata'!$B$2,"Before CybertruckLaunch",'Engagement Summary'!A60&lt;='Campaign Metadata'!$C$2,"CybertruckLaunch",A116&lt;'Campaign Metadata'!$B$3,"Before ModelYCampaign",A116&lt;='Campaign Metadata'!$C$3,"ModelYCampaign",A116&lt;'Campaign Metadata'!$B$4,"Before FSDUpdate",A116&lt;='Campaign Metadata'!$C$4,FSDUpdate,A116&lt;'Campaign Metadata'!$B$5,Before SustainabilityDrive,A116&lt;'Campaign Metadata'!$C$5,"Sustainability Drive")</f>
        <v>Before ModelYCampaign</v>
      </c>
      <c r="I116">
        <f t="shared" si="3"/>
        <v>260</v>
      </c>
    </row>
    <row r="117" spans="1:9" x14ac:dyDescent="0.2">
      <c r="A117" s="20">
        <v>45551</v>
      </c>
      <c r="B117" s="9" t="s">
        <v>14</v>
      </c>
      <c r="C117" s="9">
        <v>1472</v>
      </c>
      <c r="D117" s="9">
        <v>347</v>
      </c>
      <c r="E117" s="9">
        <v>392355</v>
      </c>
      <c r="F117" s="9">
        <v>8.59</v>
      </c>
      <c r="G117" s="11">
        <v>30270</v>
      </c>
      <c r="H117" t="str" cm="1">
        <f t="array" ref="H117">_xlfn.IFS(A117&lt;'Campaign Metadata'!$B$2,"Before CybertruckLaunch",'Engagement Summary'!A64&lt;='Campaign Metadata'!$C$2,"CybertruckLaunch",A117&lt;'Campaign Metadata'!$B$3,"Before ModelYCampaign",A117&lt;='Campaign Metadata'!$C$3,"ModelYCampaign",A117&lt;'Campaign Metadata'!$B$4,"Before FSDUpdate",A117&lt;='Campaign Metadata'!$C$4,FSDUpdate,A117&lt;'Campaign Metadata'!$B$5,Before SustainabilityDrive,A117&lt;'Campaign Metadata'!$C$5,"Sustainability Drive")</f>
        <v>Before ModelYCampaign</v>
      </c>
      <c r="I117">
        <f t="shared" si="3"/>
        <v>1125</v>
      </c>
    </row>
    <row r="118" spans="1:9" x14ac:dyDescent="0.2">
      <c r="A118" s="20">
        <v>45558</v>
      </c>
      <c r="B118" s="9" t="s">
        <v>14</v>
      </c>
      <c r="C118" s="9">
        <v>1911</v>
      </c>
      <c r="D118" s="9">
        <v>231</v>
      </c>
      <c r="E118" s="9">
        <v>268516</v>
      </c>
      <c r="F118" s="9">
        <v>8.5500000000000007</v>
      </c>
      <c r="G118" s="11">
        <v>24018</v>
      </c>
      <c r="H118" t="str" cm="1">
        <f t="array" ref="H118">_xlfn.IFS(A118&lt;'Campaign Metadata'!$B$2,"Before CybertruckLaunch",'Engagement Summary'!A68&lt;='Campaign Metadata'!$C$2,"CybertruckLaunch",A118&lt;'Campaign Metadata'!$B$3,"Before ModelYCampaign",A118&lt;='Campaign Metadata'!$C$3,"ModelYCampaign",A118&lt;'Campaign Metadata'!$B$4,"Before FSDUpdate",A118&lt;='Campaign Metadata'!$C$4,FSDUpdate,A118&lt;'Campaign Metadata'!$B$5,Before SustainabilityDrive,A118&lt;'Campaign Metadata'!$C$5,"Sustainability Drive")</f>
        <v>Before ModelYCampaign</v>
      </c>
      <c r="I118">
        <f t="shared" si="3"/>
        <v>1680</v>
      </c>
    </row>
    <row r="119" spans="1:9" x14ac:dyDescent="0.2">
      <c r="A119" s="20">
        <v>45565</v>
      </c>
      <c r="B119" s="9" t="s">
        <v>14</v>
      </c>
      <c r="C119" s="9">
        <v>752</v>
      </c>
      <c r="D119" s="9">
        <v>153</v>
      </c>
      <c r="E119" s="9">
        <v>64906</v>
      </c>
      <c r="F119" s="9">
        <v>2.09</v>
      </c>
      <c r="G119" s="11">
        <v>12148</v>
      </c>
      <c r="H119" t="str" cm="1">
        <f t="array" ref="H119">_xlfn.IFS(A119&lt;'Campaign Metadata'!$B$2,"Before CybertruckLaunch",'Engagement Summary'!A72&lt;='Campaign Metadata'!$C$2,"CybertruckLaunch",A119&lt;'Campaign Metadata'!$B$3,"Before ModelYCampaign",A119&lt;='Campaign Metadata'!$C$3,"ModelYCampaign",A119&lt;'Campaign Metadata'!$B$4,"Before FSDUpdate",A119&lt;='Campaign Metadata'!$C$4,FSDUpdate,A119&lt;'Campaign Metadata'!$B$5,Before SustainabilityDrive,A119&lt;'Campaign Metadata'!$C$5,"Sustainability Drive")</f>
        <v>Before ModelYCampaign</v>
      </c>
      <c r="I119">
        <f t="shared" si="3"/>
        <v>599</v>
      </c>
    </row>
    <row r="120" spans="1:9" x14ac:dyDescent="0.2">
      <c r="A120" s="20">
        <v>45572</v>
      </c>
      <c r="B120" s="9" t="s">
        <v>14</v>
      </c>
      <c r="C120" s="9">
        <v>437</v>
      </c>
      <c r="D120" s="9">
        <v>330</v>
      </c>
      <c r="E120" s="9">
        <v>476486</v>
      </c>
      <c r="F120" s="9">
        <v>4.97</v>
      </c>
      <c r="G120" s="11">
        <v>4509</v>
      </c>
      <c r="H120" t="str" cm="1">
        <f t="array" ref="H120">_xlfn.IFS(A120&lt;'Campaign Metadata'!$B$2,"Before CybertruckLaunch",'Engagement Summary'!A76&lt;='Campaign Metadata'!$C$2,"CybertruckLaunch",A120&lt;'Campaign Metadata'!$B$3,"Before ModelYCampaign",A120&lt;='Campaign Metadata'!$C$3,"ModelYCampaign",A120&lt;'Campaign Metadata'!$B$4,"Before FSDUpdate",A120&lt;='Campaign Metadata'!$C$4,FSDUpdate,A120&lt;'Campaign Metadata'!$B$5,Before SustainabilityDrive,A120&lt;'Campaign Metadata'!$C$5,"Sustainability Drive")</f>
        <v>ModelYCampaign</v>
      </c>
      <c r="I120">
        <f t="shared" si="3"/>
        <v>107</v>
      </c>
    </row>
    <row r="121" spans="1:9" x14ac:dyDescent="0.2">
      <c r="A121" s="20">
        <v>45579</v>
      </c>
      <c r="B121" s="9" t="s">
        <v>14</v>
      </c>
      <c r="C121" s="9">
        <v>201</v>
      </c>
      <c r="D121" s="9">
        <v>221</v>
      </c>
      <c r="E121" s="9">
        <v>309772</v>
      </c>
      <c r="F121" s="9">
        <v>5.9</v>
      </c>
      <c r="G121" s="11">
        <v>33174</v>
      </c>
      <c r="H121" t="str" cm="1">
        <f t="array" ref="H121">_xlfn.IFS(A121&lt;'Campaign Metadata'!$B$2,"Before CybertruckLaunch",'Engagement Summary'!A80&lt;='Campaign Metadata'!$C$2,"CybertruckLaunch",A121&lt;'Campaign Metadata'!$B$3,"Before ModelYCampaign",A121&lt;='Campaign Metadata'!$C$3,"ModelYCampaign",A121&lt;'Campaign Metadata'!$B$4,"Before FSDUpdate",A121&lt;='Campaign Metadata'!$C$4,FSDUpdate,A121&lt;'Campaign Metadata'!$B$5,Before SustainabilityDrive,A121&lt;'Campaign Metadata'!$C$5,"Sustainability Drive")</f>
        <v>ModelYCampaign</v>
      </c>
      <c r="I121">
        <f t="shared" si="3"/>
        <v>-20</v>
      </c>
    </row>
    <row r="122" spans="1:9" x14ac:dyDescent="0.2">
      <c r="A122" s="20">
        <v>45586</v>
      </c>
      <c r="B122" s="9" t="s">
        <v>14</v>
      </c>
      <c r="C122" s="9">
        <v>697</v>
      </c>
      <c r="D122" s="9">
        <v>61</v>
      </c>
      <c r="E122" s="9">
        <v>258287</v>
      </c>
      <c r="F122" s="9">
        <v>8.25</v>
      </c>
      <c r="G122" s="11">
        <v>21208</v>
      </c>
      <c r="H122" t="str" cm="1">
        <f t="array" ref="H122">_xlfn.IFS(A122&lt;'Campaign Metadata'!$B$2,"Before CybertruckLaunch",'Engagement Summary'!A84&lt;='Campaign Metadata'!$C$2,"CybertruckLaunch",A122&lt;'Campaign Metadata'!$B$3,"Before ModelYCampaign",A122&lt;='Campaign Metadata'!$C$3,"ModelYCampaign",A122&lt;'Campaign Metadata'!$B$4,"Before FSDUpdate",A122&lt;='Campaign Metadata'!$C$4,FSDUpdate,A122&lt;'Campaign Metadata'!$B$5,Before SustainabilityDrive,A122&lt;'Campaign Metadata'!$C$5,"Sustainability Drive")</f>
        <v>ModelYCampaign</v>
      </c>
      <c r="I122">
        <f t="shared" si="3"/>
        <v>636</v>
      </c>
    </row>
    <row r="123" spans="1:9" x14ac:dyDescent="0.2">
      <c r="A123" s="20">
        <v>45593</v>
      </c>
      <c r="B123" s="9" t="s">
        <v>14</v>
      </c>
      <c r="C123" s="9">
        <v>191</v>
      </c>
      <c r="D123" s="9">
        <v>154</v>
      </c>
      <c r="E123" s="9">
        <v>240550</v>
      </c>
      <c r="F123" s="9">
        <v>5.22</v>
      </c>
      <c r="G123" s="11">
        <v>15827</v>
      </c>
      <c r="H123" t="str" cm="1">
        <f t="array" ref="H123">_xlfn.IFS(A123&lt;'Campaign Metadata'!$B$2,"Before CybertruckLaunch",'Engagement Summary'!A88&lt;='Campaign Metadata'!$C$2,"CybertruckLaunch",A123&lt;'Campaign Metadata'!$B$3,"Before ModelYCampaign",A123&lt;='Campaign Metadata'!$C$3,"ModelYCampaign",A123&lt;'Campaign Metadata'!$B$4,"Before FSDUpdate",A123&lt;='Campaign Metadata'!$C$4,FSDUpdate,A123&lt;'Campaign Metadata'!$B$5,Before SustainabilityDrive,A123&lt;'Campaign Metadata'!$C$5,"Sustainability Drive")</f>
        <v>ModelYCampaign</v>
      </c>
      <c r="I123">
        <f t="shared" si="3"/>
        <v>37</v>
      </c>
    </row>
    <row r="124" spans="1:9" x14ac:dyDescent="0.2">
      <c r="A124" s="20">
        <v>45600</v>
      </c>
      <c r="B124" s="9" t="s">
        <v>14</v>
      </c>
      <c r="C124" s="9">
        <v>1821</v>
      </c>
      <c r="D124" s="9">
        <v>218</v>
      </c>
      <c r="E124" s="9">
        <v>439080</v>
      </c>
      <c r="F124" s="9">
        <v>5.68</v>
      </c>
      <c r="G124" s="11">
        <v>36095</v>
      </c>
      <c r="H124" t="str" cm="1">
        <f t="array" ref="H124">_xlfn.IFS(A124&lt;'Campaign Metadata'!$B$2,"Before CybertruckLaunch",'Engagement Summary'!A92&lt;='Campaign Metadata'!$C$2,"CybertruckLaunch",A124&lt;'Campaign Metadata'!$B$3,"Before ModelYCampaign",A124&lt;='Campaign Metadata'!$C$3,"ModelYCampaign",A124&lt;'Campaign Metadata'!$B$4,"Before FSDUpdate",A124&lt;='Campaign Metadata'!$C$4,FSDUpdate,A124&lt;'Campaign Metadata'!$B$5,Before SustainabilityDrive,A124&lt;'Campaign Metadata'!$C$5,"Sustainability Drive")</f>
        <v>Before FSDUpdate</v>
      </c>
      <c r="I124">
        <f t="shared" si="3"/>
        <v>1603</v>
      </c>
    </row>
    <row r="125" spans="1:9" x14ac:dyDescent="0.2">
      <c r="A125" s="20">
        <v>45607</v>
      </c>
      <c r="B125" s="9" t="s">
        <v>14</v>
      </c>
      <c r="C125" s="9">
        <v>1487</v>
      </c>
      <c r="D125" s="9">
        <v>337</v>
      </c>
      <c r="E125" s="9">
        <v>87305</v>
      </c>
      <c r="F125" s="9">
        <v>2.46</v>
      </c>
      <c r="G125" s="11">
        <v>30428</v>
      </c>
      <c r="H125" t="str" cm="1">
        <f t="array" ref="H125">_xlfn.IFS(A125&lt;'Campaign Metadata'!$B$2,"Before CybertruckLaunch",'Engagement Summary'!A96&lt;='Campaign Metadata'!$C$2,"CybertruckLaunch",A125&lt;'Campaign Metadata'!$B$3,"Before ModelYCampaign",A125&lt;='Campaign Metadata'!$C$3,"ModelYCampaign",A125&lt;'Campaign Metadata'!$B$4,"Before FSDUpdate",A125&lt;='Campaign Metadata'!$C$4,FSDUpdate,A125&lt;'Campaign Metadata'!$B$5,Before SustainabilityDrive,A125&lt;'Campaign Metadata'!$C$5,"Sustainability Drive")</f>
        <v>Before FSDUpdate</v>
      </c>
      <c r="I125">
        <f t="shared" si="3"/>
        <v>1150</v>
      </c>
    </row>
    <row r="126" spans="1:9" x14ac:dyDescent="0.2">
      <c r="A126" s="20">
        <v>45614</v>
      </c>
      <c r="B126" s="9" t="s">
        <v>14</v>
      </c>
      <c r="C126" s="9">
        <v>628</v>
      </c>
      <c r="D126" s="9">
        <v>183</v>
      </c>
      <c r="E126" s="9">
        <v>487523</v>
      </c>
      <c r="F126" s="9">
        <v>7.32</v>
      </c>
      <c r="G126" s="11">
        <v>5391</v>
      </c>
      <c r="H126" t="str" cm="1">
        <f t="array" ref="H126">_xlfn.IFS(A126&lt;'Campaign Metadata'!$B$2,"Before CybertruckLaunch",'Engagement Summary'!A100&lt;='Campaign Metadata'!$C$2,"CybertruckLaunch",A126&lt;'Campaign Metadata'!$B$3,"Before ModelYCampaign",A126&lt;='Campaign Metadata'!$C$3,"ModelYCampaign",A126&lt;'Campaign Metadata'!$B$4,"Before FSDUpdate",A126&lt;='Campaign Metadata'!$C$4,FSDUpdate,A126&lt;'Campaign Metadata'!$B$5,Before SustainabilityDrive,A126&lt;'Campaign Metadata'!$C$5,"Sustainability Drive")</f>
        <v>Before FSDUpdate</v>
      </c>
      <c r="I126">
        <f t="shared" si="3"/>
        <v>445</v>
      </c>
    </row>
    <row r="127" spans="1:9" x14ac:dyDescent="0.2">
      <c r="A127" s="20">
        <v>45621</v>
      </c>
      <c r="B127" s="9" t="s">
        <v>14</v>
      </c>
      <c r="C127" s="9">
        <v>330</v>
      </c>
      <c r="D127" s="9">
        <v>232</v>
      </c>
      <c r="E127" s="9">
        <v>88455</v>
      </c>
      <c r="F127" s="9">
        <v>2.69</v>
      </c>
      <c r="G127" s="11">
        <v>39530</v>
      </c>
      <c r="H127" t="str" cm="1">
        <f t="array" ref="H127">_xlfn.IFS(A127&lt;'Campaign Metadata'!$B$2,"Before CybertruckLaunch",'Engagement Summary'!A104&lt;='Campaign Metadata'!$C$2,"CybertruckLaunch",A127&lt;'Campaign Metadata'!$B$3,"Before ModelYCampaign",A127&lt;='Campaign Metadata'!$C$3,"ModelYCampaign",A127&lt;'Campaign Metadata'!$B$4,"Before FSDUpdate",A127&lt;='Campaign Metadata'!$C$4,FSDUpdate,A127&lt;'Campaign Metadata'!$B$5,Before SustainabilityDrive,A127&lt;'Campaign Metadata'!$C$5,"Sustainability Drive")</f>
        <v>CybertruckLaunch</v>
      </c>
      <c r="I127">
        <f t="shared" si="3"/>
        <v>98</v>
      </c>
    </row>
    <row r="128" spans="1:9" x14ac:dyDescent="0.2">
      <c r="A128" s="20">
        <v>45628</v>
      </c>
      <c r="B128" s="9" t="s">
        <v>14</v>
      </c>
      <c r="C128" s="9">
        <v>1441</v>
      </c>
      <c r="D128" s="9">
        <v>268</v>
      </c>
      <c r="E128" s="9">
        <v>309904</v>
      </c>
      <c r="F128" s="9">
        <v>6.37</v>
      </c>
      <c r="G128" s="11">
        <v>3455</v>
      </c>
      <c r="H128" t="str" cm="1">
        <f t="array" ref="H128">_xlfn.IFS(A128&lt;'Campaign Metadata'!$B$2,"Before CybertruckLaunch",'Engagement Summary'!A108&lt;='Campaign Metadata'!$C$2,"CybertruckLaunch",A128&lt;'Campaign Metadata'!$B$3,"Before ModelYCampaign",A128&lt;='Campaign Metadata'!$C$3,"ModelYCampaign",A128&lt;'Campaign Metadata'!$B$4,"Before FSDUpdate",A128&lt;='Campaign Metadata'!$C$4,FSDUpdate,A128&lt;'Campaign Metadata'!$B$5,Before SustainabilityDrive,A128&lt;'Campaign Metadata'!$C$5,"Sustainability Drive")</f>
        <v>CybertruckLaunch</v>
      </c>
      <c r="I128">
        <f t="shared" si="3"/>
        <v>1173</v>
      </c>
    </row>
    <row r="129" spans="1:9" x14ac:dyDescent="0.2">
      <c r="A129" s="20">
        <v>45635</v>
      </c>
      <c r="B129" s="9" t="s">
        <v>14</v>
      </c>
      <c r="C129" s="9">
        <v>1937</v>
      </c>
      <c r="D129" s="9">
        <v>210</v>
      </c>
      <c r="E129" s="9">
        <v>20607</v>
      </c>
      <c r="F129" s="9">
        <v>4.2</v>
      </c>
      <c r="G129" s="11">
        <v>20861</v>
      </c>
      <c r="H129" t="str" cm="1">
        <f t="array" ref="H129">_xlfn.IFS(A129&lt;'Campaign Metadata'!$B$2,"Before CybertruckLaunch",'Engagement Summary'!A112&lt;='Campaign Metadata'!$C$2,"CybertruckLaunch",A129&lt;'Campaign Metadata'!$B$3,"Before ModelYCampaign",A129&lt;='Campaign Metadata'!$C$3,"ModelYCampaign",A129&lt;'Campaign Metadata'!$B$4,"Before FSDUpdate",A129&lt;='Campaign Metadata'!$C$4,FSDUpdate,A129&lt;'Campaign Metadata'!$B$5,Before SustainabilityDrive,A129&lt;'Campaign Metadata'!$C$5,"Sustainability Drive")</f>
        <v>Before FSDUpdate</v>
      </c>
      <c r="I129">
        <f t="shared" si="3"/>
        <v>1727</v>
      </c>
    </row>
    <row r="130" spans="1:9" x14ac:dyDescent="0.2">
      <c r="A130" s="20">
        <v>45642</v>
      </c>
      <c r="B130" s="9" t="s">
        <v>14</v>
      </c>
      <c r="C130" s="9">
        <v>1592</v>
      </c>
      <c r="D130" s="9">
        <v>233</v>
      </c>
      <c r="E130" s="9">
        <v>327183</v>
      </c>
      <c r="F130" s="9">
        <v>6.66</v>
      </c>
      <c r="G130" s="11">
        <v>13316</v>
      </c>
      <c r="H130" t="str" cm="1">
        <f t="array" ref="H130">_xlfn.IFS(A130&lt;'Campaign Metadata'!$B$2,"Before CybertruckLaunch",'Engagement Summary'!A116&lt;='Campaign Metadata'!$C$2,"CybertruckLaunch",A130&lt;'Campaign Metadata'!$B$3,"Before ModelYCampaign",A130&lt;='Campaign Metadata'!$C$3,"ModelYCampaign",A130&lt;'Campaign Metadata'!$B$4,"Before FSDUpdate",A130&lt;='Campaign Metadata'!$C$4,FSDUpdate,A130&lt;'Campaign Metadata'!$B$5,Before SustainabilityDrive,A130&lt;'Campaign Metadata'!$C$5,"Sustainability Drive")</f>
        <v>Before FSDUpdate</v>
      </c>
      <c r="I130">
        <f t="shared" ref="I130:I161" si="4">C130-D130</f>
        <v>1359</v>
      </c>
    </row>
    <row r="131" spans="1:9" x14ac:dyDescent="0.2">
      <c r="A131" s="20">
        <v>45649</v>
      </c>
      <c r="B131" s="9" t="s">
        <v>14</v>
      </c>
      <c r="C131" s="9">
        <v>1137</v>
      </c>
      <c r="D131" s="9">
        <v>226</v>
      </c>
      <c r="E131" s="9">
        <v>81119</v>
      </c>
      <c r="F131" s="9">
        <v>7.74</v>
      </c>
      <c r="G131" s="11">
        <v>35359</v>
      </c>
      <c r="H131" t="str" cm="1">
        <f t="array" ref="H131">_xlfn.IFS(A131&lt;'Campaign Metadata'!$B$2,"Before CybertruckLaunch",'Engagement Summary'!A120&lt;='Campaign Metadata'!$C$2,"CybertruckLaunch",A131&lt;'Campaign Metadata'!$B$3,"Before ModelYCampaign",A131&lt;='Campaign Metadata'!$C$3,"ModelYCampaign",A131&lt;'Campaign Metadata'!$B$4,"Before FSDUpdate",A131&lt;='Campaign Metadata'!$C$4,FSDUpdate,A131&lt;'Campaign Metadata'!$B$5,Before SustainabilityDrive,A131&lt;'Campaign Metadata'!$C$5,"Sustainability Drive")</f>
        <v>Before FSDUpdate</v>
      </c>
      <c r="I131">
        <f t="shared" si="4"/>
        <v>911</v>
      </c>
    </row>
    <row r="132" spans="1:9" x14ac:dyDescent="0.2">
      <c r="A132" s="20">
        <v>45656</v>
      </c>
      <c r="B132" s="9" t="s">
        <v>14</v>
      </c>
      <c r="C132" s="9">
        <v>1786</v>
      </c>
      <c r="D132" s="9">
        <v>257</v>
      </c>
      <c r="E132" s="9">
        <v>274831</v>
      </c>
      <c r="F132" s="9">
        <v>4.68</v>
      </c>
      <c r="G132" s="11">
        <v>9118</v>
      </c>
      <c r="H132" t="str" cm="1">
        <f t="array" ref="H132">_xlfn.IFS(A132&lt;'Campaign Metadata'!$B$2,"Before CybertruckLaunch",'Engagement Summary'!A124&lt;='Campaign Metadata'!$C$2,"CybertruckLaunch",A132&lt;'Campaign Metadata'!$B$3,"Before ModelYCampaign",A132&lt;='Campaign Metadata'!$C$3,"ModelYCampaign",A132&lt;'Campaign Metadata'!$B$4,"Before FSDUpdate",A132&lt;='Campaign Metadata'!$C$4,"FSDUpdate",A132&lt;'Campaign Metadata'!$B$5,"Before SustainabilityDrive",A132&lt;'Campaign Metadata'!$C$5,"Sustainability Drive")</f>
        <v>FSDUpdate</v>
      </c>
      <c r="I132">
        <f t="shared" si="4"/>
        <v>1529</v>
      </c>
    </row>
    <row r="133" spans="1:9" x14ac:dyDescent="0.2">
      <c r="A133" s="20">
        <v>45663</v>
      </c>
      <c r="B133" s="9" t="s">
        <v>14</v>
      </c>
      <c r="C133" s="9">
        <v>1633</v>
      </c>
      <c r="D133" s="9">
        <v>445</v>
      </c>
      <c r="E133" s="9">
        <v>371156</v>
      </c>
      <c r="F133" s="9">
        <v>2.2200000000000002</v>
      </c>
      <c r="G133" s="11">
        <v>2798</v>
      </c>
      <c r="H133" t="str" cm="1">
        <f t="array" ref="H133">_xlfn.IFS(A133&lt;'Campaign Metadata'!$B$2,"Before CybertruckLaunch",'Engagement Summary'!A128&lt;='Campaign Metadata'!$C$2,"CybertruckLaunch",A133&lt;'Campaign Metadata'!$B$3,"Before ModelYCampaign",A133&lt;='Campaign Metadata'!$C$3,"ModelYCampaign",A133&lt;'Campaign Metadata'!$B$4,"Before FSDUpdate",A133&lt;='Campaign Metadata'!$C$4,"FSDUpdate",A133&lt;'Campaign Metadata'!$B$5,"Before SustainabilityDrive",A133&lt;'Campaign Metadata'!$C$5,"Sustainability Drive")</f>
        <v>FSDUpdate</v>
      </c>
      <c r="I133">
        <f t="shared" si="4"/>
        <v>1188</v>
      </c>
    </row>
    <row r="134" spans="1:9" x14ac:dyDescent="0.2">
      <c r="A134" s="20">
        <v>45670</v>
      </c>
      <c r="B134" s="9" t="s">
        <v>14</v>
      </c>
      <c r="C134" s="9">
        <v>118</v>
      </c>
      <c r="D134" s="9">
        <v>262</v>
      </c>
      <c r="E134" s="9">
        <v>487896</v>
      </c>
      <c r="F134" s="9">
        <v>2.56</v>
      </c>
      <c r="G134" s="11">
        <v>12350</v>
      </c>
      <c r="H134" t="str" cm="1">
        <f t="array" ref="H134">_xlfn.IFS(A134&lt;'Campaign Metadata'!$B$2,"Before CybertruckLaunch",'Engagement Summary'!A132&lt;='Campaign Metadata'!$C$2,"CybertruckLaunch",A134&lt;'Campaign Metadata'!$B$3,"Before ModelYCampaign",A134&lt;='Campaign Metadata'!$C$3,"ModelYCampaign",A134&lt;'Campaign Metadata'!$B$4,"Before FSDUpdate",A134&lt;='Campaign Metadata'!$C$4,"FSDUpdate",A134&lt;'Campaign Metadata'!$B$5,"Before SustainabilityDrive",A134&lt;'Campaign Metadata'!$C$5,"Sustainability Drive")</f>
        <v>Before SustainabilityDrive</v>
      </c>
      <c r="I134">
        <f t="shared" si="4"/>
        <v>-144</v>
      </c>
    </row>
    <row r="135" spans="1:9" x14ac:dyDescent="0.2">
      <c r="A135" s="20">
        <v>45677</v>
      </c>
      <c r="B135" s="9" t="s">
        <v>14</v>
      </c>
      <c r="C135" s="9">
        <v>1040</v>
      </c>
      <c r="D135" s="9">
        <v>149</v>
      </c>
      <c r="E135" s="9">
        <v>124404</v>
      </c>
      <c r="F135" s="9">
        <v>5.23</v>
      </c>
      <c r="G135" s="11">
        <v>45380</v>
      </c>
      <c r="H135" t="str" cm="1">
        <f t="array" ref="H135">_xlfn.IFS(A135&lt;'Campaign Metadata'!$B$2,"Before CybertruckLaunch",'Engagement Summary'!A136&lt;='Campaign Metadata'!$C$2,"CybertruckLaunch",A135&lt;'Campaign Metadata'!$B$3,"Before ModelYCampaign",A135&lt;='Campaign Metadata'!$C$3,"ModelYCampaign",A135&lt;'Campaign Metadata'!$B$4,"Before FSDUpdate",A135&lt;='Campaign Metadata'!$C$4,"FSDUpdate",A135&lt;'Campaign Metadata'!$B$5,"Before SustainabilityDrive",A135&lt;'Campaign Metadata'!$C$5,"Sustainability Drive")</f>
        <v>Before SustainabilityDrive</v>
      </c>
      <c r="I135">
        <f t="shared" si="4"/>
        <v>891</v>
      </c>
    </row>
    <row r="136" spans="1:9" x14ac:dyDescent="0.2">
      <c r="A136" s="20">
        <v>45684</v>
      </c>
      <c r="B136" s="9" t="s">
        <v>14</v>
      </c>
      <c r="C136" s="9">
        <v>1501</v>
      </c>
      <c r="D136" s="9">
        <v>75</v>
      </c>
      <c r="E136" s="9">
        <v>262569</v>
      </c>
      <c r="F136" s="9">
        <v>2.0099999999999998</v>
      </c>
      <c r="G136" s="11">
        <v>19119</v>
      </c>
      <c r="H136" t="str" cm="1">
        <f t="array" ref="H136">_xlfn.IFS(A136&lt;'Campaign Metadata'!$B$2,"Before CybertruckLaunch",'Engagement Summary'!A140&lt;='Campaign Metadata'!$C$2,"CybertruckLaunch",A136&lt;'Campaign Metadata'!$B$3,"Before ModelYCampaign",A136&lt;='Campaign Metadata'!$C$3,"ModelYCampaign",A136&lt;'Campaign Metadata'!$B$4,"Before FSDUpdate",A136&lt;='Campaign Metadata'!$C$4,"FSDUpdate",A136&lt;'Campaign Metadata'!$B$5,"Before SustainabilityDrive",A136&lt;'Campaign Metadata'!$C$5,"Sustainability Drive")</f>
        <v>Before SustainabilityDrive</v>
      </c>
      <c r="I136">
        <f t="shared" si="4"/>
        <v>1426</v>
      </c>
    </row>
    <row r="137" spans="1:9" x14ac:dyDescent="0.2">
      <c r="A137" s="20">
        <v>45691</v>
      </c>
      <c r="B137" s="9" t="s">
        <v>14</v>
      </c>
      <c r="C137" s="9">
        <v>927</v>
      </c>
      <c r="D137" s="9">
        <v>358</v>
      </c>
      <c r="E137" s="9">
        <v>177554</v>
      </c>
      <c r="F137" s="9">
        <v>6.95</v>
      </c>
      <c r="G137" s="11">
        <v>48270</v>
      </c>
      <c r="H137" t="str" cm="1">
        <f t="array" ref="H137">_xlfn.IFS(A137&lt;'Campaign Metadata'!$B$2,"Before CybertruckLaunch",'Engagement Summary'!A144&lt;='Campaign Metadata'!$C$2,"CybertruckLaunch",A137&lt;'Campaign Metadata'!$B$3,"Before ModelYCampaign",A137&lt;='Campaign Metadata'!$C$3,"ModelYCampaign",A137&lt;'Campaign Metadata'!$B$4,"Before FSDUpdate",A137&lt;='Campaign Metadata'!$C$4,"FSDUpdate",A137&lt;'Campaign Metadata'!$B$5,"Before SustainabilityDrive",A137&lt;'Campaign Metadata'!$C$5,"Sustainability Drive")</f>
        <v>Before SustainabilityDrive</v>
      </c>
      <c r="I137">
        <f t="shared" si="4"/>
        <v>569</v>
      </c>
    </row>
    <row r="138" spans="1:9" x14ac:dyDescent="0.2">
      <c r="A138" s="20">
        <v>45698</v>
      </c>
      <c r="B138" s="9" t="s">
        <v>14</v>
      </c>
      <c r="C138" s="9">
        <v>1587</v>
      </c>
      <c r="D138" s="9">
        <v>385</v>
      </c>
      <c r="E138" s="9">
        <v>126582</v>
      </c>
      <c r="F138" s="9">
        <v>6.99</v>
      </c>
      <c r="G138" s="11">
        <v>42832</v>
      </c>
      <c r="H138" t="str" cm="1">
        <f t="array" ref="H138">_xlfn.IFS(A138&lt;'Campaign Metadata'!$B$2,"Before CybertruckLaunch",'Engagement Summary'!A148&lt;='Campaign Metadata'!$C$2,"CybertruckLaunch",A138&lt;'Campaign Metadata'!$B$3,"Before ModelYCampaign",A138&lt;='Campaign Metadata'!$C$3,"ModelYCampaign",A138&lt;'Campaign Metadata'!$B$4,"Before FSDUpdate",A138&lt;='Campaign Metadata'!$C$4,"FSDUpdate",A138&lt;'Campaign Metadata'!$B$5,"Before SustainabilityDrive",A138&lt;'Campaign Metadata'!$C$5,"Sustainability Drive")</f>
        <v>Before SustainabilityDrive</v>
      </c>
      <c r="I138">
        <f t="shared" si="4"/>
        <v>1202</v>
      </c>
    </row>
    <row r="139" spans="1:9" x14ac:dyDescent="0.2">
      <c r="A139" s="20">
        <v>45705</v>
      </c>
      <c r="B139" s="9" t="s">
        <v>14</v>
      </c>
      <c r="C139" s="9">
        <v>362</v>
      </c>
      <c r="D139" s="9">
        <v>399</v>
      </c>
      <c r="E139" s="9">
        <v>145608</v>
      </c>
      <c r="F139" s="9">
        <v>7.3</v>
      </c>
      <c r="G139" s="11">
        <v>37636</v>
      </c>
      <c r="H139" t="str" cm="1">
        <f t="array" ref="H139">_xlfn.IFS(A139&lt;'Campaign Metadata'!$B$2,"Before CybertruckLaunch",'Engagement Summary'!A152&lt;='Campaign Metadata'!$C$2,"CybertruckLaunch",A139&lt;'Campaign Metadata'!$B$3,"Before ModelYCampaign",A139&lt;='Campaign Metadata'!$C$3,"ModelYCampaign",A139&lt;'Campaign Metadata'!$B$4,"Before FSDUpdate",A139&lt;='Campaign Metadata'!$C$4,"FSDUpdate",A139&lt;'Campaign Metadata'!$B$5,"Before SustainabilityDrive",A139&lt;'Campaign Metadata'!$C$5,"Sustainability Drive")</f>
        <v>CybertruckLaunch</v>
      </c>
      <c r="I139">
        <f t="shared" si="4"/>
        <v>-37</v>
      </c>
    </row>
    <row r="140" spans="1:9" x14ac:dyDescent="0.2">
      <c r="A140" s="20">
        <v>45712</v>
      </c>
      <c r="B140" s="9" t="s">
        <v>14</v>
      </c>
      <c r="C140" s="9">
        <v>861</v>
      </c>
      <c r="D140" s="9">
        <v>153</v>
      </c>
      <c r="E140" s="9">
        <v>317007</v>
      </c>
      <c r="F140" s="9">
        <v>3.85</v>
      </c>
      <c r="G140" s="11">
        <v>8718</v>
      </c>
      <c r="H140" t="str" cm="1">
        <f t="array" ref="H140">_xlfn.IFS(A140&lt;'Campaign Metadata'!$B$2,"Before CybertruckLaunch",'Engagement Summary'!A156&lt;='Campaign Metadata'!$C$2,"CybertruckLaunch",A140&lt;'Campaign Metadata'!$B$3,"Before ModelYCampaign",A140&lt;='Campaign Metadata'!$C$3,"ModelYCampaign",A140&lt;'Campaign Metadata'!$B$4,"Before FSDUpdate",A140&lt;='Campaign Metadata'!$C$4,"FSDUpdate",A140&lt;'Campaign Metadata'!$B$5,"Before SustainabilityDrive",A140&lt;'Campaign Metadata'!$C$5,"Sustainability Drive")</f>
        <v>CybertruckLaunch</v>
      </c>
      <c r="I140">
        <f t="shared" si="4"/>
        <v>708</v>
      </c>
    </row>
    <row r="141" spans="1:9" x14ac:dyDescent="0.2">
      <c r="A141" s="20">
        <v>45719</v>
      </c>
      <c r="B141" s="9" t="s">
        <v>14</v>
      </c>
      <c r="C141" s="9">
        <v>946</v>
      </c>
      <c r="D141" s="9">
        <v>47</v>
      </c>
      <c r="E141" s="9">
        <v>466575</v>
      </c>
      <c r="F141" s="9">
        <v>8.33</v>
      </c>
      <c r="G141" s="11">
        <v>10002</v>
      </c>
      <c r="H141" t="str" cm="1">
        <f t="array" ref="H141">_xlfn.IFS(A141&lt;'Campaign Metadata'!$B$2,"Before CybertruckLaunch",'Engagement Summary'!A160&lt;='Campaign Metadata'!$C$2,"CybertruckLaunch",A141&lt;'Campaign Metadata'!$B$3,"Before ModelYCampaign",A141&lt;='Campaign Metadata'!$C$3,"ModelYCampaign",A141&lt;'Campaign Metadata'!$B$4,"Before FSDUpdate",A141&lt;='Campaign Metadata'!$C$4,"FSDUpdate",A141&lt;'Campaign Metadata'!$B$5,"Before SustainabilityDrive",A141&lt;'Campaign Metadata'!$C$5,"Sustainability Drive")</f>
        <v>Sustainability Drive</v>
      </c>
      <c r="I141">
        <f t="shared" si="4"/>
        <v>899</v>
      </c>
    </row>
    <row r="142" spans="1:9" x14ac:dyDescent="0.2">
      <c r="A142" s="20">
        <v>45726</v>
      </c>
      <c r="B142" s="9" t="s">
        <v>14</v>
      </c>
      <c r="C142" s="9">
        <v>1399</v>
      </c>
      <c r="D142" s="9">
        <v>49</v>
      </c>
      <c r="E142" s="9">
        <v>12471</v>
      </c>
      <c r="F142" s="9">
        <v>5.12</v>
      </c>
      <c r="G142" s="11">
        <v>14722</v>
      </c>
      <c r="H142" t="str" cm="1">
        <f t="array" ref="H142">_xlfn.IFS(A142&lt;'Campaign Metadata'!$B$2,"Before CybertruckLaunch",'Engagement Summary'!A164&lt;='Campaign Metadata'!$C$2,"CybertruckLaunch",A142&lt;'Campaign Metadata'!$B$3,"Before ModelYCampaign",A142&lt;='Campaign Metadata'!$C$3,"ModelYCampaign",A142&lt;'Campaign Metadata'!$B$4,"Before FSDUpdate",A142&lt;='Campaign Metadata'!$C$4,"FSDUpdate",A142&lt;'Campaign Metadata'!$B$5,"Before SustainabilityDrive",A142&lt;'Campaign Metadata'!$C$5,"Sustainability Drive")</f>
        <v>Sustainability Drive</v>
      </c>
      <c r="I142">
        <f t="shared" si="4"/>
        <v>1350</v>
      </c>
    </row>
    <row r="143" spans="1:9" x14ac:dyDescent="0.2">
      <c r="A143" s="20">
        <v>45733</v>
      </c>
      <c r="B143" s="9" t="s">
        <v>14</v>
      </c>
      <c r="C143" s="9">
        <v>1077</v>
      </c>
      <c r="D143" s="9">
        <v>216</v>
      </c>
      <c r="E143" s="9">
        <v>12447</v>
      </c>
      <c r="F143" s="9">
        <v>1.8</v>
      </c>
      <c r="G143" s="11">
        <v>14068</v>
      </c>
      <c r="H143" t="str" cm="1">
        <f t="array" ref="H143">_xlfn.IFS(A143&lt;'Campaign Metadata'!$B$2,"Before CybertruckLaunch",'Engagement Summary'!A168&lt;='Campaign Metadata'!$C$2,"CybertruckLaunch",A143&lt;'Campaign Metadata'!$B$3,"Before ModelYCampaign",A143&lt;='Campaign Metadata'!$C$3,"ModelYCampaign",A143&lt;'Campaign Metadata'!$B$4,"Before FSDUpdate",A143&lt;='Campaign Metadata'!$C$4,"FSDUpdate",A143&lt;'Campaign Metadata'!$B$5,"Before SustainabilityDrive",A143&lt;'Campaign Metadata'!$C$5,"Sustainability Drive")</f>
        <v>Sustainability Drive</v>
      </c>
      <c r="I143">
        <f t="shared" si="4"/>
        <v>861</v>
      </c>
    </row>
    <row r="144" spans="1:9" x14ac:dyDescent="0.2">
      <c r="A144" s="20">
        <v>45740</v>
      </c>
      <c r="B144" s="9" t="s">
        <v>14</v>
      </c>
      <c r="C144" s="9">
        <v>364</v>
      </c>
      <c r="D144" s="9">
        <v>72</v>
      </c>
      <c r="E144" s="9">
        <v>211090</v>
      </c>
      <c r="F144" s="9">
        <v>5.53</v>
      </c>
      <c r="G144" s="11">
        <v>21061</v>
      </c>
      <c r="H144" t="str" cm="1">
        <f t="array" ref="H144">_xlfn.IFS(A144&lt;'Campaign Metadata'!$B$2,"Before CybertruckLaunch",'Engagement Summary'!A172&lt;='Campaign Metadata'!$C$2,"CybertruckLaunch",A144&lt;'Campaign Metadata'!$B$3,"Before ModelYCampaign",A144&lt;='Campaign Metadata'!$C$3,"ModelYCampaign",A144&lt;'Campaign Metadata'!$B$4,"Before FSDUpdate",A144&lt;='Campaign Metadata'!$C$4,"FSDUpdate",A144&lt;'Campaign Metadata'!$B$5,"Before SustainabilityDrive",A144&lt;'Campaign Metadata'!$C$5,"Sustainability Drive")</f>
        <v>Sustainability Drive</v>
      </c>
      <c r="I144">
        <f t="shared" si="4"/>
        <v>292</v>
      </c>
    </row>
    <row r="145" spans="1:9" x14ac:dyDescent="0.2">
      <c r="A145" s="20">
        <v>45747</v>
      </c>
      <c r="B145" s="9" t="s">
        <v>14</v>
      </c>
      <c r="C145" s="9">
        <v>1946</v>
      </c>
      <c r="D145" s="9">
        <v>270</v>
      </c>
      <c r="E145" s="9">
        <v>198350</v>
      </c>
      <c r="F145" s="9">
        <v>7.5</v>
      </c>
      <c r="G145" s="11">
        <v>11805</v>
      </c>
      <c r="H145" t="e" cm="1">
        <f t="array" ref="H145">_xlfn.IFS(A145&lt;'Campaign Metadata'!$B$2,"Before CybertruckLaunch",'Engagement Summary'!A176&lt;='Campaign Metadata'!$C$2,"CybertruckLaunch",A145&lt;'Campaign Metadata'!$B$3,"Before ModelYCampaign",A145&lt;='Campaign Metadata'!$C$3,"ModelYCampaign",A145&lt;'Campaign Metadata'!$B$4,"Before FSDUpdate",A145&lt;='Campaign Metadata'!$C$4,"FSDUpdate",A145&lt;'Campaign Metadata'!$B$5,"Before SustainabilityDrive",A145&lt;'Campaign Metadata'!$C$5,"Sustainability Drive")</f>
        <v>#N/A</v>
      </c>
      <c r="I145">
        <f t="shared" si="4"/>
        <v>1676</v>
      </c>
    </row>
    <row r="146" spans="1:9" x14ac:dyDescent="0.2">
      <c r="A146" s="20">
        <v>45754</v>
      </c>
      <c r="B146" s="9" t="s">
        <v>14</v>
      </c>
      <c r="C146" s="9">
        <v>1432</v>
      </c>
      <c r="D146" s="9">
        <v>425</v>
      </c>
      <c r="E146" s="9">
        <v>29589</v>
      </c>
      <c r="F146" s="9">
        <v>4.5</v>
      </c>
      <c r="G146" s="11">
        <v>42964</v>
      </c>
      <c r="H146" t="e" cm="1">
        <f t="array" ref="H146">_xlfn.IFS(A146&lt;'Campaign Metadata'!$B$2,"Before CybertruckLaunch",'Engagement Summary'!A180&lt;='Campaign Metadata'!$C$2,"CybertruckLaunch",A146&lt;'Campaign Metadata'!$B$3,"Before ModelYCampaign",A146&lt;='Campaign Metadata'!$C$3,"ModelYCampaign",A146&lt;'Campaign Metadata'!$B$4,"Before FSDUpdate",A146&lt;='Campaign Metadata'!$C$4,"FSDUpdate",A146&lt;'Campaign Metadata'!$B$5,"Before SustainabilityDrive",A146&lt;'Campaign Metadata'!$C$5,"Sustainability Drive")</f>
        <v>#N/A</v>
      </c>
      <c r="I146">
        <f t="shared" si="4"/>
        <v>1007</v>
      </c>
    </row>
    <row r="147" spans="1:9" x14ac:dyDescent="0.2">
      <c r="A147" s="20">
        <v>45761</v>
      </c>
      <c r="B147" s="9" t="s">
        <v>14</v>
      </c>
      <c r="C147" s="9">
        <v>353</v>
      </c>
      <c r="D147" s="9">
        <v>300</v>
      </c>
      <c r="E147" s="9">
        <v>142507</v>
      </c>
      <c r="F147" s="9">
        <v>5.3</v>
      </c>
      <c r="G147" s="11">
        <v>11035</v>
      </c>
      <c r="H147" t="e" cm="1">
        <f t="array" ref="H147">_xlfn.IFS(A147&lt;'Campaign Metadata'!$B$2,"Before CybertruckLaunch",'Engagement Summary'!A184&lt;='Campaign Metadata'!$C$2,"CybertruckLaunch",A147&lt;'Campaign Metadata'!$B$3,"Before ModelYCampaign",A147&lt;='Campaign Metadata'!$C$3,"ModelYCampaign",A147&lt;'Campaign Metadata'!$B$4,"Before FSDUpdate",A147&lt;='Campaign Metadata'!$C$4,"FSDUpdate",A147&lt;'Campaign Metadata'!$B$5,"Before SustainabilityDrive",A147&lt;'Campaign Metadata'!$C$5,"Sustainability Drive")</f>
        <v>#N/A</v>
      </c>
      <c r="I147">
        <f t="shared" si="4"/>
        <v>53</v>
      </c>
    </row>
    <row r="148" spans="1:9" x14ac:dyDescent="0.2">
      <c r="A148" s="20">
        <v>45768</v>
      </c>
      <c r="B148" s="9" t="s">
        <v>14</v>
      </c>
      <c r="C148" s="9">
        <v>1147</v>
      </c>
      <c r="D148" s="9">
        <v>388</v>
      </c>
      <c r="E148" s="9">
        <v>333851</v>
      </c>
      <c r="F148" s="9">
        <v>2.44</v>
      </c>
      <c r="G148" s="11">
        <v>8471</v>
      </c>
      <c r="H148" t="e" cm="1">
        <f t="array" ref="H148">_xlfn.IFS(A148&lt;'Campaign Metadata'!$B$2,"Before CybertruckLaunch",'Engagement Summary'!A188&lt;='Campaign Metadata'!$C$2,"CybertruckLaunch",A148&lt;'Campaign Metadata'!$B$3,"Before ModelYCampaign",A148&lt;='Campaign Metadata'!$C$3,"ModelYCampaign",A148&lt;'Campaign Metadata'!$B$4,"Before FSDUpdate",A148&lt;='Campaign Metadata'!$C$4,"FSDUpdate",A148&lt;'Campaign Metadata'!$B$5,"Before SustainabilityDrive",A148&lt;'Campaign Metadata'!$C$5,"Sustainability Drive")</f>
        <v>#N/A</v>
      </c>
      <c r="I148">
        <f t="shared" si="4"/>
        <v>759</v>
      </c>
    </row>
    <row r="149" spans="1:9" x14ac:dyDescent="0.2">
      <c r="A149" s="20">
        <v>45775</v>
      </c>
      <c r="B149" s="9" t="s">
        <v>14</v>
      </c>
      <c r="C149" s="9">
        <v>1222</v>
      </c>
      <c r="D149" s="9">
        <v>274</v>
      </c>
      <c r="E149" s="9">
        <v>487289</v>
      </c>
      <c r="F149" s="9">
        <v>3.16</v>
      </c>
      <c r="G149" s="11">
        <v>32500</v>
      </c>
      <c r="H149" t="e" cm="1">
        <f t="array" ref="H149">_xlfn.IFS(A149&lt;'Campaign Metadata'!$B$2,"Before CybertruckLaunch",'Engagement Summary'!A192&lt;='Campaign Metadata'!$C$2,"CybertruckLaunch",A149&lt;'Campaign Metadata'!$B$3,"Before ModelYCampaign",A149&lt;='Campaign Metadata'!$C$3,"ModelYCampaign",A149&lt;'Campaign Metadata'!$B$4,"Before FSDUpdate",A149&lt;='Campaign Metadata'!$C$4,"FSDUpdate",A149&lt;'Campaign Metadata'!$B$5,"Before SustainabilityDrive",A149&lt;'Campaign Metadata'!$C$5,"Sustainability Drive")</f>
        <v>#N/A</v>
      </c>
      <c r="I149">
        <f t="shared" si="4"/>
        <v>948</v>
      </c>
    </row>
    <row r="150" spans="1:9" x14ac:dyDescent="0.2">
      <c r="A150" s="20">
        <v>45782</v>
      </c>
      <c r="B150" s="9" t="s">
        <v>14</v>
      </c>
      <c r="C150" s="9">
        <v>1581</v>
      </c>
      <c r="D150" s="9">
        <v>71</v>
      </c>
      <c r="E150" s="9">
        <v>484364</v>
      </c>
      <c r="F150" s="9">
        <v>3.55</v>
      </c>
      <c r="G150" s="11">
        <v>16149</v>
      </c>
      <c r="H150" t="e" cm="1">
        <f t="array" ref="H150">_xlfn.IFS(A150&lt;'Campaign Metadata'!$B$2,"Before CybertruckLaunch",'Engagement Summary'!A196&lt;='Campaign Metadata'!$C$2,"CybertruckLaunch",A150&lt;'Campaign Metadata'!$B$3,"Before ModelYCampaign",A150&lt;='Campaign Metadata'!$C$3,"ModelYCampaign",A150&lt;'Campaign Metadata'!$B$4,"Before FSDUpdate",A150&lt;='Campaign Metadata'!$C$4,"FSDUpdate",A150&lt;'Campaign Metadata'!$B$5,"Before SustainabilityDrive",A150&lt;'Campaign Metadata'!$C$5,"Sustainability Drive")</f>
        <v>#N/A</v>
      </c>
      <c r="I150">
        <f t="shared" si="4"/>
        <v>1510</v>
      </c>
    </row>
    <row r="151" spans="1:9" x14ac:dyDescent="0.2">
      <c r="A151" s="20">
        <v>45789</v>
      </c>
      <c r="B151" s="9" t="s">
        <v>14</v>
      </c>
      <c r="C151" s="9">
        <v>337</v>
      </c>
      <c r="D151" s="9">
        <v>68</v>
      </c>
      <c r="E151" s="9">
        <v>456298</v>
      </c>
      <c r="F151" s="9">
        <v>7.57</v>
      </c>
      <c r="G151" s="11">
        <v>4007</v>
      </c>
      <c r="H151" t="e" cm="1">
        <f t="array" ref="H151">_xlfn.IFS(A151&lt;'Campaign Metadata'!$B$2,"Before CybertruckLaunch",'Engagement Summary'!A200&lt;='Campaign Metadata'!$C$2,"CybertruckLaunch",A151&lt;'Campaign Metadata'!$B$3,"Before ModelYCampaign",A151&lt;='Campaign Metadata'!$C$3,"ModelYCampaign",A151&lt;'Campaign Metadata'!$B$4,"Before FSDUpdate",A151&lt;='Campaign Metadata'!$C$4,"FSDUpdate",A151&lt;'Campaign Metadata'!$B$5,"Before SustainabilityDrive",A151&lt;'Campaign Metadata'!$C$5,"Sustainability Drive")</f>
        <v>#N/A</v>
      </c>
      <c r="I151">
        <f t="shared" si="4"/>
        <v>269</v>
      </c>
    </row>
    <row r="152" spans="1:9" x14ac:dyDescent="0.2">
      <c r="A152" s="21">
        <v>45446</v>
      </c>
      <c r="B152" s="13" t="s">
        <v>27</v>
      </c>
      <c r="C152" s="13">
        <v>1535</v>
      </c>
      <c r="D152" s="13">
        <v>445</v>
      </c>
      <c r="E152" s="13">
        <v>395536</v>
      </c>
      <c r="F152" s="13">
        <v>4.1100000000000003</v>
      </c>
      <c r="G152" s="15">
        <v>30671</v>
      </c>
      <c r="H152" t="str" cm="1">
        <f t="array" ref="H152">_xlfn.IFS(A152&lt;'Campaign Metadata'!$B$2,"Before CybertruckLaunch",'Engagement Summary'!A5&lt;='Campaign Metadata'!$C$2,"CybertruckLaunch",A152&lt;'Campaign Metadata'!$B$3,"Before ModelYCampaign",A152&lt;='Campaign Metadata'!$C$3,"ModelYCampaign",A152&lt;'Campaign Metadata'!$B$4,"Before FSDUpdate",A152&lt;='Campaign Metadata'!$C$4,FSDUpdate,A152&lt;'Campaign Metadata'!$B$5,Before SustainabilityDrive,A152&lt;'Campaign Metadata'!$C$5,"Sustainability Drive")</f>
        <v>Before CybertruckLaunch</v>
      </c>
      <c r="I152">
        <f t="shared" si="4"/>
        <v>1090</v>
      </c>
    </row>
    <row r="153" spans="1:9" x14ac:dyDescent="0.2">
      <c r="A153" s="21">
        <v>45453</v>
      </c>
      <c r="B153" s="13" t="s">
        <v>27</v>
      </c>
      <c r="C153" s="13">
        <v>1197</v>
      </c>
      <c r="D153" s="13">
        <v>203</v>
      </c>
      <c r="E153" s="13">
        <v>413878</v>
      </c>
      <c r="F153" s="13">
        <v>3.16</v>
      </c>
      <c r="G153" s="15">
        <v>21205</v>
      </c>
      <c r="H153" t="str" cm="1">
        <f t="array" ref="H153">_xlfn.IFS(A153&lt;'Campaign Metadata'!$B$2,"Before CybertruckLaunch",'Engagement Summary'!A9&lt;='Campaign Metadata'!$C$2,"CybertruckLaunch",A153&lt;'Campaign Metadata'!$B$3,"Before ModelYCampaign",A153&lt;='Campaign Metadata'!$C$3,"ModelYCampaign",A153&lt;'Campaign Metadata'!$B$4,"Before FSDUpdate",A153&lt;='Campaign Metadata'!$C$4,FSDUpdate,A153&lt;'Campaign Metadata'!$B$5,Before SustainabilityDrive,A153&lt;'Campaign Metadata'!$C$5,"Sustainability Drive")</f>
        <v>Before CybertruckLaunch</v>
      </c>
      <c r="I153">
        <f t="shared" si="4"/>
        <v>994</v>
      </c>
    </row>
    <row r="154" spans="1:9" x14ac:dyDescent="0.2">
      <c r="A154" s="21">
        <v>45460</v>
      </c>
      <c r="B154" s="13" t="s">
        <v>27</v>
      </c>
      <c r="C154" s="13">
        <v>403</v>
      </c>
      <c r="D154" s="13">
        <v>66</v>
      </c>
      <c r="E154" s="13">
        <v>382851</v>
      </c>
      <c r="F154" s="13">
        <v>3.49</v>
      </c>
      <c r="G154" s="15">
        <v>24313</v>
      </c>
      <c r="H154" t="str" cm="1">
        <f t="array" ref="H154">_xlfn.IFS(A154&lt;'Campaign Metadata'!$B$2,"Before CybertruckLaunch",'Engagement Summary'!A13&lt;='Campaign Metadata'!$C$2,"CybertruckLaunch",A154&lt;'Campaign Metadata'!$B$3,"Before ModelYCampaign",A154&lt;='Campaign Metadata'!$C$3,"ModelYCampaign",A154&lt;'Campaign Metadata'!$B$4,"Before FSDUpdate",A154&lt;='Campaign Metadata'!$C$4,FSDUpdate,A154&lt;'Campaign Metadata'!$B$5,Before SustainabilityDrive,A154&lt;'Campaign Metadata'!$C$5,"Sustainability Drive")</f>
        <v>Before ModelYCampaign</v>
      </c>
      <c r="I154">
        <f t="shared" si="4"/>
        <v>337</v>
      </c>
    </row>
    <row r="155" spans="1:9" x14ac:dyDescent="0.2">
      <c r="A155" s="21">
        <v>45467</v>
      </c>
      <c r="B155" s="13" t="s">
        <v>27</v>
      </c>
      <c r="C155" s="13">
        <v>308</v>
      </c>
      <c r="D155" s="13">
        <v>431</v>
      </c>
      <c r="E155" s="13">
        <v>426184</v>
      </c>
      <c r="F155" s="13">
        <v>2.62</v>
      </c>
      <c r="G155" s="15">
        <v>1783</v>
      </c>
      <c r="H155" t="str" cm="1">
        <f t="array" ref="H155">_xlfn.IFS(A155&lt;'Campaign Metadata'!$B$2,"Before CybertruckLaunch",'Engagement Summary'!A17&lt;='Campaign Metadata'!$C$2,"CybertruckLaunch",A155&lt;'Campaign Metadata'!$B$3,"Before ModelYCampaign",A155&lt;='Campaign Metadata'!$C$3,"ModelYCampaign",A155&lt;'Campaign Metadata'!$B$4,"Before FSDUpdate",A155&lt;='Campaign Metadata'!$C$4,FSDUpdate,A155&lt;'Campaign Metadata'!$B$5,Before SustainabilityDrive,A155&lt;'Campaign Metadata'!$C$5,"Sustainability Drive")</f>
        <v>Before ModelYCampaign</v>
      </c>
      <c r="I155">
        <f t="shared" si="4"/>
        <v>-123</v>
      </c>
    </row>
    <row r="156" spans="1:9" x14ac:dyDescent="0.2">
      <c r="A156" s="21">
        <v>45474</v>
      </c>
      <c r="B156" s="13" t="s">
        <v>27</v>
      </c>
      <c r="C156" s="13">
        <v>144</v>
      </c>
      <c r="D156" s="13">
        <v>53</v>
      </c>
      <c r="E156" s="13">
        <v>113678</v>
      </c>
      <c r="F156" s="13">
        <v>8.7200000000000006</v>
      </c>
      <c r="G156" s="15">
        <v>30060</v>
      </c>
      <c r="H156" t="str" cm="1">
        <f t="array" ref="H156">_xlfn.IFS(A156&lt;'Campaign Metadata'!$B$2,"Before CybertruckLaunch",'Engagement Summary'!A21&lt;='Campaign Metadata'!$C$2,"CybertruckLaunch",A156&lt;'Campaign Metadata'!$B$3,"Before ModelYCampaign",A156&lt;='Campaign Metadata'!$C$3,"ModelYCampaign",A156&lt;'Campaign Metadata'!$B$4,"Before FSDUpdate",A156&lt;='Campaign Metadata'!$C$4,FSDUpdate,A156&lt;'Campaign Metadata'!$B$5,Before SustainabilityDrive,A156&lt;'Campaign Metadata'!$C$5,"Sustainability Drive")</f>
        <v>Before ModelYCampaign</v>
      </c>
      <c r="I156">
        <f t="shared" si="4"/>
        <v>91</v>
      </c>
    </row>
    <row r="157" spans="1:9" x14ac:dyDescent="0.2">
      <c r="A157" s="21">
        <v>45481</v>
      </c>
      <c r="B157" s="13" t="s">
        <v>27</v>
      </c>
      <c r="C157" s="13">
        <v>883</v>
      </c>
      <c r="D157" s="13">
        <v>369</v>
      </c>
      <c r="E157" s="13">
        <v>233694</v>
      </c>
      <c r="F157" s="13">
        <v>2.88</v>
      </c>
      <c r="G157" s="15">
        <v>15071</v>
      </c>
      <c r="H157" t="str" cm="1">
        <f t="array" ref="H157">_xlfn.IFS(A157&lt;'Campaign Metadata'!$B$2,"Before CybertruckLaunch",'Engagement Summary'!A25&lt;='Campaign Metadata'!$C$2,"CybertruckLaunch",A157&lt;'Campaign Metadata'!$B$3,"Before ModelYCampaign",A157&lt;='Campaign Metadata'!$C$3,"ModelYCampaign",A157&lt;'Campaign Metadata'!$B$4,"Before FSDUpdate",A157&lt;='Campaign Metadata'!$C$4,FSDUpdate,A157&lt;'Campaign Metadata'!$B$5,Before SustainabilityDrive,A157&lt;'Campaign Metadata'!$C$5,"Sustainability Drive")</f>
        <v>Before ModelYCampaign</v>
      </c>
      <c r="I157">
        <f t="shared" si="4"/>
        <v>514</v>
      </c>
    </row>
    <row r="158" spans="1:9" x14ac:dyDescent="0.2">
      <c r="A158" s="21">
        <v>45488</v>
      </c>
      <c r="B158" s="13" t="s">
        <v>27</v>
      </c>
      <c r="C158" s="13">
        <v>224</v>
      </c>
      <c r="D158" s="13">
        <v>64</v>
      </c>
      <c r="E158" s="13">
        <v>156683</v>
      </c>
      <c r="F158" s="13">
        <v>4.5599999999999996</v>
      </c>
      <c r="G158" s="15">
        <v>28474</v>
      </c>
      <c r="H158" t="str" cm="1">
        <f t="array" ref="H158">_xlfn.IFS(A158&lt;'Campaign Metadata'!$B$2,"Before CybertruckLaunch",'Engagement Summary'!A29&lt;='Campaign Metadata'!$C$2,"CybertruckLaunch",A158&lt;'Campaign Metadata'!$B$3,"Before ModelYCampaign",A158&lt;='Campaign Metadata'!$C$3,"ModelYCampaign",A158&lt;'Campaign Metadata'!$B$4,"Before FSDUpdate",A158&lt;='Campaign Metadata'!$C$4,FSDUpdate,A158&lt;'Campaign Metadata'!$B$5,Before SustainabilityDrive,A158&lt;'Campaign Metadata'!$C$5,"Sustainability Drive")</f>
        <v>Before ModelYCampaign</v>
      </c>
      <c r="I158">
        <f t="shared" si="4"/>
        <v>160</v>
      </c>
    </row>
    <row r="159" spans="1:9" x14ac:dyDescent="0.2">
      <c r="A159" s="21">
        <v>45495</v>
      </c>
      <c r="B159" s="13" t="s">
        <v>27</v>
      </c>
      <c r="C159" s="13">
        <v>804</v>
      </c>
      <c r="D159" s="13">
        <v>487</v>
      </c>
      <c r="E159" s="13">
        <v>306564</v>
      </c>
      <c r="F159" s="13">
        <v>5.52</v>
      </c>
      <c r="G159" s="15">
        <v>26452</v>
      </c>
      <c r="H159" t="str" cm="1">
        <f t="array" ref="H159">_xlfn.IFS(A159&lt;'Campaign Metadata'!$B$2,"Before CybertruckLaunch",'Engagement Summary'!A33&lt;='Campaign Metadata'!$C$2,"CybertruckLaunch",A159&lt;'Campaign Metadata'!$B$3,"Before ModelYCampaign",A159&lt;='Campaign Metadata'!$C$3,"ModelYCampaign",A159&lt;'Campaign Metadata'!$B$4,"Before FSDUpdate",A159&lt;='Campaign Metadata'!$C$4,FSDUpdate,A159&lt;'Campaign Metadata'!$B$5,Before SustainabilityDrive,A159&lt;'Campaign Metadata'!$C$5,"Sustainability Drive")</f>
        <v>Before ModelYCampaign</v>
      </c>
      <c r="I159">
        <f t="shared" si="4"/>
        <v>317</v>
      </c>
    </row>
    <row r="160" spans="1:9" x14ac:dyDescent="0.2">
      <c r="A160" s="21">
        <v>45502</v>
      </c>
      <c r="B160" s="13" t="s">
        <v>27</v>
      </c>
      <c r="C160" s="13">
        <v>576</v>
      </c>
      <c r="D160" s="13">
        <v>101</v>
      </c>
      <c r="E160" s="13">
        <v>62499</v>
      </c>
      <c r="F160" s="13">
        <v>3.48</v>
      </c>
      <c r="G160" s="15">
        <v>16804</v>
      </c>
      <c r="H160" t="str" cm="1">
        <f t="array" ref="H160">_xlfn.IFS(A160&lt;'Campaign Metadata'!$B$2,"Before CybertruckLaunch",'Engagement Summary'!A37&lt;='Campaign Metadata'!$C$2,"CybertruckLaunch",A160&lt;'Campaign Metadata'!$B$3,"Before ModelYCampaign",A160&lt;='Campaign Metadata'!$C$3,"ModelYCampaign",A160&lt;'Campaign Metadata'!$B$4,"Before FSDUpdate",A160&lt;='Campaign Metadata'!$C$4,FSDUpdate,A160&lt;'Campaign Metadata'!$B$5,Before SustainabilityDrive,A160&lt;'Campaign Metadata'!$C$5,"Sustainability Drive")</f>
        <v>Before ModelYCampaign</v>
      </c>
      <c r="I160">
        <f t="shared" si="4"/>
        <v>475</v>
      </c>
    </row>
    <row r="161" spans="1:9" x14ac:dyDescent="0.2">
      <c r="A161" s="21">
        <v>45509</v>
      </c>
      <c r="B161" s="13" t="s">
        <v>27</v>
      </c>
      <c r="C161" s="13">
        <v>460</v>
      </c>
      <c r="D161" s="13">
        <v>141</v>
      </c>
      <c r="E161" s="13">
        <v>320650</v>
      </c>
      <c r="F161" s="13">
        <v>4.04</v>
      </c>
      <c r="G161" s="15">
        <v>49372</v>
      </c>
      <c r="H161" t="str" cm="1">
        <f t="array" ref="H161">_xlfn.IFS(A161&lt;'Campaign Metadata'!$B$2,"Before CybertruckLaunch",'Engagement Summary'!A41&lt;='Campaign Metadata'!$C$2,"CybertruckLaunch",A161&lt;'Campaign Metadata'!$B$3,"Before ModelYCampaign",A161&lt;='Campaign Metadata'!$C$3,"ModelYCampaign",A161&lt;'Campaign Metadata'!$B$4,"Before FSDUpdate",A161&lt;='Campaign Metadata'!$C$4,FSDUpdate,A161&lt;'Campaign Metadata'!$B$5,Before SustainabilityDrive,A161&lt;'Campaign Metadata'!$C$5,"Sustainability Drive")</f>
        <v>Before ModelYCampaign</v>
      </c>
      <c r="I161">
        <f t="shared" si="4"/>
        <v>319</v>
      </c>
    </row>
    <row r="162" spans="1:9" x14ac:dyDescent="0.2">
      <c r="A162" s="21">
        <v>45516</v>
      </c>
      <c r="B162" s="13" t="s">
        <v>27</v>
      </c>
      <c r="C162" s="13">
        <v>1210</v>
      </c>
      <c r="D162" s="13">
        <v>178</v>
      </c>
      <c r="E162" s="13">
        <v>102042</v>
      </c>
      <c r="F162" s="13">
        <v>5.42</v>
      </c>
      <c r="G162" s="15">
        <v>6915</v>
      </c>
      <c r="H162" t="str" cm="1">
        <f t="array" ref="H162">_xlfn.IFS(A162&lt;'Campaign Metadata'!$B$2,"Before CybertruckLaunch",'Engagement Summary'!A45&lt;='Campaign Metadata'!$C$2,"CybertruckLaunch",A162&lt;'Campaign Metadata'!$B$3,"Before ModelYCampaign",A162&lt;='Campaign Metadata'!$C$3,"ModelYCampaign",A162&lt;'Campaign Metadata'!$B$4,"Before FSDUpdate",A162&lt;='Campaign Metadata'!$C$4,FSDUpdate,A162&lt;'Campaign Metadata'!$B$5,Before SustainabilityDrive,A162&lt;'Campaign Metadata'!$C$5,"Sustainability Drive")</f>
        <v>Before ModelYCampaign</v>
      </c>
      <c r="I162">
        <f t="shared" ref="I162:I193" si="5">C162-D162</f>
        <v>1032</v>
      </c>
    </row>
    <row r="163" spans="1:9" x14ac:dyDescent="0.2">
      <c r="A163" s="21">
        <v>45523</v>
      </c>
      <c r="B163" s="13" t="s">
        <v>27</v>
      </c>
      <c r="C163" s="13">
        <v>221</v>
      </c>
      <c r="D163" s="13">
        <v>31</v>
      </c>
      <c r="E163" s="13">
        <v>87443</v>
      </c>
      <c r="F163" s="13">
        <v>6.19</v>
      </c>
      <c r="G163" s="15">
        <v>10283</v>
      </c>
      <c r="H163" t="str" cm="1">
        <f t="array" ref="H163">_xlfn.IFS(A163&lt;'Campaign Metadata'!$B$2,"Before CybertruckLaunch",'Engagement Summary'!A49&lt;='Campaign Metadata'!$C$2,"CybertruckLaunch",A163&lt;'Campaign Metadata'!$B$3,"Before ModelYCampaign",A163&lt;='Campaign Metadata'!$C$3,"ModelYCampaign",A163&lt;'Campaign Metadata'!$B$4,"Before FSDUpdate",A163&lt;='Campaign Metadata'!$C$4,FSDUpdate,A163&lt;'Campaign Metadata'!$B$5,Before SustainabilityDrive,A163&lt;'Campaign Metadata'!$C$5,"Sustainability Drive")</f>
        <v>Before ModelYCampaign</v>
      </c>
      <c r="I163">
        <f t="shared" si="5"/>
        <v>190</v>
      </c>
    </row>
    <row r="164" spans="1:9" x14ac:dyDescent="0.2">
      <c r="A164" s="21">
        <v>45530</v>
      </c>
      <c r="B164" s="13" t="s">
        <v>27</v>
      </c>
      <c r="C164" s="13">
        <v>422</v>
      </c>
      <c r="D164" s="13">
        <v>394</v>
      </c>
      <c r="E164" s="13">
        <v>239044</v>
      </c>
      <c r="F164" s="13">
        <v>7.83</v>
      </c>
      <c r="G164" s="15">
        <v>32929</v>
      </c>
      <c r="H164" t="str" cm="1">
        <f t="array" ref="H164">_xlfn.IFS(A164&lt;'Campaign Metadata'!$B$2,"Before CybertruckLaunch",'Engagement Summary'!A53&lt;='Campaign Metadata'!$C$2,"CybertruckLaunch",A164&lt;'Campaign Metadata'!$B$3,"Before ModelYCampaign",A164&lt;='Campaign Metadata'!$C$3,"ModelYCampaign",A164&lt;'Campaign Metadata'!$B$4,"Before FSDUpdate",A164&lt;='Campaign Metadata'!$C$4,FSDUpdate,A164&lt;'Campaign Metadata'!$B$5,Before SustainabilityDrive,A164&lt;'Campaign Metadata'!$C$5,"Sustainability Drive")</f>
        <v>CybertruckLaunch</v>
      </c>
      <c r="I164">
        <f t="shared" si="5"/>
        <v>28</v>
      </c>
    </row>
    <row r="165" spans="1:9" x14ac:dyDescent="0.2">
      <c r="A165" s="21">
        <v>45537</v>
      </c>
      <c r="B165" s="13" t="s">
        <v>27</v>
      </c>
      <c r="C165" s="13">
        <v>728</v>
      </c>
      <c r="D165" s="13">
        <v>395</v>
      </c>
      <c r="E165" s="13">
        <v>370971</v>
      </c>
      <c r="F165" s="13">
        <v>3.86</v>
      </c>
      <c r="G165" s="15">
        <v>12646</v>
      </c>
      <c r="H165" t="str" cm="1">
        <f t="array" ref="H165">_xlfn.IFS(A165&lt;'Campaign Metadata'!$B$2,"Before CybertruckLaunch",'Engagement Summary'!A57&lt;='Campaign Metadata'!$C$2,"CybertruckLaunch",A165&lt;'Campaign Metadata'!$B$3,"Before ModelYCampaign",A165&lt;='Campaign Metadata'!$C$3,"ModelYCampaign",A165&lt;'Campaign Metadata'!$B$4,"Before FSDUpdate",A165&lt;='Campaign Metadata'!$C$4,FSDUpdate,A165&lt;'Campaign Metadata'!$B$5,Before SustainabilityDrive,A165&lt;'Campaign Metadata'!$C$5,"Sustainability Drive")</f>
        <v>CybertruckLaunch</v>
      </c>
      <c r="I165">
        <f t="shared" si="5"/>
        <v>333</v>
      </c>
    </row>
    <row r="166" spans="1:9" x14ac:dyDescent="0.2">
      <c r="A166" s="21">
        <v>45544</v>
      </c>
      <c r="B166" s="13" t="s">
        <v>27</v>
      </c>
      <c r="C166" s="13">
        <v>1409</v>
      </c>
      <c r="D166" s="13">
        <v>309</v>
      </c>
      <c r="E166" s="13">
        <v>64583</v>
      </c>
      <c r="F166" s="13">
        <v>8.99</v>
      </c>
      <c r="G166" s="15">
        <v>10217</v>
      </c>
      <c r="H166" t="str" cm="1">
        <f t="array" ref="H166">_xlfn.IFS(A166&lt;'Campaign Metadata'!$B$2,"Before CybertruckLaunch",'Engagement Summary'!A61&lt;='Campaign Metadata'!$C$2,"CybertruckLaunch",A166&lt;'Campaign Metadata'!$B$3,"Before ModelYCampaign",A166&lt;='Campaign Metadata'!$C$3,"ModelYCampaign",A166&lt;'Campaign Metadata'!$B$4,"Before FSDUpdate",A166&lt;='Campaign Metadata'!$C$4,FSDUpdate,A166&lt;'Campaign Metadata'!$B$5,Before SustainabilityDrive,A166&lt;'Campaign Metadata'!$C$5,"Sustainability Drive")</f>
        <v>Before ModelYCampaign</v>
      </c>
      <c r="I166">
        <f t="shared" si="5"/>
        <v>1100</v>
      </c>
    </row>
    <row r="167" spans="1:9" x14ac:dyDescent="0.2">
      <c r="A167" s="21">
        <v>45551</v>
      </c>
      <c r="B167" s="13" t="s">
        <v>27</v>
      </c>
      <c r="C167" s="13">
        <v>123</v>
      </c>
      <c r="D167" s="13">
        <v>155</v>
      </c>
      <c r="E167" s="13">
        <v>119934</v>
      </c>
      <c r="F167" s="13">
        <v>3.5</v>
      </c>
      <c r="G167" s="15">
        <v>5442</v>
      </c>
      <c r="H167" t="str" cm="1">
        <f t="array" ref="H167">_xlfn.IFS(A167&lt;'Campaign Metadata'!$B$2,"Before CybertruckLaunch",'Engagement Summary'!A65&lt;='Campaign Metadata'!$C$2,"CybertruckLaunch",A167&lt;'Campaign Metadata'!$B$3,"Before ModelYCampaign",A167&lt;='Campaign Metadata'!$C$3,"ModelYCampaign",A167&lt;'Campaign Metadata'!$B$4,"Before FSDUpdate",A167&lt;='Campaign Metadata'!$C$4,FSDUpdate,A167&lt;'Campaign Metadata'!$B$5,Before SustainabilityDrive,A167&lt;'Campaign Metadata'!$C$5,"Sustainability Drive")</f>
        <v>Before ModelYCampaign</v>
      </c>
      <c r="I167">
        <f t="shared" si="5"/>
        <v>-32</v>
      </c>
    </row>
    <row r="168" spans="1:9" x14ac:dyDescent="0.2">
      <c r="A168" s="21">
        <v>45558</v>
      </c>
      <c r="B168" s="13" t="s">
        <v>27</v>
      </c>
      <c r="C168" s="13">
        <v>1218</v>
      </c>
      <c r="D168" s="13">
        <v>212</v>
      </c>
      <c r="E168" s="13">
        <v>63177</v>
      </c>
      <c r="F168" s="13">
        <v>8.1300000000000008</v>
      </c>
      <c r="G168" s="15">
        <v>38883</v>
      </c>
      <c r="H168" t="str" cm="1">
        <f t="array" ref="H168">_xlfn.IFS(A168&lt;'Campaign Metadata'!$B$2,"Before CybertruckLaunch",'Engagement Summary'!A69&lt;='Campaign Metadata'!$C$2,"CybertruckLaunch",A168&lt;'Campaign Metadata'!$B$3,"Before ModelYCampaign",A168&lt;='Campaign Metadata'!$C$3,"ModelYCampaign",A168&lt;'Campaign Metadata'!$B$4,"Before FSDUpdate",A168&lt;='Campaign Metadata'!$C$4,FSDUpdate,A168&lt;'Campaign Metadata'!$B$5,Before SustainabilityDrive,A168&lt;'Campaign Metadata'!$C$5,"Sustainability Drive")</f>
        <v>Before ModelYCampaign</v>
      </c>
      <c r="I168">
        <f t="shared" si="5"/>
        <v>1006</v>
      </c>
    </row>
    <row r="169" spans="1:9" x14ac:dyDescent="0.2">
      <c r="A169" s="21">
        <v>45565</v>
      </c>
      <c r="B169" s="13" t="s">
        <v>27</v>
      </c>
      <c r="C169" s="13">
        <v>1918</v>
      </c>
      <c r="D169" s="13">
        <v>212</v>
      </c>
      <c r="E169" s="13">
        <v>94360</v>
      </c>
      <c r="F169" s="13">
        <v>7.36</v>
      </c>
      <c r="G169" s="15">
        <v>36851</v>
      </c>
      <c r="H169" t="str" cm="1">
        <f t="array" ref="H169">_xlfn.IFS(A169&lt;'Campaign Metadata'!$B$2,"Before CybertruckLaunch",'Engagement Summary'!A73&lt;='Campaign Metadata'!$C$2,"CybertruckLaunch",A169&lt;'Campaign Metadata'!$B$3,"Before ModelYCampaign",A169&lt;='Campaign Metadata'!$C$3,"ModelYCampaign",A169&lt;'Campaign Metadata'!$B$4,"Before FSDUpdate",A169&lt;='Campaign Metadata'!$C$4,FSDUpdate,A169&lt;'Campaign Metadata'!$B$5,Before SustainabilityDrive,A169&lt;'Campaign Metadata'!$C$5,"Sustainability Drive")</f>
        <v>Before ModelYCampaign</v>
      </c>
      <c r="I169">
        <f t="shared" si="5"/>
        <v>1706</v>
      </c>
    </row>
    <row r="170" spans="1:9" x14ac:dyDescent="0.2">
      <c r="A170" s="21">
        <v>45572</v>
      </c>
      <c r="B170" s="13" t="s">
        <v>27</v>
      </c>
      <c r="C170" s="13">
        <v>307</v>
      </c>
      <c r="D170" s="13">
        <v>189</v>
      </c>
      <c r="E170" s="13">
        <v>117767</v>
      </c>
      <c r="F170" s="13">
        <v>9.3000000000000007</v>
      </c>
      <c r="G170" s="15">
        <v>27822</v>
      </c>
      <c r="H170" t="str" cm="1">
        <f t="array" ref="H170">_xlfn.IFS(A170&lt;'Campaign Metadata'!$B$2,"Before CybertruckLaunch",'Engagement Summary'!A77&lt;='Campaign Metadata'!$C$2,"CybertruckLaunch",A170&lt;'Campaign Metadata'!$B$3,"Before ModelYCampaign",A170&lt;='Campaign Metadata'!$C$3,"ModelYCampaign",A170&lt;'Campaign Metadata'!$B$4,"Before FSDUpdate",A170&lt;='Campaign Metadata'!$C$4,FSDUpdate,A170&lt;'Campaign Metadata'!$B$5,Before SustainabilityDrive,A170&lt;'Campaign Metadata'!$C$5,"Sustainability Drive")</f>
        <v>ModelYCampaign</v>
      </c>
      <c r="I170">
        <f t="shared" si="5"/>
        <v>118</v>
      </c>
    </row>
    <row r="171" spans="1:9" x14ac:dyDescent="0.2">
      <c r="A171" s="21">
        <v>45579</v>
      </c>
      <c r="B171" s="13" t="s">
        <v>27</v>
      </c>
      <c r="C171" s="13">
        <v>414</v>
      </c>
      <c r="D171" s="13">
        <v>47</v>
      </c>
      <c r="E171" s="13">
        <v>199178</v>
      </c>
      <c r="F171" s="13">
        <v>1.53</v>
      </c>
      <c r="G171" s="15">
        <v>6742</v>
      </c>
      <c r="H171" t="str" cm="1">
        <f t="array" ref="H171">_xlfn.IFS(A171&lt;'Campaign Metadata'!$B$2,"Before CybertruckLaunch",'Engagement Summary'!A81&lt;='Campaign Metadata'!$C$2,"CybertruckLaunch",A171&lt;'Campaign Metadata'!$B$3,"Before ModelYCampaign",A171&lt;='Campaign Metadata'!$C$3,"ModelYCampaign",A171&lt;'Campaign Metadata'!$B$4,"Before FSDUpdate",A171&lt;='Campaign Metadata'!$C$4,FSDUpdate,A171&lt;'Campaign Metadata'!$B$5,Before SustainabilityDrive,A171&lt;'Campaign Metadata'!$C$5,"Sustainability Drive")</f>
        <v>ModelYCampaign</v>
      </c>
      <c r="I171">
        <f t="shared" si="5"/>
        <v>367</v>
      </c>
    </row>
    <row r="172" spans="1:9" x14ac:dyDescent="0.2">
      <c r="A172" s="21">
        <v>45586</v>
      </c>
      <c r="B172" s="13" t="s">
        <v>27</v>
      </c>
      <c r="C172" s="13">
        <v>1707</v>
      </c>
      <c r="D172" s="13">
        <v>223</v>
      </c>
      <c r="E172" s="13">
        <v>256910</v>
      </c>
      <c r="F172" s="13">
        <v>5.41</v>
      </c>
      <c r="G172" s="15">
        <v>44321</v>
      </c>
      <c r="H172" t="str" cm="1">
        <f t="array" ref="H172">_xlfn.IFS(A172&lt;'Campaign Metadata'!$B$2,"Before CybertruckLaunch",'Engagement Summary'!A85&lt;='Campaign Metadata'!$C$2,"CybertruckLaunch",A172&lt;'Campaign Metadata'!$B$3,"Before ModelYCampaign",A172&lt;='Campaign Metadata'!$C$3,"ModelYCampaign",A172&lt;'Campaign Metadata'!$B$4,"Before FSDUpdate",A172&lt;='Campaign Metadata'!$C$4,FSDUpdate,A172&lt;'Campaign Metadata'!$B$5,Before SustainabilityDrive,A172&lt;'Campaign Metadata'!$C$5,"Sustainability Drive")</f>
        <v>ModelYCampaign</v>
      </c>
      <c r="I172">
        <f t="shared" si="5"/>
        <v>1484</v>
      </c>
    </row>
    <row r="173" spans="1:9" x14ac:dyDescent="0.2">
      <c r="A173" s="21">
        <v>45593</v>
      </c>
      <c r="B173" s="13" t="s">
        <v>27</v>
      </c>
      <c r="C173" s="13">
        <v>1814</v>
      </c>
      <c r="D173" s="13">
        <v>157</v>
      </c>
      <c r="E173" s="13">
        <v>305827</v>
      </c>
      <c r="F173" s="13">
        <v>1.99</v>
      </c>
      <c r="G173" s="15">
        <v>46643</v>
      </c>
      <c r="H173" t="str" cm="1">
        <f t="array" ref="H173">_xlfn.IFS(A173&lt;'Campaign Metadata'!$B$2,"Before CybertruckLaunch",'Engagement Summary'!A89&lt;='Campaign Metadata'!$C$2,"CybertruckLaunch",A173&lt;'Campaign Metadata'!$B$3,"Before ModelYCampaign",A173&lt;='Campaign Metadata'!$C$3,"ModelYCampaign",A173&lt;'Campaign Metadata'!$B$4,"Before FSDUpdate",A173&lt;='Campaign Metadata'!$C$4,FSDUpdate,A173&lt;'Campaign Metadata'!$B$5,Before SustainabilityDrive,A173&lt;'Campaign Metadata'!$C$5,"Sustainability Drive")</f>
        <v>ModelYCampaign</v>
      </c>
      <c r="I173">
        <f t="shared" si="5"/>
        <v>1657</v>
      </c>
    </row>
    <row r="174" spans="1:9" x14ac:dyDescent="0.2">
      <c r="A174" s="21">
        <v>45600</v>
      </c>
      <c r="B174" s="13" t="s">
        <v>27</v>
      </c>
      <c r="C174" s="13">
        <v>1507</v>
      </c>
      <c r="D174" s="13">
        <v>463</v>
      </c>
      <c r="E174" s="13">
        <v>258944</v>
      </c>
      <c r="F174" s="13">
        <v>6.08</v>
      </c>
      <c r="G174" s="15">
        <v>16443</v>
      </c>
      <c r="H174" t="str" cm="1">
        <f t="array" ref="H174">_xlfn.IFS(A174&lt;'Campaign Metadata'!$B$2,"Before CybertruckLaunch",'Engagement Summary'!A93&lt;='Campaign Metadata'!$C$2,"CybertruckLaunch",A174&lt;'Campaign Metadata'!$B$3,"Before ModelYCampaign",A174&lt;='Campaign Metadata'!$C$3,"ModelYCampaign",A174&lt;'Campaign Metadata'!$B$4,"Before FSDUpdate",A174&lt;='Campaign Metadata'!$C$4,FSDUpdate,A174&lt;'Campaign Metadata'!$B$5,Before SustainabilityDrive,A174&lt;'Campaign Metadata'!$C$5,"Sustainability Drive")</f>
        <v>Before FSDUpdate</v>
      </c>
      <c r="I174">
        <f t="shared" si="5"/>
        <v>1044</v>
      </c>
    </row>
    <row r="175" spans="1:9" x14ac:dyDescent="0.2">
      <c r="A175" s="21">
        <v>45607</v>
      </c>
      <c r="B175" s="13" t="s">
        <v>27</v>
      </c>
      <c r="C175" s="13">
        <v>454</v>
      </c>
      <c r="D175" s="13">
        <v>105</v>
      </c>
      <c r="E175" s="13">
        <v>121091</v>
      </c>
      <c r="F175" s="13">
        <v>7.97</v>
      </c>
      <c r="G175" s="15">
        <v>9269</v>
      </c>
      <c r="H175" t="str" cm="1">
        <f t="array" ref="H175">_xlfn.IFS(A175&lt;'Campaign Metadata'!$B$2,"Before CybertruckLaunch",'Engagement Summary'!A97&lt;='Campaign Metadata'!$C$2,"CybertruckLaunch",A175&lt;'Campaign Metadata'!$B$3,"Before ModelYCampaign",A175&lt;='Campaign Metadata'!$C$3,"ModelYCampaign",A175&lt;'Campaign Metadata'!$B$4,"Before FSDUpdate",A175&lt;='Campaign Metadata'!$C$4,FSDUpdate,A175&lt;'Campaign Metadata'!$B$5,Before SustainabilityDrive,A175&lt;'Campaign Metadata'!$C$5,"Sustainability Drive")</f>
        <v>Before FSDUpdate</v>
      </c>
      <c r="I175">
        <f t="shared" si="5"/>
        <v>349</v>
      </c>
    </row>
    <row r="176" spans="1:9" x14ac:dyDescent="0.2">
      <c r="A176" s="21">
        <v>45614</v>
      </c>
      <c r="B176" s="13" t="s">
        <v>27</v>
      </c>
      <c r="C176" s="13">
        <v>278</v>
      </c>
      <c r="D176" s="13">
        <v>218</v>
      </c>
      <c r="E176" s="13">
        <v>301695</v>
      </c>
      <c r="F176" s="13">
        <v>4.68</v>
      </c>
      <c r="G176" s="15">
        <v>22373</v>
      </c>
      <c r="H176" t="str" cm="1">
        <f t="array" ref="H176">_xlfn.IFS(A176&lt;'Campaign Metadata'!$B$2,"Before CybertruckLaunch",'Engagement Summary'!A101&lt;='Campaign Metadata'!$C$2,"CybertruckLaunch",A176&lt;'Campaign Metadata'!$B$3,"Before ModelYCampaign",A176&lt;='Campaign Metadata'!$C$3,"ModelYCampaign",A176&lt;'Campaign Metadata'!$B$4,"Before FSDUpdate",A176&lt;='Campaign Metadata'!$C$4,FSDUpdate,A176&lt;'Campaign Metadata'!$B$5,Before SustainabilityDrive,A176&lt;'Campaign Metadata'!$C$5,"Sustainability Drive")</f>
        <v>Before FSDUpdate</v>
      </c>
      <c r="I176">
        <f t="shared" si="5"/>
        <v>60</v>
      </c>
    </row>
    <row r="177" spans="1:9" x14ac:dyDescent="0.2">
      <c r="A177" s="21">
        <v>45621</v>
      </c>
      <c r="B177" s="13" t="s">
        <v>27</v>
      </c>
      <c r="C177" s="13">
        <v>1293</v>
      </c>
      <c r="D177" s="13">
        <v>408</v>
      </c>
      <c r="E177" s="13">
        <v>62535</v>
      </c>
      <c r="F177" s="13">
        <v>8.9</v>
      </c>
      <c r="G177" s="15">
        <v>37876</v>
      </c>
      <c r="H177" t="str" cm="1">
        <f t="array" ref="H177">_xlfn.IFS(A177&lt;'Campaign Metadata'!$B$2,"Before CybertruckLaunch",'Engagement Summary'!A105&lt;='Campaign Metadata'!$C$2,"CybertruckLaunch",A177&lt;'Campaign Metadata'!$B$3,"Before ModelYCampaign",A177&lt;='Campaign Metadata'!$C$3,"ModelYCampaign",A177&lt;'Campaign Metadata'!$B$4,"Before FSDUpdate",A177&lt;='Campaign Metadata'!$C$4,FSDUpdate,A177&lt;'Campaign Metadata'!$B$5,Before SustainabilityDrive,A177&lt;'Campaign Metadata'!$C$5,"Sustainability Drive")</f>
        <v>CybertruckLaunch</v>
      </c>
      <c r="I177">
        <f t="shared" si="5"/>
        <v>885</v>
      </c>
    </row>
    <row r="178" spans="1:9" x14ac:dyDescent="0.2">
      <c r="A178" s="21">
        <v>45628</v>
      </c>
      <c r="B178" s="13" t="s">
        <v>27</v>
      </c>
      <c r="C178" s="13">
        <v>452</v>
      </c>
      <c r="D178" s="13">
        <v>161</v>
      </c>
      <c r="E178" s="13">
        <v>221274</v>
      </c>
      <c r="F178" s="13">
        <v>2.65</v>
      </c>
      <c r="G178" s="15">
        <v>40888</v>
      </c>
      <c r="H178" t="str" cm="1">
        <f t="array" ref="H178">_xlfn.IFS(A178&lt;'Campaign Metadata'!$B$2,"Before CybertruckLaunch",'Engagement Summary'!A109&lt;='Campaign Metadata'!$C$2,"CybertruckLaunch",A178&lt;'Campaign Metadata'!$B$3,"Before ModelYCampaign",A178&lt;='Campaign Metadata'!$C$3,"ModelYCampaign",A178&lt;'Campaign Metadata'!$B$4,"Before FSDUpdate",A178&lt;='Campaign Metadata'!$C$4,FSDUpdate,A178&lt;'Campaign Metadata'!$B$5,Before SustainabilityDrive,A178&lt;'Campaign Metadata'!$C$5,"Sustainability Drive")</f>
        <v>Before FSDUpdate</v>
      </c>
      <c r="I178">
        <f t="shared" si="5"/>
        <v>291</v>
      </c>
    </row>
    <row r="179" spans="1:9" x14ac:dyDescent="0.2">
      <c r="A179" s="21">
        <v>45635</v>
      </c>
      <c r="B179" s="13" t="s">
        <v>27</v>
      </c>
      <c r="C179" s="13">
        <v>736</v>
      </c>
      <c r="D179" s="13">
        <v>163</v>
      </c>
      <c r="E179" s="13">
        <v>451894</v>
      </c>
      <c r="F179" s="13">
        <v>5.43</v>
      </c>
      <c r="G179" s="15">
        <v>46625</v>
      </c>
      <c r="H179" t="str" cm="1">
        <f t="array" ref="H179">_xlfn.IFS(A179&lt;'Campaign Metadata'!$B$2,"Before CybertruckLaunch",'Engagement Summary'!A113&lt;='Campaign Metadata'!$C$2,"CybertruckLaunch",A179&lt;'Campaign Metadata'!$B$3,"Before ModelYCampaign",A179&lt;='Campaign Metadata'!$C$3,"ModelYCampaign",A179&lt;'Campaign Metadata'!$B$4,"Before FSDUpdate",A179&lt;='Campaign Metadata'!$C$4,FSDUpdate,A179&lt;'Campaign Metadata'!$B$5,Before SustainabilityDrive,A179&lt;'Campaign Metadata'!$C$5,"Sustainability Drive")</f>
        <v>Before FSDUpdate</v>
      </c>
      <c r="I179">
        <f t="shared" si="5"/>
        <v>573</v>
      </c>
    </row>
    <row r="180" spans="1:9" x14ac:dyDescent="0.2">
      <c r="A180" s="21">
        <v>45642</v>
      </c>
      <c r="B180" s="13" t="s">
        <v>27</v>
      </c>
      <c r="C180" s="13">
        <v>1004</v>
      </c>
      <c r="D180" s="13">
        <v>128</v>
      </c>
      <c r="E180" s="13">
        <v>488901</v>
      </c>
      <c r="F180" s="13">
        <v>8.09</v>
      </c>
      <c r="G180" s="15">
        <v>49558</v>
      </c>
      <c r="H180" t="str" cm="1">
        <f t="array" ref="H180">_xlfn.IFS(A180&lt;'Campaign Metadata'!$B$2,"Before CybertruckLaunch",'Engagement Summary'!A117&lt;='Campaign Metadata'!$C$2,"CybertruckLaunch",A180&lt;'Campaign Metadata'!$B$3,"Before ModelYCampaign",A180&lt;='Campaign Metadata'!$C$3,"ModelYCampaign",A180&lt;'Campaign Metadata'!$B$4,"Before FSDUpdate",A180&lt;='Campaign Metadata'!$C$4,FSDUpdate,A180&lt;'Campaign Metadata'!$B$5,Before SustainabilityDrive,A180&lt;'Campaign Metadata'!$C$5,"Sustainability Drive")</f>
        <v>Before FSDUpdate</v>
      </c>
      <c r="I180">
        <f t="shared" si="5"/>
        <v>876</v>
      </c>
    </row>
    <row r="181" spans="1:9" x14ac:dyDescent="0.2">
      <c r="A181" s="21">
        <v>45649</v>
      </c>
      <c r="B181" s="13" t="s">
        <v>27</v>
      </c>
      <c r="C181" s="13">
        <v>1900</v>
      </c>
      <c r="D181" s="13">
        <v>311</v>
      </c>
      <c r="E181" s="13">
        <v>25177</v>
      </c>
      <c r="F181" s="13">
        <v>2.89</v>
      </c>
      <c r="G181" s="15">
        <v>14154</v>
      </c>
      <c r="H181" t="str" cm="1">
        <f t="array" ref="H181">_xlfn.IFS(A181&lt;'Campaign Metadata'!$B$2,"Before CybertruckLaunch",'Engagement Summary'!A121&lt;='Campaign Metadata'!$C$2,"CybertruckLaunch",A181&lt;'Campaign Metadata'!$B$3,"Before ModelYCampaign",A181&lt;='Campaign Metadata'!$C$3,"ModelYCampaign",A181&lt;'Campaign Metadata'!$B$4,"Before FSDUpdate",A181&lt;='Campaign Metadata'!$C$4,FSDUpdate,A181&lt;'Campaign Metadata'!$B$5,Before SustainabilityDrive,A181&lt;'Campaign Metadata'!$C$5,"Sustainability Drive")</f>
        <v>Before FSDUpdate</v>
      </c>
      <c r="I181">
        <f t="shared" si="5"/>
        <v>1589</v>
      </c>
    </row>
    <row r="182" spans="1:9" x14ac:dyDescent="0.2">
      <c r="A182" s="21">
        <v>45656</v>
      </c>
      <c r="B182" s="13" t="s">
        <v>27</v>
      </c>
      <c r="C182" s="13">
        <v>1495</v>
      </c>
      <c r="D182" s="13">
        <v>35</v>
      </c>
      <c r="E182" s="13">
        <v>136845</v>
      </c>
      <c r="F182" s="13">
        <v>4.4800000000000004</v>
      </c>
      <c r="G182" s="15">
        <v>39931</v>
      </c>
      <c r="H182" t="str" cm="1">
        <f t="array" ref="H182">_xlfn.IFS(A182&lt;'Campaign Metadata'!$B$2,"Before CybertruckLaunch",'Engagement Summary'!A125&lt;='Campaign Metadata'!$C$2,"CybertruckLaunch",A182&lt;'Campaign Metadata'!$B$3,"Before ModelYCampaign",A182&lt;='Campaign Metadata'!$C$3,"ModelYCampaign",A182&lt;'Campaign Metadata'!$B$4,"Before FSDUpdate",A182&lt;='Campaign Metadata'!$C$4,"FSDUpdate",A182&lt;'Campaign Metadata'!$B$5,"Before SustainabilityDrive",A182&lt;'Campaign Metadata'!$C$5,"Sustainability Drive")</f>
        <v>FSDUpdate</v>
      </c>
      <c r="I182">
        <f t="shared" si="5"/>
        <v>1460</v>
      </c>
    </row>
    <row r="183" spans="1:9" x14ac:dyDescent="0.2">
      <c r="A183" s="21">
        <v>45663</v>
      </c>
      <c r="B183" s="13" t="s">
        <v>27</v>
      </c>
      <c r="C183" s="13">
        <v>891</v>
      </c>
      <c r="D183" s="13">
        <v>45</v>
      </c>
      <c r="E183" s="13">
        <v>95410</v>
      </c>
      <c r="F183" s="13">
        <v>8.33</v>
      </c>
      <c r="G183" s="15">
        <v>15045</v>
      </c>
      <c r="H183" t="str" cm="1">
        <f t="array" ref="H183">_xlfn.IFS(A183&lt;'Campaign Metadata'!$B$2,"Before CybertruckLaunch",'Engagement Summary'!A129&lt;='Campaign Metadata'!$C$2,"CybertruckLaunch",A183&lt;'Campaign Metadata'!$B$3,"Before ModelYCampaign",A183&lt;='Campaign Metadata'!$C$3,"ModelYCampaign",A183&lt;'Campaign Metadata'!$B$4,"Before FSDUpdate",A183&lt;='Campaign Metadata'!$C$4,"FSDUpdate",A183&lt;'Campaign Metadata'!$B$5,"Before SustainabilityDrive",A183&lt;'Campaign Metadata'!$C$5,"Sustainability Drive")</f>
        <v>FSDUpdate</v>
      </c>
      <c r="I183">
        <f t="shared" si="5"/>
        <v>846</v>
      </c>
    </row>
    <row r="184" spans="1:9" x14ac:dyDescent="0.2">
      <c r="A184" s="21">
        <v>45670</v>
      </c>
      <c r="B184" s="13" t="s">
        <v>27</v>
      </c>
      <c r="C184" s="13">
        <v>1331</v>
      </c>
      <c r="D184" s="13">
        <v>430</v>
      </c>
      <c r="E184" s="13">
        <v>14437</v>
      </c>
      <c r="F184" s="13">
        <v>3.29</v>
      </c>
      <c r="G184" s="15">
        <v>40868</v>
      </c>
      <c r="H184" t="str" cm="1">
        <f t="array" ref="H184">_xlfn.IFS(A184&lt;'Campaign Metadata'!$B$2,"Before CybertruckLaunch",'Engagement Summary'!A133&lt;='Campaign Metadata'!$C$2,"CybertruckLaunch",A184&lt;'Campaign Metadata'!$B$3,"Before ModelYCampaign",A184&lt;='Campaign Metadata'!$C$3,"ModelYCampaign",A184&lt;'Campaign Metadata'!$B$4,"Before FSDUpdate",A184&lt;='Campaign Metadata'!$C$4,"FSDUpdate",A184&lt;'Campaign Metadata'!$B$5,"Before SustainabilityDrive",A184&lt;'Campaign Metadata'!$C$5,"Sustainability Drive")</f>
        <v>Before SustainabilityDrive</v>
      </c>
      <c r="I184">
        <f t="shared" si="5"/>
        <v>901</v>
      </c>
    </row>
    <row r="185" spans="1:9" x14ac:dyDescent="0.2">
      <c r="A185" s="21">
        <v>45677</v>
      </c>
      <c r="B185" s="13" t="s">
        <v>27</v>
      </c>
      <c r="C185" s="13">
        <v>1166</v>
      </c>
      <c r="D185" s="13">
        <v>442</v>
      </c>
      <c r="E185" s="13">
        <v>336949</v>
      </c>
      <c r="F185" s="13">
        <v>4.68</v>
      </c>
      <c r="G185" s="15">
        <v>7705</v>
      </c>
      <c r="H185" t="str" cm="1">
        <f t="array" ref="H185">_xlfn.IFS(A185&lt;'Campaign Metadata'!$B$2,"Before CybertruckLaunch",'Engagement Summary'!A137&lt;='Campaign Metadata'!$C$2,"CybertruckLaunch",A185&lt;'Campaign Metadata'!$B$3,"Before ModelYCampaign",A185&lt;='Campaign Metadata'!$C$3,"ModelYCampaign",A185&lt;'Campaign Metadata'!$B$4,"Before FSDUpdate",A185&lt;='Campaign Metadata'!$C$4,"FSDUpdate",A185&lt;'Campaign Metadata'!$B$5,"Before SustainabilityDrive",A185&lt;'Campaign Metadata'!$C$5,"Sustainability Drive")</f>
        <v>Before SustainabilityDrive</v>
      </c>
      <c r="I185">
        <f t="shared" si="5"/>
        <v>724</v>
      </c>
    </row>
    <row r="186" spans="1:9" x14ac:dyDescent="0.2">
      <c r="A186" s="21">
        <v>45684</v>
      </c>
      <c r="B186" s="13" t="s">
        <v>27</v>
      </c>
      <c r="C186" s="13">
        <v>1411</v>
      </c>
      <c r="D186" s="13">
        <v>186</v>
      </c>
      <c r="E186" s="13">
        <v>461669</v>
      </c>
      <c r="F186" s="13">
        <v>3.72</v>
      </c>
      <c r="G186" s="15">
        <v>43999</v>
      </c>
      <c r="H186" t="str" cm="1">
        <f t="array" ref="H186">_xlfn.IFS(A186&lt;'Campaign Metadata'!$B$2,"Before CybertruckLaunch",'Engagement Summary'!A141&lt;='Campaign Metadata'!$C$2,"CybertruckLaunch",A186&lt;'Campaign Metadata'!$B$3,"Before ModelYCampaign",A186&lt;='Campaign Metadata'!$C$3,"ModelYCampaign",A186&lt;'Campaign Metadata'!$B$4,"Before FSDUpdate",A186&lt;='Campaign Metadata'!$C$4,"FSDUpdate",A186&lt;'Campaign Metadata'!$B$5,"Before SustainabilityDrive",A186&lt;'Campaign Metadata'!$C$5,"Sustainability Drive")</f>
        <v>Before SustainabilityDrive</v>
      </c>
      <c r="I186">
        <f t="shared" si="5"/>
        <v>1225</v>
      </c>
    </row>
    <row r="187" spans="1:9" x14ac:dyDescent="0.2">
      <c r="A187" s="21">
        <v>45691</v>
      </c>
      <c r="B187" s="13" t="s">
        <v>27</v>
      </c>
      <c r="C187" s="13">
        <v>152</v>
      </c>
      <c r="D187" s="13">
        <v>355</v>
      </c>
      <c r="E187" s="13">
        <v>270766</v>
      </c>
      <c r="F187" s="13">
        <v>9.48</v>
      </c>
      <c r="G187" s="15">
        <v>18001</v>
      </c>
      <c r="H187" t="str" cm="1">
        <f t="array" ref="H187">_xlfn.IFS(A187&lt;'Campaign Metadata'!$B$2,"Before CybertruckLaunch",'Engagement Summary'!A145&lt;='Campaign Metadata'!$C$2,"CybertruckLaunch",A187&lt;'Campaign Metadata'!$B$3,"Before ModelYCampaign",A187&lt;='Campaign Metadata'!$C$3,"ModelYCampaign",A187&lt;'Campaign Metadata'!$B$4,"Before FSDUpdate",A187&lt;='Campaign Metadata'!$C$4,"FSDUpdate",A187&lt;'Campaign Metadata'!$B$5,"Before SustainabilityDrive",A187&lt;'Campaign Metadata'!$C$5,"Sustainability Drive")</f>
        <v>Before SustainabilityDrive</v>
      </c>
      <c r="I187">
        <f t="shared" si="5"/>
        <v>-203</v>
      </c>
    </row>
    <row r="188" spans="1:9" x14ac:dyDescent="0.2">
      <c r="A188" s="21">
        <v>45698</v>
      </c>
      <c r="B188" s="13" t="s">
        <v>27</v>
      </c>
      <c r="C188" s="13">
        <v>1707</v>
      </c>
      <c r="D188" s="13">
        <v>263</v>
      </c>
      <c r="E188" s="13">
        <v>485280</v>
      </c>
      <c r="F188" s="13">
        <v>9.0299999999999994</v>
      </c>
      <c r="G188" s="15">
        <v>24494</v>
      </c>
      <c r="H188" t="str" cm="1">
        <f t="array" ref="H188">_xlfn.IFS(A188&lt;'Campaign Metadata'!$B$2,"Before CybertruckLaunch",'Engagement Summary'!A149&lt;='Campaign Metadata'!$C$2,"CybertruckLaunch",A188&lt;'Campaign Metadata'!$B$3,"Before ModelYCampaign",A188&lt;='Campaign Metadata'!$C$3,"ModelYCampaign",A188&lt;'Campaign Metadata'!$B$4,"Before FSDUpdate",A188&lt;='Campaign Metadata'!$C$4,"FSDUpdate",A188&lt;'Campaign Metadata'!$B$5,"Before SustainabilityDrive",A188&lt;'Campaign Metadata'!$C$5,"Sustainability Drive")</f>
        <v>Before SustainabilityDrive</v>
      </c>
      <c r="I188">
        <f t="shared" si="5"/>
        <v>1444</v>
      </c>
    </row>
    <row r="189" spans="1:9" x14ac:dyDescent="0.2">
      <c r="A189" s="21">
        <v>45705</v>
      </c>
      <c r="B189" s="13" t="s">
        <v>27</v>
      </c>
      <c r="C189" s="13">
        <v>1662</v>
      </c>
      <c r="D189" s="13">
        <v>487</v>
      </c>
      <c r="E189" s="13">
        <v>105980</v>
      </c>
      <c r="F189" s="13">
        <v>9.08</v>
      </c>
      <c r="G189" s="15">
        <v>22996</v>
      </c>
      <c r="H189" t="str" cm="1">
        <f t="array" ref="H189">_xlfn.IFS(A189&lt;'Campaign Metadata'!$B$2,"Before CybertruckLaunch",'Engagement Summary'!A153&lt;='Campaign Metadata'!$C$2,"CybertruckLaunch",A189&lt;'Campaign Metadata'!$B$3,"Before ModelYCampaign",A189&lt;='Campaign Metadata'!$C$3,"ModelYCampaign",A189&lt;'Campaign Metadata'!$B$4,"Before FSDUpdate",A189&lt;='Campaign Metadata'!$C$4,"FSDUpdate",A189&lt;'Campaign Metadata'!$B$5,"Before SustainabilityDrive",A189&lt;'Campaign Metadata'!$C$5,"Sustainability Drive")</f>
        <v>CybertruckLaunch</v>
      </c>
      <c r="I189">
        <f t="shared" si="5"/>
        <v>1175</v>
      </c>
    </row>
    <row r="190" spans="1:9" x14ac:dyDescent="0.2">
      <c r="A190" s="21">
        <v>45712</v>
      </c>
      <c r="B190" s="13" t="s">
        <v>27</v>
      </c>
      <c r="C190" s="13">
        <v>1063</v>
      </c>
      <c r="D190" s="13">
        <v>47</v>
      </c>
      <c r="E190" s="13">
        <v>464239</v>
      </c>
      <c r="F190" s="13">
        <v>6.58</v>
      </c>
      <c r="G190" s="15">
        <v>39031</v>
      </c>
      <c r="H190" t="str" cm="1">
        <f t="array" ref="H190">_xlfn.IFS(A190&lt;'Campaign Metadata'!$B$2,"Before CybertruckLaunch",'Engagement Summary'!A157&lt;='Campaign Metadata'!$C$2,"CybertruckLaunch",A190&lt;'Campaign Metadata'!$B$3,"Before ModelYCampaign",A190&lt;='Campaign Metadata'!$C$3,"ModelYCampaign",A190&lt;'Campaign Metadata'!$B$4,"Before FSDUpdate",A190&lt;='Campaign Metadata'!$C$4,"FSDUpdate",A190&lt;'Campaign Metadata'!$B$5,"Before SustainabilityDrive",A190&lt;'Campaign Metadata'!$C$5,"Sustainability Drive")</f>
        <v>CybertruckLaunch</v>
      </c>
      <c r="I190">
        <f t="shared" si="5"/>
        <v>1016</v>
      </c>
    </row>
    <row r="191" spans="1:9" x14ac:dyDescent="0.2">
      <c r="A191" s="21">
        <v>45719</v>
      </c>
      <c r="B191" s="13" t="s">
        <v>27</v>
      </c>
      <c r="C191" s="13">
        <v>510</v>
      </c>
      <c r="D191" s="13">
        <v>195</v>
      </c>
      <c r="E191" s="13">
        <v>224534</v>
      </c>
      <c r="F191" s="13">
        <v>9.4</v>
      </c>
      <c r="G191" s="15">
        <v>30987</v>
      </c>
      <c r="H191" t="str" cm="1">
        <f t="array" ref="H191">_xlfn.IFS(A191&lt;'Campaign Metadata'!$B$2,"Before CybertruckLaunch",'Engagement Summary'!A161&lt;='Campaign Metadata'!$C$2,"CybertruckLaunch",A191&lt;'Campaign Metadata'!$B$3,"Before ModelYCampaign",A191&lt;='Campaign Metadata'!$C$3,"ModelYCampaign",A191&lt;'Campaign Metadata'!$B$4,"Before FSDUpdate",A191&lt;='Campaign Metadata'!$C$4,"FSDUpdate",A191&lt;'Campaign Metadata'!$B$5,"Before SustainabilityDrive",A191&lt;'Campaign Metadata'!$C$5,"Sustainability Drive")</f>
        <v>Sustainability Drive</v>
      </c>
      <c r="I191">
        <f t="shared" si="5"/>
        <v>315</v>
      </c>
    </row>
    <row r="192" spans="1:9" x14ac:dyDescent="0.2">
      <c r="A192" s="21">
        <v>45726</v>
      </c>
      <c r="B192" s="13" t="s">
        <v>27</v>
      </c>
      <c r="C192" s="13">
        <v>1658</v>
      </c>
      <c r="D192" s="13">
        <v>416</v>
      </c>
      <c r="E192" s="13">
        <v>98397</v>
      </c>
      <c r="F192" s="13">
        <v>6.11</v>
      </c>
      <c r="G192" s="15">
        <v>11383</v>
      </c>
      <c r="H192" t="str" cm="1">
        <f t="array" ref="H192">_xlfn.IFS(A192&lt;'Campaign Metadata'!$B$2,"Before CybertruckLaunch",'Engagement Summary'!A165&lt;='Campaign Metadata'!$C$2,"CybertruckLaunch",A192&lt;'Campaign Metadata'!$B$3,"Before ModelYCampaign",A192&lt;='Campaign Metadata'!$C$3,"ModelYCampaign",A192&lt;'Campaign Metadata'!$B$4,"Before FSDUpdate",A192&lt;='Campaign Metadata'!$C$4,"FSDUpdate",A192&lt;'Campaign Metadata'!$B$5,"Before SustainabilityDrive",A192&lt;'Campaign Metadata'!$C$5,"Sustainability Drive")</f>
        <v>Sustainability Drive</v>
      </c>
      <c r="I192">
        <f t="shared" si="5"/>
        <v>1242</v>
      </c>
    </row>
    <row r="193" spans="1:9" x14ac:dyDescent="0.2">
      <c r="A193" s="21">
        <v>45733</v>
      </c>
      <c r="B193" s="13" t="s">
        <v>27</v>
      </c>
      <c r="C193" s="13">
        <v>1596</v>
      </c>
      <c r="D193" s="13">
        <v>211</v>
      </c>
      <c r="E193" s="13">
        <v>17380</v>
      </c>
      <c r="F193" s="13">
        <v>8.64</v>
      </c>
      <c r="G193" s="15">
        <v>35801</v>
      </c>
      <c r="H193" t="str" cm="1">
        <f t="array" ref="H193">_xlfn.IFS(A193&lt;'Campaign Metadata'!$B$2,"Before CybertruckLaunch",'Engagement Summary'!A169&lt;='Campaign Metadata'!$C$2,"CybertruckLaunch",A193&lt;'Campaign Metadata'!$B$3,"Before ModelYCampaign",A193&lt;='Campaign Metadata'!$C$3,"ModelYCampaign",A193&lt;'Campaign Metadata'!$B$4,"Before FSDUpdate",A193&lt;='Campaign Metadata'!$C$4,"FSDUpdate",A193&lt;'Campaign Metadata'!$B$5,"Before SustainabilityDrive",A193&lt;'Campaign Metadata'!$C$5,"Sustainability Drive")</f>
        <v>Sustainability Drive</v>
      </c>
      <c r="I193">
        <f t="shared" si="5"/>
        <v>1385</v>
      </c>
    </row>
    <row r="194" spans="1:9" x14ac:dyDescent="0.2">
      <c r="A194" s="21">
        <v>45740</v>
      </c>
      <c r="B194" s="13" t="s">
        <v>27</v>
      </c>
      <c r="C194" s="13">
        <v>442</v>
      </c>
      <c r="D194" s="13">
        <v>53</v>
      </c>
      <c r="E194" s="13">
        <v>441931</v>
      </c>
      <c r="F194" s="13">
        <v>1.87</v>
      </c>
      <c r="G194" s="15">
        <v>20059</v>
      </c>
      <c r="H194" t="str" cm="1">
        <f t="array" ref="H194">_xlfn.IFS(A194&lt;'Campaign Metadata'!$B$2,"Before CybertruckLaunch",'Engagement Summary'!A173&lt;='Campaign Metadata'!$C$2,"CybertruckLaunch",A194&lt;'Campaign Metadata'!$B$3,"Before ModelYCampaign",A194&lt;='Campaign Metadata'!$C$3,"ModelYCampaign",A194&lt;'Campaign Metadata'!$B$4,"Before FSDUpdate",A194&lt;='Campaign Metadata'!$C$4,"FSDUpdate",A194&lt;'Campaign Metadata'!$B$5,"Before SustainabilityDrive",A194&lt;'Campaign Metadata'!$C$5,"Sustainability Drive")</f>
        <v>Sustainability Drive</v>
      </c>
      <c r="I194">
        <f t="shared" ref="I194:I201" si="6">C194-D194</f>
        <v>389</v>
      </c>
    </row>
    <row r="195" spans="1:9" x14ac:dyDescent="0.2">
      <c r="A195" s="21">
        <v>45747</v>
      </c>
      <c r="B195" s="13" t="s">
        <v>27</v>
      </c>
      <c r="C195" s="13">
        <v>1957</v>
      </c>
      <c r="D195" s="13">
        <v>490</v>
      </c>
      <c r="E195" s="13">
        <v>435726</v>
      </c>
      <c r="F195" s="13">
        <v>4.7300000000000004</v>
      </c>
      <c r="G195" s="15">
        <v>15969</v>
      </c>
      <c r="H195" t="e" cm="1">
        <f t="array" ref="H195">_xlfn.IFS(A195&lt;'Campaign Metadata'!$B$2,"Before CybertruckLaunch",'Engagement Summary'!A177&lt;='Campaign Metadata'!$C$2,"CybertruckLaunch",A195&lt;'Campaign Metadata'!$B$3,"Before ModelYCampaign",A195&lt;='Campaign Metadata'!$C$3,"ModelYCampaign",A195&lt;'Campaign Metadata'!$B$4,"Before FSDUpdate",A195&lt;='Campaign Metadata'!$C$4,"FSDUpdate",A195&lt;'Campaign Metadata'!$B$5,"Before SustainabilityDrive",A195&lt;'Campaign Metadata'!$C$5,"Sustainability Drive")</f>
        <v>#N/A</v>
      </c>
      <c r="I195">
        <f t="shared" si="6"/>
        <v>1467</v>
      </c>
    </row>
    <row r="196" spans="1:9" x14ac:dyDescent="0.2">
      <c r="A196" s="21">
        <v>45754</v>
      </c>
      <c r="B196" s="13" t="s">
        <v>27</v>
      </c>
      <c r="C196" s="13">
        <v>623</v>
      </c>
      <c r="D196" s="13">
        <v>414</v>
      </c>
      <c r="E196" s="13">
        <v>290354</v>
      </c>
      <c r="F196" s="13">
        <v>6.49</v>
      </c>
      <c r="G196" s="15">
        <v>39923</v>
      </c>
      <c r="H196" t="e" cm="1">
        <f t="array" ref="H196">_xlfn.IFS(A196&lt;'Campaign Metadata'!$B$2,"Before CybertruckLaunch",'Engagement Summary'!A181&lt;='Campaign Metadata'!$C$2,"CybertruckLaunch",A196&lt;'Campaign Metadata'!$B$3,"Before ModelYCampaign",A196&lt;='Campaign Metadata'!$C$3,"ModelYCampaign",A196&lt;'Campaign Metadata'!$B$4,"Before FSDUpdate",A196&lt;='Campaign Metadata'!$C$4,"FSDUpdate",A196&lt;'Campaign Metadata'!$B$5,"Before SustainabilityDrive",A196&lt;'Campaign Metadata'!$C$5,"Sustainability Drive")</f>
        <v>#N/A</v>
      </c>
      <c r="I196">
        <f t="shared" si="6"/>
        <v>209</v>
      </c>
    </row>
    <row r="197" spans="1:9" x14ac:dyDescent="0.2">
      <c r="A197" s="21">
        <v>45761</v>
      </c>
      <c r="B197" s="13" t="s">
        <v>27</v>
      </c>
      <c r="C197" s="13">
        <v>520</v>
      </c>
      <c r="D197" s="13">
        <v>375</v>
      </c>
      <c r="E197" s="13">
        <v>369525</v>
      </c>
      <c r="F197" s="13">
        <v>6.54</v>
      </c>
      <c r="G197" s="15">
        <v>20733</v>
      </c>
      <c r="H197" t="e" cm="1">
        <f t="array" ref="H197">_xlfn.IFS(A197&lt;'Campaign Metadata'!$B$2,"Before CybertruckLaunch",'Engagement Summary'!A185&lt;='Campaign Metadata'!$C$2,"CybertruckLaunch",A197&lt;'Campaign Metadata'!$B$3,"Before ModelYCampaign",A197&lt;='Campaign Metadata'!$C$3,"ModelYCampaign",A197&lt;'Campaign Metadata'!$B$4,"Before FSDUpdate",A197&lt;='Campaign Metadata'!$C$4,"FSDUpdate",A197&lt;'Campaign Metadata'!$B$5,"Before SustainabilityDrive",A197&lt;'Campaign Metadata'!$C$5,"Sustainability Drive")</f>
        <v>#N/A</v>
      </c>
      <c r="I197">
        <f t="shared" si="6"/>
        <v>145</v>
      </c>
    </row>
    <row r="198" spans="1:9" x14ac:dyDescent="0.2">
      <c r="A198" s="21">
        <v>45768</v>
      </c>
      <c r="B198" s="13" t="s">
        <v>27</v>
      </c>
      <c r="C198" s="13">
        <v>1707</v>
      </c>
      <c r="D198" s="13">
        <v>74</v>
      </c>
      <c r="E198" s="13">
        <v>270958</v>
      </c>
      <c r="F198" s="13">
        <v>3.09</v>
      </c>
      <c r="G198" s="15">
        <v>14090</v>
      </c>
      <c r="H198" t="e" cm="1">
        <f t="array" ref="H198">_xlfn.IFS(A198&lt;'Campaign Metadata'!$B$2,"Before CybertruckLaunch",'Engagement Summary'!A189&lt;='Campaign Metadata'!$C$2,"CybertruckLaunch",A198&lt;'Campaign Metadata'!$B$3,"Before ModelYCampaign",A198&lt;='Campaign Metadata'!$C$3,"ModelYCampaign",A198&lt;'Campaign Metadata'!$B$4,"Before FSDUpdate",A198&lt;='Campaign Metadata'!$C$4,"FSDUpdate",A198&lt;'Campaign Metadata'!$B$5,"Before SustainabilityDrive",A198&lt;'Campaign Metadata'!$C$5,"Sustainability Drive")</f>
        <v>#N/A</v>
      </c>
      <c r="I198">
        <f t="shared" si="6"/>
        <v>1633</v>
      </c>
    </row>
    <row r="199" spans="1:9" x14ac:dyDescent="0.2">
      <c r="A199" s="21">
        <v>45775</v>
      </c>
      <c r="B199" s="13" t="s">
        <v>27</v>
      </c>
      <c r="C199" s="13">
        <v>777</v>
      </c>
      <c r="D199" s="13">
        <v>140</v>
      </c>
      <c r="E199" s="13">
        <v>11435</v>
      </c>
      <c r="F199" s="13">
        <v>1.6</v>
      </c>
      <c r="G199" s="15">
        <v>6832</v>
      </c>
      <c r="H199" t="e" cm="1">
        <f t="array" ref="H199">_xlfn.IFS(A199&lt;'Campaign Metadata'!$B$2,"Before CybertruckLaunch",'Engagement Summary'!A193&lt;='Campaign Metadata'!$C$2,"CybertruckLaunch",A199&lt;'Campaign Metadata'!$B$3,"Before ModelYCampaign",A199&lt;='Campaign Metadata'!$C$3,"ModelYCampaign",A199&lt;'Campaign Metadata'!$B$4,"Before FSDUpdate",A199&lt;='Campaign Metadata'!$C$4,"FSDUpdate",A199&lt;'Campaign Metadata'!$B$5,"Before SustainabilityDrive",A199&lt;'Campaign Metadata'!$C$5,"Sustainability Drive")</f>
        <v>#N/A</v>
      </c>
      <c r="I199">
        <f t="shared" si="6"/>
        <v>637</v>
      </c>
    </row>
    <row r="200" spans="1:9" x14ac:dyDescent="0.2">
      <c r="A200" s="21">
        <v>45782</v>
      </c>
      <c r="B200" s="13" t="s">
        <v>27</v>
      </c>
      <c r="C200" s="13">
        <v>1035</v>
      </c>
      <c r="D200" s="13">
        <v>171</v>
      </c>
      <c r="E200" s="13">
        <v>148477</v>
      </c>
      <c r="F200" s="13">
        <v>5.21</v>
      </c>
      <c r="G200" s="15">
        <v>7541</v>
      </c>
      <c r="H200" t="e" cm="1">
        <f t="array" ref="H200">_xlfn.IFS(A200&lt;'Campaign Metadata'!$B$2,"Before CybertruckLaunch",'Engagement Summary'!A197&lt;='Campaign Metadata'!$C$2,"CybertruckLaunch",A200&lt;'Campaign Metadata'!$B$3,"Before ModelYCampaign",A200&lt;='Campaign Metadata'!$C$3,"ModelYCampaign",A200&lt;'Campaign Metadata'!$B$4,"Before FSDUpdate",A200&lt;='Campaign Metadata'!$C$4,"FSDUpdate",A200&lt;'Campaign Metadata'!$B$5,"Before SustainabilityDrive",A200&lt;'Campaign Metadata'!$C$5,"Sustainability Drive")</f>
        <v>#N/A</v>
      </c>
      <c r="I200">
        <f t="shared" si="6"/>
        <v>864</v>
      </c>
    </row>
    <row r="201" spans="1:9" x14ac:dyDescent="0.2">
      <c r="A201" s="21">
        <v>45789</v>
      </c>
      <c r="B201" s="13" t="s">
        <v>27</v>
      </c>
      <c r="C201" s="13">
        <v>119</v>
      </c>
      <c r="D201" s="13">
        <v>456</v>
      </c>
      <c r="E201" s="13">
        <v>82558</v>
      </c>
      <c r="F201" s="13">
        <v>6.81</v>
      </c>
      <c r="G201" s="15">
        <v>12174</v>
      </c>
      <c r="H201" t="e" cm="1">
        <f t="array" ref="H201">_xlfn.IFS(A201&lt;'Campaign Metadata'!$B$2,"Before CybertruckLaunch",'Engagement Summary'!A201&lt;='Campaign Metadata'!$C$2,"CybertruckLaunch",A201&lt;'Campaign Metadata'!$B$3,"Before ModelYCampaign",A201&lt;='Campaign Metadata'!$C$3,"ModelYCampaign",A201&lt;'Campaign Metadata'!$B$4,"Before FSDUpdate",A201&lt;='Campaign Metadata'!$C$4,"FSDUpdate",A201&lt;'Campaign Metadata'!$B$5,"Before SustainabilityDrive",A201&lt;'Campaign Metadata'!$C$5,"Sustainability Drive")</f>
        <v>#N/A</v>
      </c>
      <c r="I201">
        <f t="shared" si="6"/>
        <v>-337</v>
      </c>
    </row>
    <row r="202" spans="1:9" x14ac:dyDescent="0.2">
      <c r="A202" s="20"/>
      <c r="B202" s="9"/>
      <c r="C202" s="9"/>
      <c r="D202" s="9"/>
      <c r="E202" s="9"/>
      <c r="F202" s="9"/>
      <c r="G202" s="11"/>
    </row>
    <row r="203" spans="1:9" x14ac:dyDescent="0.2">
      <c r="A203" s="21"/>
      <c r="B203" s="13"/>
      <c r="C203" s="13"/>
      <c r="D203" s="13"/>
      <c r="E203" s="13"/>
      <c r="F203" s="13"/>
      <c r="G203" s="15"/>
    </row>
    <row r="204" spans="1:9" x14ac:dyDescent="0.2">
      <c r="A204" s="20"/>
      <c r="B204" s="9"/>
      <c r="C204" s="9"/>
      <c r="D204" s="9"/>
      <c r="E204" s="9"/>
      <c r="F204" s="9"/>
      <c r="G204" s="11"/>
    </row>
    <row r="205" spans="1:9" x14ac:dyDescent="0.2">
      <c r="A205" s="21"/>
      <c r="B205" s="13"/>
      <c r="C205" s="13"/>
      <c r="D205" s="13"/>
      <c r="E205" s="13"/>
      <c r="F205" s="13"/>
      <c r="G205" s="15"/>
    </row>
    <row r="206" spans="1:9" x14ac:dyDescent="0.2">
      <c r="A206" s="20"/>
      <c r="B206" s="9"/>
      <c r="C206" s="9"/>
      <c r="D206" s="9"/>
      <c r="E206" s="9"/>
      <c r="F206" s="9"/>
      <c r="G206" s="11"/>
    </row>
    <row r="207" spans="1:9" x14ac:dyDescent="0.2">
      <c r="A207" s="21"/>
      <c r="B207" s="13"/>
      <c r="C207" s="13"/>
      <c r="D207" s="13"/>
      <c r="E207" s="13"/>
      <c r="F207" s="13"/>
      <c r="G207" s="15"/>
    </row>
    <row r="208" spans="1:9" x14ac:dyDescent="0.2">
      <c r="A208" s="20"/>
      <c r="B208" s="9"/>
      <c r="C208" s="9"/>
      <c r="D208" s="9"/>
      <c r="E208" s="9"/>
      <c r="F208" s="9"/>
      <c r="G208" s="11"/>
    </row>
    <row r="209" spans="1:7" x14ac:dyDescent="0.2">
      <c r="A209" s="21"/>
      <c r="B209" s="13"/>
      <c r="C209" s="13"/>
      <c r="D209" s="13"/>
      <c r="E209" s="13"/>
      <c r="F209" s="13"/>
      <c r="G209" s="15"/>
    </row>
    <row r="210" spans="1:7" x14ac:dyDescent="0.2">
      <c r="A210" s="20"/>
      <c r="B210" s="9"/>
      <c r="C210" s="9"/>
      <c r="D210" s="9"/>
      <c r="E210" s="9"/>
      <c r="F210" s="9"/>
      <c r="G210" s="11"/>
    </row>
    <row r="211" spans="1:7" x14ac:dyDescent="0.2">
      <c r="A211" s="21"/>
      <c r="B211" s="13"/>
      <c r="C211" s="13"/>
      <c r="D211" s="13"/>
      <c r="E211" s="13"/>
      <c r="F211" s="13"/>
      <c r="G211" s="15"/>
    </row>
    <row r="212" spans="1:7" x14ac:dyDescent="0.2">
      <c r="A212" s="20"/>
      <c r="B212" s="9"/>
      <c r="C212" s="9"/>
      <c r="D212" s="9"/>
      <c r="E212" s="9"/>
      <c r="F212" s="9"/>
      <c r="G212" s="11"/>
    </row>
    <row r="213" spans="1:7" x14ac:dyDescent="0.2">
      <c r="A213" s="21"/>
      <c r="B213" s="13"/>
      <c r="C213" s="13"/>
      <c r="D213" s="13"/>
      <c r="E213" s="13"/>
      <c r="F213" s="13"/>
      <c r="G213" s="15"/>
    </row>
    <row r="214" spans="1:7" x14ac:dyDescent="0.2">
      <c r="A214" s="20"/>
      <c r="B214" s="9"/>
      <c r="C214" s="9"/>
      <c r="D214" s="9"/>
      <c r="E214" s="9"/>
      <c r="F214" s="9"/>
      <c r="G214" s="11"/>
    </row>
    <row r="215" spans="1:7" x14ac:dyDescent="0.2">
      <c r="A215" s="21"/>
      <c r="B215" s="13"/>
      <c r="C215" s="13"/>
      <c r="D215" s="13"/>
      <c r="E215" s="13"/>
      <c r="F215" s="13"/>
      <c r="G215" s="15"/>
    </row>
    <row r="216" spans="1:7" x14ac:dyDescent="0.2">
      <c r="A216" s="20"/>
      <c r="B216" s="9"/>
      <c r="C216" s="9"/>
      <c r="D216" s="9"/>
      <c r="E216" s="9"/>
      <c r="F216" s="9"/>
      <c r="G216" s="11"/>
    </row>
    <row r="217" spans="1:7" x14ac:dyDescent="0.2">
      <c r="A217" s="21"/>
      <c r="B217" s="13"/>
      <c r="C217" s="13"/>
      <c r="D217" s="13"/>
      <c r="E217" s="13"/>
      <c r="F217" s="13"/>
      <c r="G217" s="15"/>
    </row>
    <row r="218" spans="1:7" x14ac:dyDescent="0.2">
      <c r="A218" s="20"/>
      <c r="B218" s="9"/>
      <c r="C218" s="9"/>
      <c r="D218" s="9"/>
      <c r="E218" s="9"/>
      <c r="F218" s="9"/>
      <c r="G218" s="11"/>
    </row>
    <row r="219" spans="1:7" x14ac:dyDescent="0.2">
      <c r="A219" s="21"/>
      <c r="B219" s="13"/>
      <c r="C219" s="13"/>
      <c r="D219" s="13"/>
      <c r="E219" s="13"/>
      <c r="F219" s="13"/>
      <c r="G219" s="15"/>
    </row>
    <row r="220" spans="1:7" x14ac:dyDescent="0.2">
      <c r="A220" s="20"/>
      <c r="B220" s="9"/>
      <c r="C220" s="9"/>
      <c r="D220" s="9"/>
      <c r="E220" s="9"/>
      <c r="F220" s="9"/>
      <c r="G220" s="11"/>
    </row>
    <row r="221" spans="1:7" x14ac:dyDescent="0.2">
      <c r="A221" s="21"/>
      <c r="B221" s="13"/>
      <c r="C221" s="13"/>
      <c r="D221" s="13"/>
      <c r="E221" s="13"/>
      <c r="F221" s="13"/>
      <c r="G221" s="15"/>
    </row>
    <row r="222" spans="1:7" x14ac:dyDescent="0.2">
      <c r="A222" s="20"/>
      <c r="B222" s="9"/>
      <c r="C222" s="9"/>
      <c r="D222" s="9"/>
      <c r="E222" s="9"/>
      <c r="F222" s="9"/>
      <c r="G222" s="11"/>
    </row>
    <row r="223" spans="1:7" x14ac:dyDescent="0.2">
      <c r="A223" s="21"/>
      <c r="B223" s="13"/>
      <c r="C223" s="13"/>
      <c r="D223" s="13"/>
      <c r="E223" s="13"/>
      <c r="F223" s="13"/>
      <c r="G223" s="15"/>
    </row>
    <row r="224" spans="1:7" x14ac:dyDescent="0.2">
      <c r="A224" s="20"/>
      <c r="B224" s="9"/>
      <c r="C224" s="9"/>
      <c r="D224" s="9"/>
      <c r="E224" s="9"/>
      <c r="F224" s="9"/>
      <c r="G224" s="11"/>
    </row>
    <row r="225" spans="1:7" x14ac:dyDescent="0.2">
      <c r="A225" s="21"/>
      <c r="B225" s="13"/>
      <c r="C225" s="13"/>
      <c r="D225" s="13"/>
      <c r="E225" s="13"/>
      <c r="F225" s="13"/>
      <c r="G225" s="15"/>
    </row>
    <row r="226" spans="1:7" x14ac:dyDescent="0.2">
      <c r="A226" s="20"/>
      <c r="B226" s="9"/>
      <c r="C226" s="9"/>
      <c r="D226" s="9"/>
      <c r="E226" s="9"/>
      <c r="F226" s="9"/>
      <c r="G226" s="11"/>
    </row>
    <row r="227" spans="1:7" x14ac:dyDescent="0.2">
      <c r="A227" s="21"/>
      <c r="B227" s="13"/>
      <c r="C227" s="13"/>
      <c r="D227" s="13"/>
      <c r="E227" s="13"/>
      <c r="F227" s="13"/>
      <c r="G227" s="15"/>
    </row>
    <row r="228" spans="1:7" x14ac:dyDescent="0.2">
      <c r="A228" s="20"/>
      <c r="B228" s="9"/>
      <c r="C228" s="9"/>
      <c r="D228" s="9"/>
      <c r="E228" s="9"/>
      <c r="F228" s="9"/>
      <c r="G228" s="11"/>
    </row>
    <row r="229" spans="1:7" x14ac:dyDescent="0.2">
      <c r="A229" s="21"/>
      <c r="B229" s="13"/>
      <c r="C229" s="13"/>
      <c r="D229" s="13"/>
      <c r="E229" s="13"/>
      <c r="F229" s="13"/>
      <c r="G229" s="15"/>
    </row>
    <row r="230" spans="1:7" x14ac:dyDescent="0.2">
      <c r="A230" s="20"/>
      <c r="B230" s="9"/>
      <c r="C230" s="9"/>
      <c r="D230" s="9"/>
      <c r="E230" s="9"/>
      <c r="F230" s="9"/>
      <c r="G230" s="11"/>
    </row>
    <row r="231" spans="1:7" x14ac:dyDescent="0.2">
      <c r="A231" s="21"/>
      <c r="B231" s="13"/>
      <c r="C231" s="13"/>
      <c r="D231" s="13"/>
      <c r="E231" s="13"/>
      <c r="F231" s="13"/>
      <c r="G231" s="15"/>
    </row>
    <row r="232" spans="1:7" x14ac:dyDescent="0.2">
      <c r="A232" s="20"/>
      <c r="B232" s="9"/>
      <c r="C232" s="9"/>
      <c r="D232" s="9"/>
      <c r="E232" s="9"/>
      <c r="F232" s="9"/>
      <c r="G232" s="11"/>
    </row>
    <row r="233" spans="1:7" x14ac:dyDescent="0.2">
      <c r="A233" s="21"/>
      <c r="B233" s="13"/>
      <c r="C233" s="13"/>
      <c r="D233" s="13"/>
      <c r="E233" s="13"/>
      <c r="F233" s="13"/>
      <c r="G233" s="15"/>
    </row>
    <row r="234" spans="1:7" x14ac:dyDescent="0.2">
      <c r="A234" s="20"/>
      <c r="B234" s="9"/>
      <c r="C234" s="9"/>
      <c r="D234" s="9"/>
      <c r="E234" s="9"/>
      <c r="F234" s="9"/>
      <c r="G234" s="11"/>
    </row>
    <row r="235" spans="1:7" x14ac:dyDescent="0.2">
      <c r="A235" s="21"/>
      <c r="B235" s="13"/>
      <c r="C235" s="13"/>
      <c r="D235" s="13"/>
      <c r="E235" s="13"/>
      <c r="F235" s="13"/>
      <c r="G235" s="15"/>
    </row>
    <row r="236" spans="1:7" x14ac:dyDescent="0.2">
      <c r="A236" s="20"/>
      <c r="B236" s="9"/>
      <c r="C236" s="9"/>
      <c r="D236" s="9"/>
      <c r="E236" s="9"/>
      <c r="F236" s="9"/>
      <c r="G236" s="11"/>
    </row>
    <row r="237" spans="1:7" x14ac:dyDescent="0.2">
      <c r="A237" s="21"/>
      <c r="B237" s="13"/>
      <c r="C237" s="13"/>
      <c r="D237" s="13"/>
      <c r="E237" s="13"/>
      <c r="F237" s="13"/>
      <c r="G237" s="15"/>
    </row>
    <row r="238" spans="1:7" x14ac:dyDescent="0.2">
      <c r="A238" s="20"/>
      <c r="B238" s="9"/>
      <c r="C238" s="9"/>
      <c r="D238" s="9"/>
      <c r="E238" s="9"/>
      <c r="F238" s="9"/>
      <c r="G238" s="11"/>
    </row>
    <row r="239" spans="1:7" x14ac:dyDescent="0.2">
      <c r="A239" s="21"/>
      <c r="B239" s="13"/>
      <c r="C239" s="13"/>
      <c r="D239" s="13"/>
      <c r="E239" s="13"/>
      <c r="F239" s="13"/>
      <c r="G239" s="15"/>
    </row>
    <row r="240" spans="1:7" x14ac:dyDescent="0.2">
      <c r="A240" s="20"/>
      <c r="B240" s="9"/>
      <c r="C240" s="9"/>
      <c r="D240" s="9"/>
      <c r="E240" s="9"/>
      <c r="F240" s="9"/>
      <c r="G240" s="11"/>
    </row>
    <row r="241" spans="1:7" x14ac:dyDescent="0.2">
      <c r="A241" s="21"/>
      <c r="B241" s="13"/>
      <c r="C241" s="13"/>
      <c r="D241" s="13"/>
      <c r="E241" s="13"/>
      <c r="F241" s="13"/>
      <c r="G241" s="15"/>
    </row>
    <row r="242" spans="1:7" x14ac:dyDescent="0.2">
      <c r="A242" s="20"/>
      <c r="B242" s="9"/>
      <c r="C242" s="9"/>
      <c r="D242" s="9"/>
      <c r="E242" s="9"/>
      <c r="F242" s="9"/>
      <c r="G242" s="11"/>
    </row>
    <row r="243" spans="1:7" x14ac:dyDescent="0.2">
      <c r="A243" s="21"/>
      <c r="B243" s="13"/>
      <c r="C243" s="13"/>
      <c r="D243" s="13"/>
      <c r="E243" s="13"/>
      <c r="F243" s="13"/>
      <c r="G243" s="15"/>
    </row>
    <row r="244" spans="1:7" x14ac:dyDescent="0.2">
      <c r="A244" s="20"/>
      <c r="B244" s="9"/>
      <c r="C244" s="9"/>
      <c r="D244" s="9"/>
      <c r="E244" s="9"/>
      <c r="F244" s="9"/>
      <c r="G244" s="11"/>
    </row>
    <row r="245" spans="1:7" x14ac:dyDescent="0.2">
      <c r="A245" s="21"/>
      <c r="B245" s="13"/>
      <c r="C245" s="13"/>
      <c r="D245" s="13"/>
      <c r="E245" s="13"/>
      <c r="F245" s="13"/>
      <c r="G245" s="15"/>
    </row>
    <row r="246" spans="1:7" x14ac:dyDescent="0.2">
      <c r="A246" s="20"/>
      <c r="B246" s="9"/>
      <c r="C246" s="9"/>
      <c r="D246" s="9"/>
      <c r="E246" s="9"/>
      <c r="F246" s="9"/>
      <c r="G246" s="11"/>
    </row>
    <row r="247" spans="1:7" x14ac:dyDescent="0.2">
      <c r="A247" s="21"/>
      <c r="B247" s="13"/>
      <c r="C247" s="13"/>
      <c r="D247" s="13"/>
      <c r="E247" s="13"/>
      <c r="F247" s="13"/>
      <c r="G247" s="15"/>
    </row>
    <row r="248" spans="1:7" x14ac:dyDescent="0.2">
      <c r="A248" s="20"/>
      <c r="B248" s="9"/>
      <c r="C248" s="9"/>
      <c r="D248" s="9"/>
      <c r="E248" s="9"/>
      <c r="F248" s="9"/>
      <c r="G248" s="11"/>
    </row>
    <row r="249" spans="1:7" x14ac:dyDescent="0.2">
      <c r="A249" s="21"/>
      <c r="B249" s="13"/>
      <c r="C249" s="13"/>
      <c r="D249" s="13"/>
      <c r="E249" s="13"/>
      <c r="F249" s="13"/>
      <c r="G249" s="15"/>
    </row>
    <row r="250" spans="1:7" x14ac:dyDescent="0.2">
      <c r="A250" s="20"/>
      <c r="B250" s="9"/>
      <c r="C250" s="9"/>
      <c r="D250" s="9"/>
      <c r="E250" s="9"/>
      <c r="F250" s="9"/>
      <c r="G250" s="11"/>
    </row>
    <row r="251" spans="1:7" x14ac:dyDescent="0.2">
      <c r="A251" s="21"/>
      <c r="B251" s="13"/>
      <c r="C251" s="13"/>
      <c r="D251" s="13"/>
      <c r="E251" s="13"/>
      <c r="F251" s="13"/>
      <c r="G251" s="15"/>
    </row>
    <row r="252" spans="1:7" x14ac:dyDescent="0.2">
      <c r="A252" s="20"/>
      <c r="B252" s="9"/>
      <c r="C252" s="9"/>
      <c r="D252" s="9"/>
      <c r="E252" s="9"/>
      <c r="F252" s="9"/>
      <c r="G252" s="11"/>
    </row>
    <row r="253" spans="1:7" x14ac:dyDescent="0.2">
      <c r="A253" s="21"/>
      <c r="B253" s="13"/>
      <c r="C253" s="13"/>
      <c r="D253" s="13"/>
      <c r="E253" s="13"/>
      <c r="F253" s="13"/>
      <c r="G253" s="15"/>
    </row>
    <row r="254" spans="1:7" x14ac:dyDescent="0.2">
      <c r="A254" s="20"/>
      <c r="B254" s="9"/>
      <c r="C254" s="9"/>
      <c r="D254" s="9"/>
      <c r="E254" s="9"/>
      <c r="F254" s="9"/>
      <c r="G254" s="11"/>
    </row>
    <row r="255" spans="1:7" x14ac:dyDescent="0.2">
      <c r="A255" s="21"/>
      <c r="B255" s="13"/>
      <c r="C255" s="13"/>
      <c r="D255" s="13"/>
      <c r="E255" s="13"/>
      <c r="F255" s="13"/>
      <c r="G255" s="15"/>
    </row>
    <row r="256" spans="1:7" x14ac:dyDescent="0.2">
      <c r="A256" s="20"/>
      <c r="B256" s="9"/>
      <c r="C256" s="9"/>
      <c r="D256" s="9"/>
      <c r="E256" s="9"/>
      <c r="F256" s="9"/>
      <c r="G256" s="11"/>
    </row>
    <row r="257" spans="1:7" x14ac:dyDescent="0.2">
      <c r="A257" s="21"/>
      <c r="B257" s="13"/>
      <c r="C257" s="13"/>
      <c r="D257" s="13"/>
      <c r="E257" s="13"/>
      <c r="F257" s="13"/>
      <c r="G257" s="15"/>
    </row>
    <row r="258" spans="1:7" x14ac:dyDescent="0.2">
      <c r="A258" s="20"/>
      <c r="B258" s="9"/>
      <c r="C258" s="9"/>
      <c r="D258" s="9"/>
      <c r="E258" s="9"/>
      <c r="F258" s="9"/>
      <c r="G258" s="11"/>
    </row>
    <row r="259" spans="1:7" x14ac:dyDescent="0.2">
      <c r="A259" s="21"/>
      <c r="B259" s="13"/>
      <c r="C259" s="13"/>
      <c r="D259" s="13"/>
      <c r="E259" s="13"/>
      <c r="F259" s="13"/>
      <c r="G259" s="15"/>
    </row>
    <row r="260" spans="1:7" x14ac:dyDescent="0.2">
      <c r="A260" s="20"/>
      <c r="B260" s="9"/>
      <c r="C260" s="9"/>
      <c r="D260" s="9"/>
      <c r="E260" s="9"/>
      <c r="F260" s="9"/>
      <c r="G260" s="11"/>
    </row>
    <row r="261" spans="1:7" x14ac:dyDescent="0.2">
      <c r="A261" s="21"/>
      <c r="B261" s="13"/>
      <c r="C261" s="13"/>
      <c r="D261" s="13"/>
      <c r="E261" s="13"/>
      <c r="F261" s="13"/>
      <c r="G261" s="15"/>
    </row>
    <row r="262" spans="1:7" x14ac:dyDescent="0.2">
      <c r="A262" s="20"/>
      <c r="B262" s="9"/>
      <c r="C262" s="9"/>
      <c r="D262" s="9"/>
      <c r="E262" s="9"/>
      <c r="F262" s="9"/>
      <c r="G262" s="11"/>
    </row>
    <row r="263" spans="1:7" x14ac:dyDescent="0.2">
      <c r="A263" s="21"/>
      <c r="B263" s="13"/>
      <c r="C263" s="13"/>
      <c r="D263" s="13"/>
      <c r="E263" s="13"/>
      <c r="F263" s="13"/>
      <c r="G263" s="15"/>
    </row>
    <row r="264" spans="1:7" x14ac:dyDescent="0.2">
      <c r="A264" s="20"/>
      <c r="B264" s="9"/>
      <c r="C264" s="9"/>
      <c r="D264" s="9"/>
      <c r="E264" s="9"/>
      <c r="F264" s="9"/>
      <c r="G264" s="11"/>
    </row>
    <row r="265" spans="1:7" x14ac:dyDescent="0.2">
      <c r="A265" s="21"/>
      <c r="B265" s="13"/>
      <c r="C265" s="13"/>
      <c r="D265" s="13"/>
      <c r="E265" s="13"/>
      <c r="F265" s="13"/>
      <c r="G265" s="15"/>
    </row>
    <row r="266" spans="1:7" x14ac:dyDescent="0.2">
      <c r="A266" s="20"/>
      <c r="B266" s="9"/>
      <c r="C266" s="9"/>
      <c r="D266" s="9"/>
      <c r="E266" s="9"/>
      <c r="F266" s="9"/>
      <c r="G266" s="11"/>
    </row>
    <row r="267" spans="1:7" x14ac:dyDescent="0.2">
      <c r="A267" s="21"/>
      <c r="B267" s="13"/>
      <c r="C267" s="13"/>
      <c r="D267" s="13"/>
      <c r="E267" s="13"/>
      <c r="F267" s="13"/>
      <c r="G267" s="15"/>
    </row>
    <row r="268" spans="1:7" x14ac:dyDescent="0.2">
      <c r="A268" s="20"/>
      <c r="B268" s="9"/>
      <c r="C268" s="9"/>
      <c r="D268" s="9"/>
      <c r="E268" s="9"/>
      <c r="F268" s="9"/>
      <c r="G268" s="11"/>
    </row>
    <row r="269" spans="1:7" x14ac:dyDescent="0.2">
      <c r="A269" s="21"/>
      <c r="B269" s="13"/>
      <c r="C269" s="13"/>
      <c r="D269" s="13"/>
      <c r="E269" s="13"/>
      <c r="F269" s="13"/>
      <c r="G269" s="15"/>
    </row>
    <row r="270" spans="1:7" x14ac:dyDescent="0.2">
      <c r="A270" s="20"/>
      <c r="B270" s="9"/>
      <c r="C270" s="9"/>
      <c r="D270" s="9"/>
      <c r="E270" s="9"/>
      <c r="F270" s="9"/>
      <c r="G270" s="11"/>
    </row>
    <row r="271" spans="1:7" x14ac:dyDescent="0.2">
      <c r="A271" s="21"/>
      <c r="B271" s="13"/>
      <c r="C271" s="13"/>
      <c r="D271" s="13"/>
      <c r="E271" s="13"/>
      <c r="F271" s="13"/>
      <c r="G271" s="15"/>
    </row>
    <row r="272" spans="1:7" x14ac:dyDescent="0.2">
      <c r="A272" s="20"/>
      <c r="B272" s="9"/>
      <c r="C272" s="9"/>
      <c r="D272" s="9"/>
      <c r="E272" s="9"/>
      <c r="F272" s="9"/>
      <c r="G272" s="11"/>
    </row>
    <row r="273" spans="1:7" x14ac:dyDescent="0.2">
      <c r="A273" s="21"/>
      <c r="B273" s="13"/>
      <c r="C273" s="13"/>
      <c r="D273" s="13"/>
      <c r="E273" s="13"/>
      <c r="F273" s="13"/>
      <c r="G273" s="15"/>
    </row>
    <row r="274" spans="1:7" x14ac:dyDescent="0.2">
      <c r="A274" s="20"/>
      <c r="B274" s="9"/>
      <c r="C274" s="9"/>
      <c r="D274" s="9"/>
      <c r="E274" s="9"/>
      <c r="F274" s="9"/>
      <c r="G274" s="11"/>
    </row>
    <row r="275" spans="1:7" x14ac:dyDescent="0.2">
      <c r="A275" s="21"/>
      <c r="B275" s="13"/>
      <c r="C275" s="13"/>
      <c r="D275" s="13"/>
      <c r="E275" s="13"/>
      <c r="F275" s="13"/>
      <c r="G275" s="15"/>
    </row>
    <row r="276" spans="1:7" x14ac:dyDescent="0.2">
      <c r="A276" s="20"/>
      <c r="B276" s="9"/>
      <c r="C276" s="9"/>
      <c r="D276" s="9"/>
      <c r="E276" s="9"/>
      <c r="F276" s="9"/>
      <c r="G276" s="11"/>
    </row>
    <row r="277" spans="1:7" x14ac:dyDescent="0.2">
      <c r="A277" s="21"/>
      <c r="B277" s="13"/>
      <c r="C277" s="13"/>
      <c r="D277" s="13"/>
      <c r="E277" s="13"/>
      <c r="F277" s="13"/>
      <c r="G277" s="15"/>
    </row>
    <row r="278" spans="1:7" x14ac:dyDescent="0.2">
      <c r="A278" s="20"/>
      <c r="B278" s="9"/>
      <c r="C278" s="9"/>
      <c r="D278" s="9"/>
      <c r="E278" s="9"/>
      <c r="F278" s="9"/>
      <c r="G278" s="11"/>
    </row>
    <row r="279" spans="1:7" x14ac:dyDescent="0.2">
      <c r="A279" s="21"/>
      <c r="B279" s="13"/>
      <c r="C279" s="13"/>
      <c r="D279" s="13"/>
      <c r="E279" s="13"/>
      <c r="F279" s="13"/>
      <c r="G279" s="15"/>
    </row>
    <row r="280" spans="1:7" x14ac:dyDescent="0.2">
      <c r="A280" s="20"/>
      <c r="B280" s="9"/>
      <c r="C280" s="9"/>
      <c r="D280" s="9"/>
      <c r="E280" s="9"/>
      <c r="F280" s="9"/>
      <c r="G280" s="11"/>
    </row>
    <row r="281" spans="1:7" x14ac:dyDescent="0.2">
      <c r="A281" s="21"/>
      <c r="B281" s="13"/>
      <c r="C281" s="13"/>
      <c r="D281" s="13"/>
      <c r="E281" s="13"/>
      <c r="F281" s="13"/>
      <c r="G281" s="15"/>
    </row>
    <row r="282" spans="1:7" x14ac:dyDescent="0.2">
      <c r="A282" s="20"/>
      <c r="B282" s="9"/>
      <c r="C282" s="9"/>
      <c r="D282" s="9"/>
      <c r="E282" s="9"/>
      <c r="F282" s="9"/>
      <c r="G282" s="11"/>
    </row>
    <row r="283" spans="1:7" x14ac:dyDescent="0.2">
      <c r="A283" s="21"/>
      <c r="B283" s="13"/>
      <c r="C283" s="13"/>
      <c r="D283" s="13"/>
      <c r="E283" s="13"/>
      <c r="F283" s="13"/>
      <c r="G283" s="15"/>
    </row>
    <row r="284" spans="1:7" x14ac:dyDescent="0.2">
      <c r="A284" s="20"/>
      <c r="B284" s="9"/>
      <c r="C284" s="9"/>
      <c r="D284" s="9"/>
      <c r="E284" s="9"/>
      <c r="F284" s="9"/>
      <c r="G284" s="11"/>
    </row>
    <row r="285" spans="1:7" x14ac:dyDescent="0.2">
      <c r="A285" s="21"/>
      <c r="B285" s="13"/>
      <c r="C285" s="13"/>
      <c r="D285" s="13"/>
      <c r="E285" s="13"/>
      <c r="F285" s="13"/>
      <c r="G285" s="15"/>
    </row>
    <row r="286" spans="1:7" x14ac:dyDescent="0.2">
      <c r="A286" s="20"/>
      <c r="B286" s="9"/>
      <c r="C286" s="9"/>
      <c r="D286" s="9"/>
      <c r="E286" s="9"/>
      <c r="F286" s="9"/>
      <c r="G286" s="11"/>
    </row>
    <row r="287" spans="1:7" x14ac:dyDescent="0.2">
      <c r="A287" s="21"/>
      <c r="B287" s="13"/>
      <c r="C287" s="13"/>
      <c r="D287" s="13"/>
      <c r="E287" s="13"/>
      <c r="F287" s="13"/>
      <c r="G287" s="15"/>
    </row>
    <row r="288" spans="1:7" x14ac:dyDescent="0.2">
      <c r="A288" s="20"/>
      <c r="B288" s="9"/>
      <c r="C288" s="9"/>
      <c r="D288" s="9"/>
      <c r="E288" s="9"/>
      <c r="F288" s="9"/>
      <c r="G288" s="11"/>
    </row>
    <row r="289" spans="1:7" x14ac:dyDescent="0.2">
      <c r="A289" s="21"/>
      <c r="B289" s="13"/>
      <c r="C289" s="13"/>
      <c r="D289" s="13"/>
      <c r="E289" s="13"/>
      <c r="F289" s="13"/>
      <c r="G289" s="15"/>
    </row>
    <row r="290" spans="1:7" x14ac:dyDescent="0.2">
      <c r="A290" s="20"/>
      <c r="B290" s="9"/>
      <c r="C290" s="9"/>
      <c r="D290" s="9"/>
      <c r="E290" s="9"/>
      <c r="F290" s="9"/>
      <c r="G290" s="11"/>
    </row>
    <row r="291" spans="1:7" x14ac:dyDescent="0.2">
      <c r="A291" s="21"/>
      <c r="B291" s="13"/>
      <c r="C291" s="13"/>
      <c r="D291" s="13"/>
      <c r="E291" s="13"/>
      <c r="F291" s="13"/>
      <c r="G291" s="15"/>
    </row>
    <row r="292" spans="1:7" x14ac:dyDescent="0.2">
      <c r="A292" s="20"/>
      <c r="B292" s="9"/>
      <c r="C292" s="9"/>
      <c r="D292" s="9"/>
      <c r="E292" s="9"/>
      <c r="F292" s="9"/>
      <c r="G292" s="11"/>
    </row>
    <row r="293" spans="1:7" x14ac:dyDescent="0.2">
      <c r="A293" s="21"/>
      <c r="B293" s="13"/>
      <c r="C293" s="13"/>
      <c r="D293" s="13"/>
      <c r="E293" s="13"/>
      <c r="F293" s="13"/>
      <c r="G293" s="15"/>
    </row>
    <row r="294" spans="1:7" x14ac:dyDescent="0.2">
      <c r="A294" s="20"/>
      <c r="B294" s="9"/>
      <c r="C294" s="9"/>
      <c r="D294" s="9"/>
      <c r="E294" s="9"/>
      <c r="F294" s="9"/>
      <c r="G294" s="11"/>
    </row>
    <row r="295" spans="1:7" x14ac:dyDescent="0.2">
      <c r="A295" s="21"/>
      <c r="B295" s="13"/>
      <c r="C295" s="13"/>
      <c r="D295" s="13"/>
      <c r="E295" s="13"/>
      <c r="F295" s="13"/>
      <c r="G295" s="15"/>
    </row>
    <row r="296" spans="1:7" x14ac:dyDescent="0.2">
      <c r="A296" s="20"/>
      <c r="B296" s="9"/>
      <c r="C296" s="9"/>
      <c r="D296" s="9"/>
      <c r="E296" s="9"/>
      <c r="F296" s="9"/>
      <c r="G296" s="11"/>
    </row>
    <row r="297" spans="1:7" x14ac:dyDescent="0.2">
      <c r="A297" s="21"/>
      <c r="B297" s="13"/>
      <c r="C297" s="13"/>
      <c r="D297" s="13"/>
      <c r="E297" s="13"/>
      <c r="F297" s="13"/>
      <c r="G297" s="15"/>
    </row>
    <row r="298" spans="1:7" x14ac:dyDescent="0.2">
      <c r="A298" s="20"/>
      <c r="B298" s="9"/>
      <c r="C298" s="9"/>
      <c r="D298" s="9"/>
      <c r="E298" s="9"/>
      <c r="F298" s="9"/>
      <c r="G298" s="11"/>
    </row>
    <row r="299" spans="1:7" x14ac:dyDescent="0.2">
      <c r="A299" s="21"/>
      <c r="B299" s="13"/>
      <c r="C299" s="13"/>
      <c r="D299" s="13"/>
      <c r="E299" s="13"/>
      <c r="F299" s="13"/>
      <c r="G299" s="15"/>
    </row>
    <row r="300" spans="1:7" x14ac:dyDescent="0.2">
      <c r="A300" s="20"/>
      <c r="B300" s="9"/>
      <c r="C300" s="9"/>
      <c r="D300" s="9"/>
      <c r="E300" s="9"/>
      <c r="F300" s="9"/>
      <c r="G300" s="11"/>
    </row>
    <row r="301" spans="1:7" x14ac:dyDescent="0.2">
      <c r="A301" s="21"/>
      <c r="B301" s="13"/>
      <c r="C301" s="13"/>
      <c r="D301" s="13"/>
      <c r="E301" s="13"/>
      <c r="F301" s="13"/>
      <c r="G301" s="15"/>
    </row>
    <row r="302" spans="1:7" x14ac:dyDescent="0.2">
      <c r="A302" s="20"/>
      <c r="B302" s="9"/>
      <c r="C302" s="9"/>
      <c r="D302" s="9"/>
      <c r="E302" s="9"/>
      <c r="F302" s="9"/>
      <c r="G302" s="11"/>
    </row>
    <row r="303" spans="1:7" x14ac:dyDescent="0.2">
      <c r="A303" s="21"/>
      <c r="B303" s="13"/>
      <c r="C303" s="13"/>
      <c r="D303" s="13"/>
      <c r="E303" s="13"/>
      <c r="F303" s="13"/>
      <c r="G303" s="15"/>
    </row>
    <row r="304" spans="1:7" x14ac:dyDescent="0.2">
      <c r="A304" s="20"/>
      <c r="B304" s="9"/>
      <c r="C304" s="9"/>
      <c r="D304" s="9"/>
      <c r="E304" s="9"/>
      <c r="F304" s="9"/>
      <c r="G304" s="11"/>
    </row>
    <row r="305" spans="1:7" x14ac:dyDescent="0.2">
      <c r="A305" s="21"/>
      <c r="B305" s="13"/>
      <c r="C305" s="13"/>
      <c r="D305" s="13"/>
      <c r="E305" s="13"/>
      <c r="F305" s="13"/>
      <c r="G305" s="15"/>
    </row>
    <row r="306" spans="1:7" x14ac:dyDescent="0.2">
      <c r="A306" s="20"/>
      <c r="B306" s="9"/>
      <c r="C306" s="9"/>
      <c r="D306" s="9"/>
      <c r="E306" s="9"/>
      <c r="F306" s="9"/>
      <c r="G306" s="11"/>
    </row>
    <row r="307" spans="1:7" x14ac:dyDescent="0.2">
      <c r="A307" s="21"/>
      <c r="B307" s="13"/>
      <c r="C307" s="13"/>
      <c r="D307" s="13"/>
      <c r="E307" s="13"/>
      <c r="F307" s="13"/>
      <c r="G307" s="15"/>
    </row>
    <row r="308" spans="1:7" x14ac:dyDescent="0.2">
      <c r="A308" s="20"/>
      <c r="B308" s="9"/>
      <c r="C308" s="9"/>
      <c r="D308" s="9"/>
      <c r="E308" s="9"/>
      <c r="F308" s="9"/>
      <c r="G308" s="11"/>
    </row>
    <row r="309" spans="1:7" x14ac:dyDescent="0.2">
      <c r="A309" s="21"/>
      <c r="B309" s="13"/>
      <c r="C309" s="13"/>
      <c r="D309" s="13"/>
      <c r="E309" s="13"/>
      <c r="F309" s="13"/>
      <c r="G309" s="15"/>
    </row>
    <row r="310" spans="1:7" x14ac:dyDescent="0.2">
      <c r="A310" s="20"/>
      <c r="B310" s="9"/>
      <c r="C310" s="9"/>
      <c r="D310" s="9"/>
      <c r="E310" s="9"/>
      <c r="F310" s="9"/>
      <c r="G310" s="11"/>
    </row>
    <row r="311" spans="1:7" x14ac:dyDescent="0.2">
      <c r="A311" s="21"/>
      <c r="B311" s="13"/>
      <c r="C311" s="13"/>
      <c r="D311" s="13"/>
      <c r="E311" s="13"/>
      <c r="F311" s="13"/>
      <c r="G311" s="15"/>
    </row>
    <row r="312" spans="1:7" x14ac:dyDescent="0.2">
      <c r="A312" s="20"/>
      <c r="B312" s="9"/>
      <c r="C312" s="9"/>
      <c r="D312" s="9"/>
      <c r="E312" s="9"/>
      <c r="F312" s="9"/>
      <c r="G312" s="11"/>
    </row>
    <row r="313" spans="1:7" x14ac:dyDescent="0.2">
      <c r="A313" s="21"/>
      <c r="B313" s="13"/>
      <c r="C313" s="13"/>
      <c r="D313" s="13"/>
      <c r="E313" s="13"/>
      <c r="F313" s="13"/>
      <c r="G313" s="15"/>
    </row>
    <row r="314" spans="1:7" x14ac:dyDescent="0.2">
      <c r="A314" s="20"/>
      <c r="B314" s="9"/>
      <c r="C314" s="9"/>
      <c r="D314" s="9"/>
      <c r="E314" s="9"/>
      <c r="F314" s="9"/>
      <c r="G314" s="11"/>
    </row>
    <row r="315" spans="1:7" x14ac:dyDescent="0.2">
      <c r="A315" s="21"/>
      <c r="B315" s="13"/>
      <c r="C315" s="13"/>
      <c r="D315" s="13"/>
      <c r="E315" s="13"/>
      <c r="F315" s="13"/>
      <c r="G315" s="15"/>
    </row>
    <row r="316" spans="1:7" x14ac:dyDescent="0.2">
      <c r="A316" s="20"/>
      <c r="B316" s="9"/>
      <c r="C316" s="9"/>
      <c r="D316" s="9"/>
      <c r="E316" s="9"/>
      <c r="F316" s="9"/>
      <c r="G316" s="11"/>
    </row>
    <row r="317" spans="1:7" x14ac:dyDescent="0.2">
      <c r="A317" s="21"/>
      <c r="B317" s="13"/>
      <c r="C317" s="13"/>
      <c r="D317" s="13"/>
      <c r="E317" s="13"/>
      <c r="F317" s="13"/>
      <c r="G317" s="15"/>
    </row>
    <row r="318" spans="1:7" x14ac:dyDescent="0.2">
      <c r="A318" s="20"/>
      <c r="B318" s="9"/>
      <c r="C318" s="9"/>
      <c r="D318" s="9"/>
      <c r="E318" s="9"/>
      <c r="F318" s="9"/>
      <c r="G318" s="11"/>
    </row>
    <row r="319" spans="1:7" x14ac:dyDescent="0.2">
      <c r="A319" s="21"/>
      <c r="B319" s="13"/>
      <c r="C319" s="13"/>
      <c r="D319" s="13"/>
      <c r="E319" s="13"/>
      <c r="F319" s="13"/>
      <c r="G319" s="15"/>
    </row>
    <row r="320" spans="1:7" x14ac:dyDescent="0.2">
      <c r="A320" s="20"/>
      <c r="B320" s="9"/>
      <c r="C320" s="9"/>
      <c r="D320" s="9"/>
      <c r="E320" s="9"/>
      <c r="F320" s="9"/>
      <c r="G320" s="11"/>
    </row>
    <row r="321" spans="1:7" x14ac:dyDescent="0.2">
      <c r="A321" s="21"/>
      <c r="B321" s="13"/>
      <c r="C321" s="13"/>
      <c r="D321" s="13"/>
      <c r="E321" s="13"/>
      <c r="F321" s="13"/>
      <c r="G321" s="15"/>
    </row>
    <row r="322" spans="1:7" x14ac:dyDescent="0.2">
      <c r="A322" s="20"/>
      <c r="B322" s="9"/>
      <c r="C322" s="9"/>
      <c r="D322" s="9"/>
      <c r="E322" s="9"/>
      <c r="F322" s="9"/>
      <c r="G322" s="11"/>
    </row>
    <row r="323" spans="1:7" x14ac:dyDescent="0.2">
      <c r="A323" s="21"/>
      <c r="B323" s="13"/>
      <c r="C323" s="13"/>
      <c r="D323" s="13"/>
      <c r="E323" s="13"/>
      <c r="F323" s="13"/>
      <c r="G323" s="15"/>
    </row>
    <row r="324" spans="1:7" x14ac:dyDescent="0.2">
      <c r="A324" s="20"/>
      <c r="B324" s="9"/>
      <c r="C324" s="9"/>
      <c r="D324" s="9"/>
      <c r="E324" s="9"/>
      <c r="F324" s="9"/>
      <c r="G324" s="11"/>
    </row>
    <row r="325" spans="1:7" x14ac:dyDescent="0.2">
      <c r="A325" s="21"/>
      <c r="B325" s="13"/>
      <c r="C325" s="13"/>
      <c r="D325" s="13"/>
      <c r="E325" s="13"/>
      <c r="F325" s="13"/>
      <c r="G325" s="15"/>
    </row>
    <row r="326" spans="1:7" x14ac:dyDescent="0.2">
      <c r="A326" s="20"/>
      <c r="B326" s="9"/>
      <c r="C326" s="9"/>
      <c r="D326" s="9"/>
      <c r="E326" s="9"/>
      <c r="F326" s="9"/>
      <c r="G326" s="11"/>
    </row>
    <row r="327" spans="1:7" x14ac:dyDescent="0.2">
      <c r="A327" s="21"/>
      <c r="B327" s="13"/>
      <c r="C327" s="13"/>
      <c r="D327" s="13"/>
      <c r="E327" s="13"/>
      <c r="F327" s="13"/>
      <c r="G327" s="15"/>
    </row>
    <row r="328" spans="1:7" x14ac:dyDescent="0.2">
      <c r="A328" s="20"/>
      <c r="B328" s="9"/>
      <c r="C328" s="9"/>
      <c r="D328" s="9"/>
      <c r="E328" s="9"/>
      <c r="F328" s="9"/>
      <c r="G328" s="11"/>
    </row>
    <row r="329" spans="1:7" x14ac:dyDescent="0.2">
      <c r="A329" s="21"/>
      <c r="B329" s="13"/>
      <c r="C329" s="13"/>
      <c r="D329" s="13"/>
      <c r="E329" s="13"/>
      <c r="F329" s="13"/>
      <c r="G329" s="15"/>
    </row>
    <row r="330" spans="1:7" x14ac:dyDescent="0.2">
      <c r="A330" s="20"/>
      <c r="B330" s="9"/>
      <c r="C330" s="9"/>
      <c r="D330" s="9"/>
      <c r="E330" s="9"/>
      <c r="F330" s="9"/>
      <c r="G330" s="11"/>
    </row>
    <row r="331" spans="1:7" x14ac:dyDescent="0.2">
      <c r="A331" s="21"/>
      <c r="B331" s="13"/>
      <c r="C331" s="13"/>
      <c r="D331" s="13"/>
      <c r="E331" s="13"/>
      <c r="F331" s="13"/>
      <c r="G331" s="15"/>
    </row>
    <row r="332" spans="1:7" x14ac:dyDescent="0.2">
      <c r="A332" s="20"/>
      <c r="B332" s="9"/>
      <c r="C332" s="9"/>
      <c r="D332" s="9"/>
      <c r="E332" s="9"/>
      <c r="F332" s="9"/>
      <c r="G332" s="11"/>
    </row>
    <row r="333" spans="1:7" x14ac:dyDescent="0.2">
      <c r="A333" s="21"/>
      <c r="B333" s="13"/>
      <c r="C333" s="13"/>
      <c r="D333" s="13"/>
      <c r="E333" s="13"/>
      <c r="F333" s="13"/>
      <c r="G333" s="15"/>
    </row>
    <row r="334" spans="1:7" x14ac:dyDescent="0.2">
      <c r="A334" s="20"/>
      <c r="B334" s="9"/>
      <c r="C334" s="9"/>
      <c r="D334" s="9"/>
      <c r="E334" s="9"/>
      <c r="F334" s="9"/>
      <c r="G334" s="11"/>
    </row>
    <row r="335" spans="1:7" x14ac:dyDescent="0.2">
      <c r="A335" s="21"/>
      <c r="B335" s="13"/>
      <c r="C335" s="13"/>
      <c r="D335" s="13"/>
      <c r="E335" s="13"/>
      <c r="F335" s="13"/>
      <c r="G335" s="15"/>
    </row>
    <row r="336" spans="1:7" x14ac:dyDescent="0.2">
      <c r="A336" s="20"/>
      <c r="B336" s="9"/>
      <c r="C336" s="9"/>
      <c r="D336" s="9"/>
      <c r="E336" s="9"/>
      <c r="F336" s="9"/>
      <c r="G336" s="11"/>
    </row>
    <row r="337" spans="1:7" x14ac:dyDescent="0.2">
      <c r="A337" s="21"/>
      <c r="B337" s="13"/>
      <c r="C337" s="13"/>
      <c r="D337" s="13"/>
      <c r="E337" s="13"/>
      <c r="F337" s="13"/>
      <c r="G337" s="15"/>
    </row>
    <row r="338" spans="1:7" x14ac:dyDescent="0.2">
      <c r="A338" s="20"/>
      <c r="B338" s="9"/>
      <c r="C338" s="9"/>
      <c r="D338" s="9"/>
      <c r="E338" s="9"/>
      <c r="F338" s="9"/>
      <c r="G338" s="11"/>
    </row>
    <row r="339" spans="1:7" x14ac:dyDescent="0.2">
      <c r="A339" s="21"/>
      <c r="B339" s="13"/>
      <c r="C339" s="13"/>
      <c r="D339" s="13"/>
      <c r="E339" s="13"/>
      <c r="F339" s="13"/>
      <c r="G339" s="15"/>
    </row>
    <row r="340" spans="1:7" x14ac:dyDescent="0.2">
      <c r="A340" s="20"/>
      <c r="B340" s="9"/>
      <c r="C340" s="9"/>
      <c r="D340" s="9"/>
      <c r="E340" s="9"/>
      <c r="F340" s="9"/>
      <c r="G340" s="11"/>
    </row>
    <row r="341" spans="1:7" x14ac:dyDescent="0.2">
      <c r="A341" s="21"/>
      <c r="B341" s="13"/>
      <c r="C341" s="13"/>
      <c r="D341" s="13"/>
      <c r="E341" s="13"/>
      <c r="F341" s="13"/>
      <c r="G341" s="15"/>
    </row>
    <row r="342" spans="1:7" x14ac:dyDescent="0.2">
      <c r="A342" s="20"/>
      <c r="B342" s="9"/>
      <c r="C342" s="9"/>
      <c r="D342" s="9"/>
      <c r="E342" s="9"/>
      <c r="F342" s="9"/>
      <c r="G342" s="11"/>
    </row>
    <row r="343" spans="1:7" x14ac:dyDescent="0.2">
      <c r="A343" s="21"/>
      <c r="B343" s="13"/>
      <c r="C343" s="13"/>
      <c r="D343" s="13"/>
      <c r="E343" s="13"/>
      <c r="F343" s="13"/>
      <c r="G343" s="15"/>
    </row>
    <row r="344" spans="1:7" x14ac:dyDescent="0.2">
      <c r="A344" s="20"/>
      <c r="B344" s="9"/>
      <c r="C344" s="9"/>
      <c r="D344" s="9"/>
      <c r="E344" s="9"/>
      <c r="F344" s="9"/>
      <c r="G344" s="11"/>
    </row>
    <row r="345" spans="1:7" x14ac:dyDescent="0.2">
      <c r="A345" s="21"/>
      <c r="B345" s="13"/>
      <c r="C345" s="13"/>
      <c r="D345" s="13"/>
      <c r="E345" s="13"/>
      <c r="F345" s="13"/>
      <c r="G345" s="15"/>
    </row>
    <row r="346" spans="1:7" x14ac:dyDescent="0.2">
      <c r="A346" s="20"/>
      <c r="B346" s="9"/>
      <c r="C346" s="9"/>
      <c r="D346" s="9"/>
      <c r="E346" s="9"/>
      <c r="F346" s="9"/>
      <c r="G346" s="11"/>
    </row>
    <row r="347" spans="1:7" x14ac:dyDescent="0.2">
      <c r="A347" s="21"/>
      <c r="B347" s="13"/>
      <c r="C347" s="13"/>
      <c r="D347" s="13"/>
      <c r="E347" s="13"/>
      <c r="F347" s="13"/>
      <c r="G347" s="15"/>
    </row>
    <row r="348" spans="1:7" x14ac:dyDescent="0.2">
      <c r="A348" s="20"/>
      <c r="B348" s="9"/>
      <c r="C348" s="9"/>
      <c r="D348" s="9"/>
      <c r="E348" s="9"/>
      <c r="F348" s="9"/>
      <c r="G348" s="11"/>
    </row>
    <row r="349" spans="1:7" x14ac:dyDescent="0.2">
      <c r="A349" s="21"/>
      <c r="B349" s="13"/>
      <c r="C349" s="13"/>
      <c r="D349" s="13"/>
      <c r="E349" s="13"/>
      <c r="F349" s="13"/>
      <c r="G349" s="15"/>
    </row>
    <row r="350" spans="1:7" x14ac:dyDescent="0.2">
      <c r="A350" s="20"/>
      <c r="B350" s="9"/>
      <c r="C350" s="9"/>
      <c r="D350" s="9"/>
      <c r="E350" s="9"/>
      <c r="F350" s="9"/>
      <c r="G350" s="11"/>
    </row>
    <row r="351" spans="1:7" x14ac:dyDescent="0.2">
      <c r="A351" s="21"/>
      <c r="B351" s="13"/>
      <c r="C351" s="13"/>
      <c r="D351" s="13"/>
      <c r="E351" s="13"/>
      <c r="F351" s="13"/>
      <c r="G351" s="15"/>
    </row>
    <row r="352" spans="1:7" x14ac:dyDescent="0.2">
      <c r="A352" s="20"/>
      <c r="B352" s="9"/>
      <c r="C352" s="9"/>
      <c r="D352" s="9"/>
      <c r="E352" s="9"/>
      <c r="F352" s="9"/>
      <c r="G352" s="11"/>
    </row>
    <row r="353" spans="1:7" x14ac:dyDescent="0.2">
      <c r="A353" s="21"/>
      <c r="B353" s="13"/>
      <c r="C353" s="13"/>
      <c r="D353" s="13"/>
      <c r="E353" s="13"/>
      <c r="F353" s="13"/>
      <c r="G353" s="15"/>
    </row>
    <row r="354" spans="1:7" x14ac:dyDescent="0.2">
      <c r="A354" s="20"/>
      <c r="B354" s="9"/>
      <c r="C354" s="9"/>
      <c r="D354" s="9"/>
      <c r="E354" s="9"/>
      <c r="F354" s="9"/>
      <c r="G354" s="11"/>
    </row>
    <row r="355" spans="1:7" x14ac:dyDescent="0.2">
      <c r="A355" s="21"/>
      <c r="B355" s="13"/>
      <c r="C355" s="13"/>
      <c r="D355" s="13"/>
      <c r="E355" s="13"/>
      <c r="F355" s="13"/>
      <c r="G355" s="15"/>
    </row>
    <row r="356" spans="1:7" x14ac:dyDescent="0.2">
      <c r="A356" s="20"/>
      <c r="B356" s="9"/>
      <c r="C356" s="9"/>
      <c r="D356" s="9"/>
      <c r="E356" s="9"/>
      <c r="F356" s="9"/>
      <c r="G356" s="11"/>
    </row>
    <row r="357" spans="1:7" x14ac:dyDescent="0.2">
      <c r="A357" s="21"/>
      <c r="B357" s="13"/>
      <c r="C357" s="13"/>
      <c r="D357" s="13"/>
      <c r="E357" s="13"/>
      <c r="F357" s="13"/>
      <c r="G357" s="15"/>
    </row>
    <row r="358" spans="1:7" x14ac:dyDescent="0.2">
      <c r="A358" s="20"/>
      <c r="B358" s="9"/>
      <c r="C358" s="9"/>
      <c r="D358" s="9"/>
      <c r="E358" s="9"/>
      <c r="F358" s="9"/>
      <c r="G358" s="11"/>
    </row>
    <row r="359" spans="1:7" x14ac:dyDescent="0.2">
      <c r="A359" s="21"/>
      <c r="B359" s="13"/>
      <c r="C359" s="13"/>
      <c r="D359" s="13"/>
      <c r="E359" s="13"/>
      <c r="F359" s="13"/>
      <c r="G359" s="15"/>
    </row>
    <row r="360" spans="1:7" x14ac:dyDescent="0.2">
      <c r="A360" s="20"/>
      <c r="B360" s="9"/>
      <c r="C360" s="9"/>
      <c r="D360" s="9"/>
      <c r="E360" s="9"/>
      <c r="F360" s="9"/>
      <c r="G360" s="11"/>
    </row>
    <row r="361" spans="1:7" x14ac:dyDescent="0.2">
      <c r="A361" s="21"/>
      <c r="B361" s="13"/>
      <c r="C361" s="13"/>
      <c r="D361" s="13"/>
      <c r="E361" s="13"/>
      <c r="F361" s="13"/>
      <c r="G361" s="15"/>
    </row>
    <row r="362" spans="1:7" x14ac:dyDescent="0.2">
      <c r="A362" s="20"/>
      <c r="B362" s="9"/>
      <c r="C362" s="9"/>
      <c r="D362" s="9"/>
      <c r="E362" s="9"/>
      <c r="F362" s="9"/>
      <c r="G362" s="11"/>
    </row>
    <row r="363" spans="1:7" x14ac:dyDescent="0.2">
      <c r="A363" s="21"/>
      <c r="B363" s="13"/>
      <c r="C363" s="13"/>
      <c r="D363" s="13"/>
      <c r="E363" s="13"/>
      <c r="F363" s="13"/>
      <c r="G363" s="15"/>
    </row>
    <row r="364" spans="1:7" x14ac:dyDescent="0.2">
      <c r="A364" s="20"/>
      <c r="B364" s="9"/>
      <c r="C364" s="9"/>
      <c r="D364" s="9"/>
      <c r="E364" s="9"/>
      <c r="F364" s="9"/>
      <c r="G364" s="11"/>
    </row>
    <row r="365" spans="1:7" x14ac:dyDescent="0.2">
      <c r="A365" s="21"/>
      <c r="B365" s="13"/>
      <c r="C365" s="13"/>
      <c r="D365" s="13"/>
      <c r="E365" s="13"/>
      <c r="F365" s="13"/>
      <c r="G365" s="15"/>
    </row>
    <row r="366" spans="1:7" x14ac:dyDescent="0.2">
      <c r="A366" s="20"/>
      <c r="B366" s="9"/>
      <c r="C366" s="9"/>
      <c r="D366" s="9"/>
      <c r="E366" s="9"/>
      <c r="F366" s="9"/>
      <c r="G366" s="11"/>
    </row>
    <row r="367" spans="1:7" x14ac:dyDescent="0.2">
      <c r="A367" s="21"/>
      <c r="B367" s="13"/>
      <c r="C367" s="13"/>
      <c r="D367" s="13"/>
      <c r="E367" s="13"/>
      <c r="F367" s="13"/>
      <c r="G367" s="15"/>
    </row>
    <row r="368" spans="1:7" x14ac:dyDescent="0.2">
      <c r="A368" s="20"/>
      <c r="B368" s="9"/>
      <c r="C368" s="9"/>
      <c r="D368" s="9"/>
      <c r="E368" s="9"/>
      <c r="F368" s="9"/>
      <c r="G368" s="11"/>
    </row>
    <row r="369" spans="1:7" x14ac:dyDescent="0.2">
      <c r="A369" s="21"/>
      <c r="B369" s="13"/>
      <c r="C369" s="13"/>
      <c r="D369" s="13"/>
      <c r="E369" s="13"/>
      <c r="F369" s="13"/>
      <c r="G369" s="15"/>
    </row>
    <row r="370" spans="1:7" x14ac:dyDescent="0.2">
      <c r="A370" s="20"/>
      <c r="B370" s="9"/>
      <c r="C370" s="9"/>
      <c r="D370" s="9"/>
      <c r="E370" s="9"/>
      <c r="F370" s="9"/>
      <c r="G370" s="11"/>
    </row>
    <row r="371" spans="1:7" x14ac:dyDescent="0.2">
      <c r="A371" s="21"/>
      <c r="B371" s="13"/>
      <c r="C371" s="13"/>
      <c r="D371" s="13"/>
      <c r="E371" s="13"/>
      <c r="F371" s="13"/>
      <c r="G371" s="15"/>
    </row>
    <row r="372" spans="1:7" x14ac:dyDescent="0.2">
      <c r="A372" s="20"/>
      <c r="B372" s="9"/>
      <c r="C372" s="9"/>
      <c r="D372" s="9"/>
      <c r="E372" s="9"/>
      <c r="F372" s="9"/>
      <c r="G372" s="11"/>
    </row>
    <row r="373" spans="1:7" x14ac:dyDescent="0.2">
      <c r="A373" s="21"/>
      <c r="B373" s="13"/>
      <c r="C373" s="13"/>
      <c r="D373" s="13"/>
      <c r="E373" s="13"/>
      <c r="F373" s="13"/>
      <c r="G373" s="15"/>
    </row>
    <row r="374" spans="1:7" x14ac:dyDescent="0.2">
      <c r="A374" s="20"/>
      <c r="B374" s="9"/>
      <c r="C374" s="9"/>
      <c r="D374" s="9"/>
      <c r="E374" s="9"/>
      <c r="F374" s="9"/>
      <c r="G374" s="11"/>
    </row>
    <row r="375" spans="1:7" x14ac:dyDescent="0.2">
      <c r="A375" s="21"/>
      <c r="B375" s="13"/>
      <c r="C375" s="13"/>
      <c r="D375" s="13"/>
      <c r="E375" s="13"/>
      <c r="F375" s="13"/>
      <c r="G375" s="15"/>
    </row>
    <row r="376" spans="1:7" x14ac:dyDescent="0.2">
      <c r="A376" s="20"/>
      <c r="B376" s="9"/>
      <c r="C376" s="9"/>
      <c r="D376" s="9"/>
      <c r="E376" s="9"/>
      <c r="F376" s="9"/>
      <c r="G376" s="11"/>
    </row>
    <row r="377" spans="1:7" x14ac:dyDescent="0.2">
      <c r="A377" s="21"/>
      <c r="B377" s="13"/>
      <c r="C377" s="13"/>
      <c r="D377" s="13"/>
      <c r="E377" s="13"/>
      <c r="F377" s="13"/>
      <c r="G377" s="15"/>
    </row>
    <row r="378" spans="1:7" x14ac:dyDescent="0.2">
      <c r="A378" s="20"/>
      <c r="B378" s="9"/>
      <c r="C378" s="9"/>
      <c r="D378" s="9"/>
      <c r="E378" s="9"/>
      <c r="F378" s="9"/>
      <c r="G378" s="11"/>
    </row>
    <row r="379" spans="1:7" x14ac:dyDescent="0.2">
      <c r="A379" s="21"/>
      <c r="B379" s="13"/>
      <c r="C379" s="13"/>
      <c r="D379" s="13"/>
      <c r="E379" s="13"/>
      <c r="F379" s="13"/>
      <c r="G379" s="15"/>
    </row>
    <row r="380" spans="1:7" x14ac:dyDescent="0.2">
      <c r="A380" s="20"/>
      <c r="B380" s="9"/>
      <c r="C380" s="9"/>
      <c r="D380" s="9"/>
      <c r="E380" s="9"/>
      <c r="F380" s="9"/>
      <c r="G380" s="11"/>
    </row>
    <row r="381" spans="1:7" x14ac:dyDescent="0.2">
      <c r="A381" s="21"/>
      <c r="B381" s="13"/>
      <c r="C381" s="13"/>
      <c r="D381" s="13"/>
      <c r="E381" s="13"/>
      <c r="F381" s="13"/>
      <c r="G381" s="15"/>
    </row>
    <row r="382" spans="1:7" x14ac:dyDescent="0.2">
      <c r="A382" s="20"/>
      <c r="B382" s="9"/>
      <c r="C382" s="9"/>
      <c r="D382" s="9"/>
      <c r="E382" s="9"/>
      <c r="F382" s="9"/>
      <c r="G382" s="11"/>
    </row>
    <row r="383" spans="1:7" x14ac:dyDescent="0.2">
      <c r="A383" s="21"/>
      <c r="B383" s="13"/>
      <c r="C383" s="13"/>
      <c r="D383" s="13"/>
      <c r="E383" s="13"/>
      <c r="F383" s="13"/>
      <c r="G383" s="15"/>
    </row>
    <row r="384" spans="1:7" x14ac:dyDescent="0.2">
      <c r="A384" s="20"/>
      <c r="B384" s="9"/>
      <c r="C384" s="9"/>
      <c r="D384" s="9"/>
      <c r="E384" s="9"/>
      <c r="F384" s="9"/>
      <c r="G384" s="11"/>
    </row>
    <row r="385" spans="1:7" x14ac:dyDescent="0.2">
      <c r="A385" s="21"/>
      <c r="B385" s="13"/>
      <c r="C385" s="13"/>
      <c r="D385" s="13"/>
      <c r="E385" s="13"/>
      <c r="F385" s="13"/>
      <c r="G385" s="15"/>
    </row>
    <row r="386" spans="1:7" x14ac:dyDescent="0.2">
      <c r="A386" s="20"/>
      <c r="B386" s="9"/>
      <c r="C386" s="9"/>
      <c r="D386" s="9"/>
      <c r="E386" s="9"/>
      <c r="F386" s="9"/>
      <c r="G386" s="11"/>
    </row>
    <row r="387" spans="1:7" x14ac:dyDescent="0.2">
      <c r="A387" s="21"/>
      <c r="B387" s="13"/>
      <c r="C387" s="13"/>
      <c r="D387" s="13"/>
      <c r="E387" s="13"/>
      <c r="F387" s="13"/>
      <c r="G387" s="15"/>
    </row>
    <row r="388" spans="1:7" x14ac:dyDescent="0.2">
      <c r="A388" s="20"/>
      <c r="B388" s="9"/>
      <c r="C388" s="9"/>
      <c r="D388" s="9"/>
      <c r="E388" s="9"/>
      <c r="F388" s="9"/>
      <c r="G388" s="11"/>
    </row>
    <row r="389" spans="1:7" x14ac:dyDescent="0.2">
      <c r="A389" s="21"/>
      <c r="B389" s="13"/>
      <c r="C389" s="13"/>
      <c r="D389" s="13"/>
      <c r="E389" s="13"/>
      <c r="F389" s="13"/>
      <c r="G389" s="15"/>
    </row>
    <row r="390" spans="1:7" x14ac:dyDescent="0.2">
      <c r="A390" s="20"/>
      <c r="B390" s="9"/>
      <c r="C390" s="9"/>
      <c r="D390" s="9"/>
      <c r="E390" s="9"/>
      <c r="F390" s="9"/>
      <c r="G390" s="11"/>
    </row>
    <row r="391" spans="1:7" x14ac:dyDescent="0.2">
      <c r="A391" s="21"/>
      <c r="B391" s="13"/>
      <c r="C391" s="13"/>
      <c r="D391" s="13"/>
      <c r="E391" s="13"/>
      <c r="F391" s="13"/>
      <c r="G391" s="15"/>
    </row>
    <row r="392" spans="1:7" x14ac:dyDescent="0.2">
      <c r="A392" s="20"/>
      <c r="B392" s="9"/>
      <c r="C392" s="9"/>
      <c r="D392" s="9"/>
      <c r="E392" s="9"/>
      <c r="F392" s="9"/>
      <c r="G392" s="11"/>
    </row>
    <row r="393" spans="1:7" x14ac:dyDescent="0.2">
      <c r="A393" s="21"/>
      <c r="B393" s="13"/>
      <c r="C393" s="13"/>
      <c r="D393" s="13"/>
      <c r="E393" s="13"/>
      <c r="F393" s="13"/>
      <c r="G393" s="15"/>
    </row>
    <row r="394" spans="1:7" x14ac:dyDescent="0.2">
      <c r="A394" s="20"/>
      <c r="B394" s="9"/>
      <c r="C394" s="9"/>
      <c r="D394" s="9"/>
      <c r="E394" s="9"/>
      <c r="F394" s="9"/>
      <c r="G394" s="11"/>
    </row>
    <row r="395" spans="1:7" x14ac:dyDescent="0.2">
      <c r="A395" s="21"/>
      <c r="B395" s="13"/>
      <c r="C395" s="13"/>
      <c r="D395" s="13"/>
      <c r="E395" s="13"/>
      <c r="F395" s="13"/>
      <c r="G395" s="15"/>
    </row>
    <row r="396" spans="1:7" x14ac:dyDescent="0.2">
      <c r="A396" s="20"/>
      <c r="B396" s="9"/>
      <c r="C396" s="9"/>
      <c r="D396" s="9"/>
      <c r="E396" s="9"/>
      <c r="F396" s="9"/>
      <c r="G396" s="11"/>
    </row>
    <row r="397" spans="1:7" x14ac:dyDescent="0.2">
      <c r="A397" s="21"/>
      <c r="B397" s="13"/>
      <c r="C397" s="13"/>
      <c r="D397" s="13"/>
      <c r="E397" s="13"/>
      <c r="F397" s="13"/>
      <c r="G397" s="15"/>
    </row>
    <row r="398" spans="1:7" x14ac:dyDescent="0.2">
      <c r="A398" s="20"/>
      <c r="B398" s="9"/>
      <c r="C398" s="9"/>
      <c r="D398" s="9"/>
      <c r="E398" s="9"/>
      <c r="F398" s="9"/>
      <c r="G398" s="11"/>
    </row>
    <row r="399" spans="1:7" x14ac:dyDescent="0.2">
      <c r="A399" s="21"/>
      <c r="B399" s="13"/>
      <c r="C399" s="13"/>
      <c r="D399" s="13"/>
      <c r="E399" s="13"/>
      <c r="F399" s="13"/>
      <c r="G399" s="15"/>
    </row>
    <row r="400" spans="1:7" x14ac:dyDescent="0.2">
      <c r="A400" s="20"/>
      <c r="B400" s="9"/>
      <c r="C400" s="9"/>
      <c r="D400" s="9"/>
      <c r="E400" s="9"/>
      <c r="F400" s="9"/>
      <c r="G400" s="11"/>
    </row>
    <row r="401" spans="1:7" x14ac:dyDescent="0.2">
      <c r="A401" s="21"/>
      <c r="B401" s="13"/>
      <c r="C401" s="13"/>
      <c r="D401" s="13"/>
      <c r="E401" s="13"/>
      <c r="F401" s="13"/>
      <c r="G401" s="15"/>
    </row>
    <row r="402" spans="1:7" x14ac:dyDescent="0.2">
      <c r="A402" s="20"/>
      <c r="B402" s="9"/>
      <c r="C402" s="9"/>
      <c r="D402" s="9"/>
      <c r="E402" s="9"/>
      <c r="F402" s="9"/>
      <c r="G402" s="11"/>
    </row>
    <row r="403" spans="1:7" x14ac:dyDescent="0.2">
      <c r="A403" s="21"/>
      <c r="B403" s="13"/>
      <c r="C403" s="13"/>
      <c r="D403" s="13"/>
      <c r="E403" s="13"/>
      <c r="F403" s="13"/>
      <c r="G403" s="15"/>
    </row>
    <row r="404" spans="1:7" x14ac:dyDescent="0.2">
      <c r="A404" s="20"/>
      <c r="B404" s="9"/>
      <c r="C404" s="9"/>
      <c r="D404" s="9"/>
      <c r="E404" s="9"/>
      <c r="F404" s="9"/>
      <c r="G404" s="11"/>
    </row>
    <row r="405" spans="1:7" x14ac:dyDescent="0.2">
      <c r="A405" s="21"/>
      <c r="B405" s="13"/>
      <c r="C405" s="13"/>
      <c r="D405" s="13"/>
      <c r="E405" s="13"/>
      <c r="F405" s="13"/>
      <c r="G405" s="15"/>
    </row>
    <row r="406" spans="1:7" x14ac:dyDescent="0.2">
      <c r="A406" s="20"/>
      <c r="B406" s="9"/>
      <c r="C406" s="9"/>
      <c r="D406" s="9"/>
      <c r="E406" s="9"/>
      <c r="F406" s="9"/>
      <c r="G406" s="11"/>
    </row>
    <row r="407" spans="1:7" x14ac:dyDescent="0.2">
      <c r="A407" s="21"/>
      <c r="B407" s="13"/>
      <c r="C407" s="13"/>
      <c r="D407" s="13"/>
      <c r="E407" s="13"/>
      <c r="F407" s="13"/>
      <c r="G407" s="15"/>
    </row>
    <row r="408" spans="1:7" x14ac:dyDescent="0.2">
      <c r="A408" s="20"/>
      <c r="B408" s="9"/>
      <c r="C408" s="9"/>
      <c r="D408" s="9"/>
      <c r="E408" s="9"/>
      <c r="F408" s="9"/>
      <c r="G408" s="11"/>
    </row>
    <row r="409" spans="1:7" x14ac:dyDescent="0.2">
      <c r="A409" s="21"/>
      <c r="B409" s="13"/>
      <c r="C409" s="13"/>
      <c r="D409" s="13"/>
      <c r="E409" s="13"/>
      <c r="F409" s="13"/>
      <c r="G409" s="15"/>
    </row>
    <row r="410" spans="1:7" x14ac:dyDescent="0.2">
      <c r="A410" s="20"/>
      <c r="B410" s="9"/>
      <c r="C410" s="9"/>
      <c r="D410" s="9"/>
      <c r="E410" s="9"/>
      <c r="F410" s="9"/>
      <c r="G410" s="11"/>
    </row>
    <row r="411" spans="1:7" x14ac:dyDescent="0.2">
      <c r="A411" s="21"/>
      <c r="B411" s="13"/>
      <c r="C411" s="13"/>
      <c r="D411" s="13"/>
      <c r="E411" s="13"/>
      <c r="F411" s="13"/>
      <c r="G411" s="15"/>
    </row>
    <row r="412" spans="1:7" x14ac:dyDescent="0.2">
      <c r="A412" s="20"/>
      <c r="B412" s="9"/>
      <c r="C412" s="9"/>
      <c r="D412" s="9"/>
      <c r="E412" s="9"/>
      <c r="F412" s="9"/>
      <c r="G412" s="11"/>
    </row>
    <row r="413" spans="1:7" x14ac:dyDescent="0.2">
      <c r="A413" s="21"/>
      <c r="B413" s="13"/>
      <c r="C413" s="13"/>
      <c r="D413" s="13"/>
      <c r="E413" s="13"/>
      <c r="F413" s="13"/>
      <c r="G413" s="15"/>
    </row>
    <row r="414" spans="1:7" x14ac:dyDescent="0.2">
      <c r="A414" s="20"/>
      <c r="B414" s="9"/>
      <c r="C414" s="9"/>
      <c r="D414" s="9"/>
      <c r="E414" s="9"/>
      <c r="F414" s="9"/>
      <c r="G414" s="11"/>
    </row>
    <row r="415" spans="1:7" x14ac:dyDescent="0.2">
      <c r="A415" s="21"/>
      <c r="B415" s="13"/>
      <c r="C415" s="13"/>
      <c r="D415" s="13"/>
      <c r="E415" s="13"/>
      <c r="F415" s="13"/>
      <c r="G415" s="15"/>
    </row>
    <row r="416" spans="1:7" x14ac:dyDescent="0.2">
      <c r="A416" s="20"/>
      <c r="B416" s="9"/>
      <c r="C416" s="9"/>
      <c r="D416" s="9"/>
      <c r="E416" s="9"/>
      <c r="F416" s="9"/>
      <c r="G416" s="11"/>
    </row>
    <row r="417" spans="1:7" x14ac:dyDescent="0.2">
      <c r="A417" s="21"/>
      <c r="B417" s="13"/>
      <c r="C417" s="13"/>
      <c r="D417" s="13"/>
      <c r="E417" s="13"/>
      <c r="F417" s="13"/>
      <c r="G417" s="15"/>
    </row>
    <row r="418" spans="1:7" x14ac:dyDescent="0.2">
      <c r="A418" s="20"/>
      <c r="B418" s="9"/>
      <c r="C418" s="9"/>
      <c r="D418" s="9"/>
      <c r="E418" s="9"/>
      <c r="F418" s="9"/>
      <c r="G418" s="11"/>
    </row>
    <row r="419" spans="1:7" x14ac:dyDescent="0.2">
      <c r="A419" s="21"/>
      <c r="B419" s="13"/>
      <c r="C419" s="13"/>
      <c r="D419" s="13"/>
      <c r="E419" s="13"/>
      <c r="F419" s="13"/>
      <c r="G419" s="15"/>
    </row>
    <row r="420" spans="1:7" x14ac:dyDescent="0.2">
      <c r="A420" s="20"/>
      <c r="B420" s="9"/>
      <c r="C420" s="9"/>
      <c r="D420" s="9"/>
      <c r="E420" s="9"/>
      <c r="F420" s="9"/>
      <c r="G420" s="11"/>
    </row>
    <row r="421" spans="1:7" x14ac:dyDescent="0.2">
      <c r="A421" s="21"/>
      <c r="B421" s="13"/>
      <c r="C421" s="13"/>
      <c r="D421" s="13"/>
      <c r="E421" s="13"/>
      <c r="F421" s="13"/>
      <c r="G421" s="15"/>
    </row>
    <row r="422" spans="1:7" x14ac:dyDescent="0.2">
      <c r="A422" s="20"/>
      <c r="B422" s="9"/>
      <c r="C422" s="9"/>
      <c r="D422" s="9"/>
      <c r="E422" s="9"/>
      <c r="F422" s="9"/>
      <c r="G422" s="11"/>
    </row>
    <row r="423" spans="1:7" x14ac:dyDescent="0.2">
      <c r="A423" s="21"/>
      <c r="B423" s="13"/>
      <c r="C423" s="13"/>
      <c r="D423" s="13"/>
      <c r="E423" s="13"/>
      <c r="F423" s="13"/>
      <c r="G423" s="15"/>
    </row>
    <row r="424" spans="1:7" x14ac:dyDescent="0.2">
      <c r="A424" s="20"/>
      <c r="B424" s="9"/>
      <c r="C424" s="9"/>
      <c r="D424" s="9"/>
      <c r="E424" s="9"/>
      <c r="F424" s="9"/>
      <c r="G424" s="11"/>
    </row>
    <row r="425" spans="1:7" x14ac:dyDescent="0.2">
      <c r="A425" s="21"/>
      <c r="B425" s="13"/>
      <c r="C425" s="13"/>
      <c r="D425" s="13"/>
      <c r="E425" s="13"/>
      <c r="F425" s="13"/>
      <c r="G425" s="15"/>
    </row>
    <row r="426" spans="1:7" x14ac:dyDescent="0.2">
      <c r="A426" s="20"/>
      <c r="B426" s="9"/>
      <c r="C426" s="9"/>
      <c r="D426" s="9"/>
      <c r="E426" s="9"/>
      <c r="F426" s="9"/>
      <c r="G426" s="11"/>
    </row>
    <row r="427" spans="1:7" x14ac:dyDescent="0.2">
      <c r="A427" s="21"/>
      <c r="B427" s="13"/>
      <c r="C427" s="13"/>
      <c r="D427" s="13"/>
      <c r="E427" s="13"/>
      <c r="F427" s="13"/>
      <c r="G427" s="15"/>
    </row>
    <row r="428" spans="1:7" x14ac:dyDescent="0.2">
      <c r="A428" s="20"/>
      <c r="B428" s="9"/>
      <c r="C428" s="9"/>
      <c r="D428" s="9"/>
      <c r="E428" s="9"/>
      <c r="F428" s="9"/>
      <c r="G428" s="11"/>
    </row>
    <row r="429" spans="1:7" x14ac:dyDescent="0.2">
      <c r="A429" s="21"/>
      <c r="B429" s="13"/>
      <c r="C429" s="13"/>
      <c r="D429" s="13"/>
      <c r="E429" s="13"/>
      <c r="F429" s="13"/>
      <c r="G429" s="15"/>
    </row>
    <row r="430" spans="1:7" x14ac:dyDescent="0.2">
      <c r="A430" s="20"/>
      <c r="B430" s="9"/>
      <c r="C430" s="9"/>
      <c r="D430" s="9"/>
      <c r="E430" s="9"/>
      <c r="F430" s="9"/>
      <c r="G430" s="11"/>
    </row>
    <row r="431" spans="1:7" x14ac:dyDescent="0.2">
      <c r="A431" s="21"/>
      <c r="B431" s="13"/>
      <c r="C431" s="13"/>
      <c r="D431" s="13"/>
      <c r="E431" s="13"/>
      <c r="F431" s="13"/>
      <c r="G431" s="15"/>
    </row>
    <row r="432" spans="1:7" x14ac:dyDescent="0.2">
      <c r="A432" s="20"/>
      <c r="B432" s="9"/>
      <c r="C432" s="9"/>
      <c r="D432" s="9"/>
      <c r="E432" s="9"/>
      <c r="F432" s="9"/>
      <c r="G432" s="11"/>
    </row>
    <row r="433" spans="1:7" x14ac:dyDescent="0.2">
      <c r="A433" s="21"/>
      <c r="B433" s="13"/>
      <c r="C433" s="13"/>
      <c r="D433" s="13"/>
      <c r="E433" s="13"/>
      <c r="F433" s="13"/>
      <c r="G433" s="15"/>
    </row>
    <row r="434" spans="1:7" x14ac:dyDescent="0.2">
      <c r="A434" s="20"/>
      <c r="B434" s="9"/>
      <c r="C434" s="9"/>
      <c r="D434" s="9"/>
      <c r="E434" s="9"/>
      <c r="F434" s="9"/>
      <c r="G434" s="11"/>
    </row>
    <row r="435" spans="1:7" x14ac:dyDescent="0.2">
      <c r="A435" s="21"/>
      <c r="B435" s="13"/>
      <c r="C435" s="13"/>
      <c r="D435" s="13"/>
      <c r="E435" s="13"/>
      <c r="F435" s="13"/>
      <c r="G435" s="15"/>
    </row>
    <row r="436" spans="1:7" x14ac:dyDescent="0.2">
      <c r="A436" s="20"/>
      <c r="B436" s="9"/>
      <c r="C436" s="9"/>
      <c r="D436" s="9"/>
      <c r="E436" s="9"/>
      <c r="F436" s="9"/>
      <c r="G436" s="11"/>
    </row>
    <row r="437" spans="1:7" x14ac:dyDescent="0.2">
      <c r="A437" s="21"/>
      <c r="B437" s="13"/>
      <c r="C437" s="13"/>
      <c r="D437" s="13"/>
      <c r="E437" s="13"/>
      <c r="F437" s="13"/>
      <c r="G437" s="15"/>
    </row>
    <row r="438" spans="1:7" x14ac:dyDescent="0.2">
      <c r="A438" s="20"/>
      <c r="B438" s="9"/>
      <c r="C438" s="9"/>
      <c r="D438" s="9"/>
      <c r="E438" s="9"/>
      <c r="F438" s="9"/>
      <c r="G438" s="11"/>
    </row>
    <row r="439" spans="1:7" x14ac:dyDescent="0.2">
      <c r="A439" s="21"/>
      <c r="B439" s="13"/>
      <c r="C439" s="13"/>
      <c r="D439" s="13"/>
      <c r="E439" s="13"/>
      <c r="F439" s="13"/>
      <c r="G439" s="15"/>
    </row>
    <row r="440" spans="1:7" x14ac:dyDescent="0.2">
      <c r="A440" s="20"/>
      <c r="B440" s="9"/>
      <c r="C440" s="9"/>
      <c r="D440" s="9"/>
      <c r="E440" s="9"/>
      <c r="F440" s="9"/>
      <c r="G440" s="11"/>
    </row>
    <row r="441" spans="1:7" x14ac:dyDescent="0.2">
      <c r="A441" s="21"/>
      <c r="B441" s="13"/>
      <c r="C441" s="13"/>
      <c r="D441" s="13"/>
      <c r="E441" s="13"/>
      <c r="F441" s="13"/>
      <c r="G441" s="15"/>
    </row>
    <row r="442" spans="1:7" x14ac:dyDescent="0.2">
      <c r="A442" s="20"/>
      <c r="B442" s="9"/>
      <c r="C442" s="9"/>
      <c r="D442" s="9"/>
      <c r="E442" s="9"/>
      <c r="F442" s="9"/>
      <c r="G442" s="11"/>
    </row>
    <row r="443" spans="1:7" x14ac:dyDescent="0.2">
      <c r="A443" s="21"/>
      <c r="B443" s="13"/>
      <c r="C443" s="13"/>
      <c r="D443" s="13"/>
      <c r="E443" s="13"/>
      <c r="F443" s="13"/>
      <c r="G443" s="15"/>
    </row>
    <row r="444" spans="1:7" x14ac:dyDescent="0.2">
      <c r="A444" s="20"/>
      <c r="B444" s="9"/>
      <c r="C444" s="9"/>
      <c r="D444" s="9"/>
      <c r="E444" s="9"/>
      <c r="F444" s="9"/>
      <c r="G444" s="11"/>
    </row>
    <row r="445" spans="1:7" x14ac:dyDescent="0.2">
      <c r="A445" s="21"/>
      <c r="B445" s="13"/>
      <c r="C445" s="13"/>
      <c r="D445" s="13"/>
      <c r="E445" s="13"/>
      <c r="F445" s="13"/>
      <c r="G445" s="15"/>
    </row>
    <row r="446" spans="1:7" x14ac:dyDescent="0.2">
      <c r="A446" s="20"/>
      <c r="B446" s="9"/>
      <c r="C446" s="9"/>
      <c r="D446" s="9"/>
      <c r="E446" s="9"/>
      <c r="F446" s="9"/>
      <c r="G446" s="11"/>
    </row>
    <row r="447" spans="1:7" x14ac:dyDescent="0.2">
      <c r="A447" s="21"/>
      <c r="B447" s="13"/>
      <c r="C447" s="13"/>
      <c r="D447" s="13"/>
      <c r="E447" s="13"/>
      <c r="F447" s="13"/>
      <c r="G447" s="15"/>
    </row>
    <row r="448" spans="1:7" x14ac:dyDescent="0.2">
      <c r="A448" s="20"/>
      <c r="B448" s="9"/>
      <c r="C448" s="9"/>
      <c r="D448" s="9"/>
      <c r="E448" s="9"/>
      <c r="F448" s="9"/>
      <c r="G448" s="11"/>
    </row>
    <row r="449" spans="1:7" x14ac:dyDescent="0.2">
      <c r="A449" s="21"/>
      <c r="B449" s="13"/>
      <c r="C449" s="13"/>
      <c r="D449" s="13"/>
      <c r="E449" s="13"/>
      <c r="F449" s="13"/>
      <c r="G449" s="15"/>
    </row>
    <row r="450" spans="1:7" x14ac:dyDescent="0.2">
      <c r="A450" s="20"/>
      <c r="B450" s="9"/>
      <c r="C450" s="9"/>
      <c r="D450" s="9"/>
      <c r="E450" s="9"/>
      <c r="F450" s="9"/>
      <c r="G450" s="11"/>
    </row>
    <row r="451" spans="1:7" x14ac:dyDescent="0.2">
      <c r="A451" s="21"/>
      <c r="B451" s="13"/>
      <c r="C451" s="13"/>
      <c r="D451" s="13"/>
      <c r="E451" s="13"/>
      <c r="F451" s="13"/>
      <c r="G451" s="15"/>
    </row>
    <row r="452" spans="1:7" x14ac:dyDescent="0.2">
      <c r="A452" s="20"/>
      <c r="B452" s="9"/>
      <c r="C452" s="9"/>
      <c r="D452" s="9"/>
      <c r="E452" s="9"/>
      <c r="F452" s="9"/>
      <c r="G452" s="11"/>
    </row>
    <row r="453" spans="1:7" x14ac:dyDescent="0.2">
      <c r="A453" s="21"/>
      <c r="B453" s="13"/>
      <c r="C453" s="13"/>
      <c r="D453" s="13"/>
      <c r="E453" s="13"/>
      <c r="F453" s="13"/>
      <c r="G453" s="15"/>
    </row>
    <row r="454" spans="1:7" x14ac:dyDescent="0.2">
      <c r="A454" s="20"/>
      <c r="B454" s="9"/>
      <c r="C454" s="9"/>
      <c r="D454" s="9"/>
      <c r="E454" s="9"/>
      <c r="F454" s="9"/>
      <c r="G454" s="11"/>
    </row>
    <row r="455" spans="1:7" x14ac:dyDescent="0.2">
      <c r="A455" s="21"/>
      <c r="B455" s="13"/>
      <c r="C455" s="13"/>
      <c r="D455" s="13"/>
      <c r="E455" s="13"/>
      <c r="F455" s="13"/>
      <c r="G455" s="15"/>
    </row>
    <row r="456" spans="1:7" x14ac:dyDescent="0.2">
      <c r="A456" s="20"/>
      <c r="B456" s="9"/>
      <c r="C456" s="9"/>
      <c r="D456" s="9"/>
      <c r="E456" s="9"/>
      <c r="F456" s="9"/>
      <c r="G456" s="11"/>
    </row>
    <row r="457" spans="1:7" x14ac:dyDescent="0.2">
      <c r="A457" s="21"/>
      <c r="B457" s="13"/>
      <c r="C457" s="13"/>
      <c r="D457" s="13"/>
      <c r="E457" s="13"/>
      <c r="F457" s="13"/>
      <c r="G457" s="15"/>
    </row>
    <row r="458" spans="1:7" x14ac:dyDescent="0.2">
      <c r="A458" s="20"/>
      <c r="B458" s="9"/>
      <c r="C458" s="9"/>
      <c r="D458" s="9"/>
      <c r="E458" s="9"/>
      <c r="F458" s="9"/>
      <c r="G458" s="11"/>
    </row>
    <row r="459" spans="1:7" x14ac:dyDescent="0.2">
      <c r="A459" s="21"/>
      <c r="B459" s="13"/>
      <c r="C459" s="13"/>
      <c r="D459" s="13"/>
      <c r="E459" s="13"/>
      <c r="F459" s="13"/>
      <c r="G459" s="15"/>
    </row>
    <row r="460" spans="1:7" x14ac:dyDescent="0.2">
      <c r="A460" s="20"/>
      <c r="B460" s="9"/>
      <c r="C460" s="9"/>
      <c r="D460" s="9"/>
      <c r="E460" s="9"/>
      <c r="F460" s="9"/>
      <c r="G460" s="11"/>
    </row>
    <row r="461" spans="1:7" x14ac:dyDescent="0.2">
      <c r="A461" s="21"/>
      <c r="B461" s="13"/>
      <c r="C461" s="13"/>
      <c r="D461" s="13"/>
      <c r="E461" s="13"/>
      <c r="F461" s="13"/>
      <c r="G461" s="15"/>
    </row>
    <row r="462" spans="1:7" x14ac:dyDescent="0.2">
      <c r="A462" s="20"/>
      <c r="B462" s="9"/>
      <c r="C462" s="9"/>
      <c r="D462" s="9"/>
      <c r="E462" s="9"/>
      <c r="F462" s="9"/>
      <c r="G462" s="11"/>
    </row>
    <row r="463" spans="1:7" x14ac:dyDescent="0.2">
      <c r="A463" s="21"/>
      <c r="B463" s="13"/>
      <c r="C463" s="13"/>
      <c r="D463" s="13"/>
      <c r="E463" s="13"/>
      <c r="F463" s="13"/>
      <c r="G463" s="15"/>
    </row>
    <row r="464" spans="1:7" x14ac:dyDescent="0.2">
      <c r="A464" s="20"/>
      <c r="B464" s="9"/>
      <c r="C464" s="9"/>
      <c r="D464" s="9"/>
      <c r="E464" s="9"/>
      <c r="F464" s="9"/>
      <c r="G464" s="11"/>
    </row>
    <row r="465" spans="1:7" x14ac:dyDescent="0.2">
      <c r="A465" s="21"/>
      <c r="B465" s="13"/>
      <c r="C465" s="13"/>
      <c r="D465" s="13"/>
      <c r="E465" s="13"/>
      <c r="F465" s="13"/>
      <c r="G465" s="15"/>
    </row>
    <row r="466" spans="1:7" x14ac:dyDescent="0.2">
      <c r="A466" s="20"/>
      <c r="B466" s="9"/>
      <c r="C466" s="9"/>
      <c r="D466" s="9"/>
      <c r="E466" s="9"/>
      <c r="F466" s="9"/>
      <c r="G466" s="11"/>
    </row>
    <row r="467" spans="1:7" x14ac:dyDescent="0.2">
      <c r="A467" s="21"/>
      <c r="B467" s="13"/>
      <c r="C467" s="13"/>
      <c r="D467" s="13"/>
      <c r="E467" s="13"/>
      <c r="F467" s="13"/>
      <c r="G467" s="15"/>
    </row>
    <row r="468" spans="1:7" x14ac:dyDescent="0.2">
      <c r="A468" s="20"/>
      <c r="B468" s="9"/>
      <c r="C468" s="9"/>
      <c r="D468" s="9"/>
      <c r="E468" s="9"/>
      <c r="F468" s="9"/>
      <c r="G468" s="11"/>
    </row>
    <row r="469" spans="1:7" x14ac:dyDescent="0.2">
      <c r="A469" s="21"/>
      <c r="B469" s="13"/>
      <c r="C469" s="13"/>
      <c r="D469" s="13"/>
      <c r="E469" s="13"/>
      <c r="F469" s="13"/>
      <c r="G469" s="15"/>
    </row>
    <row r="470" spans="1:7" x14ac:dyDescent="0.2">
      <c r="A470" s="20"/>
      <c r="B470" s="9"/>
      <c r="C470" s="9"/>
      <c r="D470" s="9"/>
      <c r="E470" s="9"/>
      <c r="F470" s="9"/>
      <c r="G470" s="11"/>
    </row>
    <row r="471" spans="1:7" x14ac:dyDescent="0.2">
      <c r="A471" s="21"/>
      <c r="B471" s="13"/>
      <c r="C471" s="13"/>
      <c r="D471" s="13"/>
      <c r="E471" s="13"/>
      <c r="F471" s="13"/>
      <c r="G471" s="15"/>
    </row>
    <row r="472" spans="1:7" x14ac:dyDescent="0.2">
      <c r="A472" s="20"/>
      <c r="B472" s="9"/>
      <c r="C472" s="9"/>
      <c r="D472" s="9"/>
      <c r="E472" s="9"/>
      <c r="F472" s="9"/>
      <c r="G472" s="11"/>
    </row>
    <row r="473" spans="1:7" x14ac:dyDescent="0.2">
      <c r="A473" s="21"/>
      <c r="B473" s="13"/>
      <c r="C473" s="13"/>
      <c r="D473" s="13"/>
      <c r="E473" s="13"/>
      <c r="F473" s="13"/>
      <c r="G473" s="15"/>
    </row>
    <row r="474" spans="1:7" x14ac:dyDescent="0.2">
      <c r="A474" s="20"/>
      <c r="B474" s="9"/>
      <c r="C474" s="9"/>
      <c r="D474" s="9"/>
      <c r="E474" s="9"/>
      <c r="F474" s="9"/>
      <c r="G474" s="11"/>
    </row>
    <row r="475" spans="1:7" x14ac:dyDescent="0.2">
      <c r="A475" s="21"/>
      <c r="B475" s="13"/>
      <c r="C475" s="13"/>
      <c r="D475" s="13"/>
      <c r="E475" s="13"/>
      <c r="F475" s="13"/>
      <c r="G475" s="15"/>
    </row>
    <row r="476" spans="1:7" x14ac:dyDescent="0.2">
      <c r="A476" s="20"/>
      <c r="B476" s="9"/>
      <c r="C476" s="9"/>
      <c r="D476" s="9"/>
      <c r="E476" s="9"/>
      <c r="F476" s="9"/>
      <c r="G476" s="11"/>
    </row>
    <row r="477" spans="1:7" x14ac:dyDescent="0.2">
      <c r="A477" s="21"/>
      <c r="B477" s="13"/>
      <c r="C477" s="13"/>
      <c r="D477" s="13"/>
      <c r="E477" s="13"/>
      <c r="F477" s="13"/>
      <c r="G477" s="15"/>
    </row>
    <row r="478" spans="1:7" x14ac:dyDescent="0.2">
      <c r="A478" s="20"/>
      <c r="B478" s="9"/>
      <c r="C478" s="9"/>
      <c r="D478" s="9"/>
      <c r="E478" s="9"/>
      <c r="F478" s="9"/>
      <c r="G478" s="11"/>
    </row>
    <row r="479" spans="1:7" x14ac:dyDescent="0.2">
      <c r="A479" s="21"/>
      <c r="B479" s="13"/>
      <c r="C479" s="13"/>
      <c r="D479" s="13"/>
      <c r="E479" s="13"/>
      <c r="F479" s="13"/>
      <c r="G479" s="15"/>
    </row>
    <row r="480" spans="1:7" x14ac:dyDescent="0.2">
      <c r="A480" s="20"/>
      <c r="B480" s="9"/>
      <c r="C480" s="9"/>
      <c r="D480" s="9"/>
      <c r="E480" s="9"/>
      <c r="F480" s="9"/>
      <c r="G480" s="11"/>
    </row>
    <row r="481" spans="1:7" x14ac:dyDescent="0.2">
      <c r="A481" s="21"/>
      <c r="B481" s="13"/>
      <c r="C481" s="13"/>
      <c r="D481" s="13"/>
      <c r="E481" s="13"/>
      <c r="F481" s="13"/>
      <c r="G481" s="15"/>
    </row>
    <row r="482" spans="1:7" x14ac:dyDescent="0.2">
      <c r="A482" s="20"/>
      <c r="B482" s="9"/>
      <c r="C482" s="9"/>
      <c r="D482" s="9"/>
      <c r="E482" s="9"/>
      <c r="F482" s="9"/>
      <c r="G482" s="11"/>
    </row>
    <row r="483" spans="1:7" x14ac:dyDescent="0.2">
      <c r="A483" s="21"/>
      <c r="B483" s="13"/>
      <c r="C483" s="13"/>
      <c r="D483" s="13"/>
      <c r="E483" s="13"/>
      <c r="F483" s="13"/>
      <c r="G483" s="15"/>
    </row>
    <row r="484" spans="1:7" x14ac:dyDescent="0.2">
      <c r="A484" s="20"/>
      <c r="B484" s="9"/>
      <c r="C484" s="9"/>
      <c r="D484" s="9"/>
      <c r="E484" s="9"/>
      <c r="F484" s="9"/>
      <c r="G484" s="11"/>
    </row>
    <row r="485" spans="1:7" x14ac:dyDescent="0.2">
      <c r="A485" s="21"/>
      <c r="B485" s="13"/>
      <c r="C485" s="13"/>
      <c r="D485" s="13"/>
      <c r="E485" s="13"/>
      <c r="F485" s="13"/>
      <c r="G485" s="15"/>
    </row>
    <row r="486" spans="1:7" x14ac:dyDescent="0.2">
      <c r="A486" s="20"/>
      <c r="B486" s="9"/>
      <c r="C486" s="9"/>
      <c r="D486" s="9"/>
      <c r="E486" s="9"/>
      <c r="F486" s="9"/>
      <c r="G486" s="11"/>
    </row>
    <row r="487" spans="1:7" x14ac:dyDescent="0.2">
      <c r="A487" s="21"/>
      <c r="B487" s="13"/>
      <c r="C487" s="13"/>
      <c r="D487" s="13"/>
      <c r="E487" s="13"/>
      <c r="F487" s="13"/>
      <c r="G487" s="15"/>
    </row>
    <row r="488" spans="1:7" x14ac:dyDescent="0.2">
      <c r="A488" s="20"/>
      <c r="B488" s="9"/>
      <c r="C488" s="9"/>
      <c r="D488" s="9"/>
      <c r="E488" s="9"/>
      <c r="F488" s="9"/>
      <c r="G488" s="11"/>
    </row>
    <row r="489" spans="1:7" x14ac:dyDescent="0.2">
      <c r="A489" s="21"/>
      <c r="B489" s="13"/>
      <c r="C489" s="13"/>
      <c r="D489" s="13"/>
      <c r="E489" s="13"/>
      <c r="F489" s="13"/>
      <c r="G489" s="15"/>
    </row>
    <row r="490" spans="1:7" x14ac:dyDescent="0.2">
      <c r="A490" s="20"/>
      <c r="B490" s="9"/>
      <c r="C490" s="9"/>
      <c r="D490" s="9"/>
      <c r="E490" s="9"/>
      <c r="F490" s="9"/>
      <c r="G490" s="11"/>
    </row>
    <row r="491" spans="1:7" x14ac:dyDescent="0.2">
      <c r="A491" s="21"/>
      <c r="B491" s="13"/>
      <c r="C491" s="13"/>
      <c r="D491" s="13"/>
      <c r="E491" s="13"/>
      <c r="F491" s="13"/>
      <c r="G491" s="15"/>
    </row>
    <row r="492" spans="1:7" x14ac:dyDescent="0.2">
      <c r="A492" s="20"/>
      <c r="B492" s="9"/>
      <c r="C492" s="9"/>
      <c r="D492" s="9"/>
      <c r="E492" s="9"/>
      <c r="F492" s="9"/>
      <c r="G492" s="11"/>
    </row>
    <row r="493" spans="1:7" x14ac:dyDescent="0.2">
      <c r="A493" s="21"/>
      <c r="B493" s="13"/>
      <c r="C493" s="13"/>
      <c r="D493" s="13"/>
      <c r="E493" s="13"/>
      <c r="F493" s="13"/>
      <c r="G493" s="15"/>
    </row>
    <row r="494" spans="1:7" x14ac:dyDescent="0.2">
      <c r="A494" s="20"/>
      <c r="B494" s="9"/>
      <c r="C494" s="9"/>
      <c r="D494" s="9"/>
      <c r="E494" s="9"/>
      <c r="F494" s="9"/>
      <c r="G494" s="11"/>
    </row>
    <row r="495" spans="1:7" x14ac:dyDescent="0.2">
      <c r="A495" s="21"/>
      <c r="B495" s="13"/>
      <c r="C495" s="13"/>
      <c r="D495" s="13"/>
      <c r="E495" s="13"/>
      <c r="F495" s="13"/>
      <c r="G495" s="15"/>
    </row>
    <row r="496" spans="1:7" x14ac:dyDescent="0.2">
      <c r="A496" s="20"/>
      <c r="B496" s="9"/>
      <c r="C496" s="9"/>
      <c r="D496" s="9"/>
      <c r="E496" s="9"/>
      <c r="F496" s="9"/>
      <c r="G496" s="11"/>
    </row>
    <row r="497" spans="1:7" x14ac:dyDescent="0.2">
      <c r="A497" s="21"/>
      <c r="B497" s="13"/>
      <c r="C497" s="13"/>
      <c r="D497" s="13"/>
      <c r="E497" s="13"/>
      <c r="F497" s="13"/>
      <c r="G497" s="15"/>
    </row>
    <row r="498" spans="1:7" x14ac:dyDescent="0.2">
      <c r="A498" s="20"/>
      <c r="B498" s="9"/>
      <c r="C498" s="9"/>
      <c r="D498" s="9"/>
      <c r="E498" s="9"/>
      <c r="F498" s="9"/>
      <c r="G498" s="11"/>
    </row>
    <row r="499" spans="1:7" x14ac:dyDescent="0.2">
      <c r="A499" s="21"/>
      <c r="B499" s="13"/>
      <c r="C499" s="13"/>
      <c r="D499" s="13"/>
      <c r="E499" s="13"/>
      <c r="F499" s="13"/>
      <c r="G499" s="15"/>
    </row>
    <row r="500" spans="1:7" x14ac:dyDescent="0.2">
      <c r="A500" s="20"/>
      <c r="B500" s="9"/>
      <c r="C500" s="9"/>
      <c r="D500" s="9"/>
      <c r="E500" s="9"/>
      <c r="F500" s="9"/>
      <c r="G500" s="11"/>
    </row>
    <row r="501" spans="1:7" x14ac:dyDescent="0.2">
      <c r="A501" s="21"/>
      <c r="B501" s="13"/>
      <c r="C501" s="13"/>
      <c r="D501" s="13"/>
      <c r="E501" s="13"/>
      <c r="F501" s="13"/>
      <c r="G501" s="15"/>
    </row>
    <row r="502" spans="1:7" x14ac:dyDescent="0.2">
      <c r="A502" s="20"/>
      <c r="B502" s="9"/>
      <c r="C502" s="9"/>
      <c r="D502" s="9"/>
      <c r="E502" s="9"/>
      <c r="F502" s="9"/>
      <c r="G502" s="11"/>
    </row>
    <row r="503" spans="1:7" x14ac:dyDescent="0.2">
      <c r="A503" s="21"/>
      <c r="B503" s="13"/>
      <c r="C503" s="13"/>
      <c r="D503" s="13"/>
      <c r="E503" s="13"/>
      <c r="F503" s="13"/>
      <c r="G503" s="15"/>
    </row>
    <row r="504" spans="1:7" x14ac:dyDescent="0.2">
      <c r="A504" s="20"/>
      <c r="B504" s="9"/>
      <c r="C504" s="9"/>
      <c r="D504" s="9"/>
      <c r="E504" s="9"/>
      <c r="F504" s="9"/>
      <c r="G504" s="11"/>
    </row>
    <row r="505" spans="1:7" x14ac:dyDescent="0.2">
      <c r="A505" s="21"/>
      <c r="B505" s="13"/>
      <c r="C505" s="13"/>
      <c r="D505" s="13"/>
      <c r="E505" s="13"/>
      <c r="F505" s="13"/>
      <c r="G505" s="15"/>
    </row>
    <row r="506" spans="1:7" x14ac:dyDescent="0.2">
      <c r="A506" s="20"/>
      <c r="B506" s="9"/>
      <c r="C506" s="9"/>
      <c r="D506" s="9"/>
      <c r="E506" s="9"/>
      <c r="F506" s="9"/>
      <c r="G506" s="11"/>
    </row>
    <row r="507" spans="1:7" x14ac:dyDescent="0.2">
      <c r="A507" s="21"/>
      <c r="B507" s="13"/>
      <c r="C507" s="13"/>
      <c r="D507" s="13"/>
      <c r="E507" s="13"/>
      <c r="F507" s="13"/>
      <c r="G507" s="15"/>
    </row>
    <row r="508" spans="1:7" x14ac:dyDescent="0.2">
      <c r="A508" s="20"/>
      <c r="B508" s="9"/>
      <c r="C508" s="9"/>
      <c r="D508" s="9"/>
      <c r="E508" s="9"/>
      <c r="F508" s="9"/>
      <c r="G508" s="11"/>
    </row>
    <row r="509" spans="1:7" x14ac:dyDescent="0.2">
      <c r="A509" s="21"/>
      <c r="B509" s="13"/>
      <c r="C509" s="13"/>
      <c r="D509" s="13"/>
      <c r="E509" s="13"/>
      <c r="F509" s="13"/>
      <c r="G509" s="15"/>
    </row>
    <row r="510" spans="1:7" x14ac:dyDescent="0.2">
      <c r="A510" s="20"/>
      <c r="B510" s="9"/>
      <c r="C510" s="9"/>
      <c r="D510" s="9"/>
      <c r="E510" s="9"/>
      <c r="F510" s="9"/>
      <c r="G510" s="11"/>
    </row>
    <row r="511" spans="1:7" x14ac:dyDescent="0.2">
      <c r="A511" s="21"/>
      <c r="B511" s="13"/>
      <c r="C511" s="13"/>
      <c r="D511" s="13"/>
      <c r="E511" s="13"/>
      <c r="F511" s="13"/>
      <c r="G511" s="15"/>
    </row>
    <row r="512" spans="1:7" x14ac:dyDescent="0.2">
      <c r="A512" s="20"/>
      <c r="B512" s="9"/>
      <c r="C512" s="9"/>
      <c r="D512" s="9"/>
      <c r="E512" s="9"/>
      <c r="F512" s="9"/>
      <c r="G512" s="11"/>
    </row>
    <row r="513" spans="1:7" x14ac:dyDescent="0.2">
      <c r="A513" s="21"/>
      <c r="B513" s="13"/>
      <c r="C513" s="13"/>
      <c r="D513" s="13"/>
      <c r="E513" s="13"/>
      <c r="F513" s="13"/>
      <c r="G513" s="15"/>
    </row>
    <row r="514" spans="1:7" x14ac:dyDescent="0.2">
      <c r="A514" s="20"/>
      <c r="B514" s="9"/>
      <c r="C514" s="9"/>
      <c r="D514" s="9"/>
      <c r="E514" s="9"/>
      <c r="F514" s="9"/>
      <c r="G514" s="11"/>
    </row>
    <row r="515" spans="1:7" x14ac:dyDescent="0.2">
      <c r="A515" s="21"/>
      <c r="B515" s="13"/>
      <c r="C515" s="13"/>
      <c r="D515" s="13"/>
      <c r="E515" s="13"/>
      <c r="F515" s="13"/>
      <c r="G515" s="15"/>
    </row>
    <row r="516" spans="1:7" x14ac:dyDescent="0.2">
      <c r="A516" s="20"/>
      <c r="B516" s="9"/>
      <c r="C516" s="9"/>
      <c r="D516" s="9"/>
      <c r="E516" s="9"/>
      <c r="F516" s="9"/>
      <c r="G516" s="11"/>
    </row>
    <row r="517" spans="1:7" x14ac:dyDescent="0.2">
      <c r="A517" s="21"/>
      <c r="B517" s="13"/>
      <c r="C517" s="13"/>
      <c r="D517" s="13"/>
      <c r="E517" s="13"/>
      <c r="F517" s="13"/>
      <c r="G517" s="15"/>
    </row>
    <row r="518" spans="1:7" x14ac:dyDescent="0.2">
      <c r="A518" s="20"/>
      <c r="B518" s="9"/>
      <c r="C518" s="9"/>
      <c r="D518" s="9"/>
      <c r="E518" s="9"/>
      <c r="F518" s="9"/>
      <c r="G518" s="11"/>
    </row>
    <row r="519" spans="1:7" x14ac:dyDescent="0.2">
      <c r="A519" s="21"/>
      <c r="B519" s="13"/>
      <c r="C519" s="13"/>
      <c r="D519" s="13"/>
      <c r="E519" s="13"/>
      <c r="F519" s="13"/>
      <c r="G519" s="15"/>
    </row>
    <row r="520" spans="1:7" x14ac:dyDescent="0.2">
      <c r="A520" s="20"/>
      <c r="B520" s="9"/>
      <c r="C520" s="9"/>
      <c r="D520" s="9"/>
      <c r="E520" s="9"/>
      <c r="F520" s="9"/>
      <c r="G520" s="11"/>
    </row>
    <row r="521" spans="1:7" x14ac:dyDescent="0.2">
      <c r="A521" s="21"/>
      <c r="B521" s="13"/>
      <c r="C521" s="13"/>
      <c r="D521" s="13"/>
      <c r="E521" s="13"/>
      <c r="F521" s="13"/>
      <c r="G521" s="15"/>
    </row>
    <row r="522" spans="1:7" x14ac:dyDescent="0.2">
      <c r="A522" s="20"/>
      <c r="B522" s="9"/>
      <c r="C522" s="9"/>
      <c r="D522" s="9"/>
      <c r="E522" s="9"/>
      <c r="F522" s="9"/>
      <c r="G522" s="11"/>
    </row>
    <row r="523" spans="1:7" x14ac:dyDescent="0.2">
      <c r="A523" s="21"/>
      <c r="B523" s="13"/>
      <c r="C523" s="13"/>
      <c r="D523" s="13"/>
      <c r="E523" s="13"/>
      <c r="F523" s="13"/>
      <c r="G523" s="15"/>
    </row>
    <row r="524" spans="1:7" x14ac:dyDescent="0.2">
      <c r="A524" s="20"/>
      <c r="B524" s="9"/>
      <c r="C524" s="9"/>
      <c r="D524" s="9"/>
      <c r="E524" s="9"/>
      <c r="F524" s="9"/>
      <c r="G524" s="11"/>
    </row>
    <row r="525" spans="1:7" x14ac:dyDescent="0.2">
      <c r="A525" s="21"/>
      <c r="B525" s="13"/>
      <c r="C525" s="13"/>
      <c r="D525" s="13"/>
      <c r="E525" s="13"/>
      <c r="F525" s="13"/>
      <c r="G525" s="15"/>
    </row>
    <row r="526" spans="1:7" x14ac:dyDescent="0.2">
      <c r="A526" s="20"/>
      <c r="B526" s="9"/>
      <c r="C526" s="9"/>
      <c r="D526" s="9"/>
      <c r="E526" s="9"/>
      <c r="F526" s="9"/>
      <c r="G526" s="11"/>
    </row>
    <row r="527" spans="1:7" x14ac:dyDescent="0.2">
      <c r="A527" s="21"/>
      <c r="B527" s="13"/>
      <c r="C527" s="13"/>
      <c r="D527" s="13"/>
      <c r="E527" s="13"/>
      <c r="F527" s="13"/>
      <c r="G527" s="15"/>
    </row>
    <row r="528" spans="1:7" x14ac:dyDescent="0.2">
      <c r="A528" s="20"/>
      <c r="B528" s="9"/>
      <c r="C528" s="9"/>
      <c r="D528" s="9"/>
      <c r="E528" s="9"/>
      <c r="F528" s="9"/>
      <c r="G528" s="11"/>
    </row>
    <row r="529" spans="1:7" x14ac:dyDescent="0.2">
      <c r="A529" s="21"/>
      <c r="B529" s="13"/>
      <c r="C529" s="13"/>
      <c r="D529" s="13"/>
      <c r="E529" s="13"/>
      <c r="F529" s="13"/>
      <c r="G529" s="15"/>
    </row>
    <row r="530" spans="1:7" x14ac:dyDescent="0.2">
      <c r="A530" s="20"/>
      <c r="B530" s="9"/>
      <c r="C530" s="9"/>
      <c r="D530" s="9"/>
      <c r="E530" s="9"/>
      <c r="F530" s="9"/>
      <c r="G530" s="11"/>
    </row>
    <row r="531" spans="1:7" x14ac:dyDescent="0.2">
      <c r="A531" s="21"/>
      <c r="B531" s="13"/>
      <c r="C531" s="13"/>
      <c r="D531" s="13"/>
      <c r="E531" s="13"/>
      <c r="F531" s="13"/>
      <c r="G531" s="15"/>
    </row>
    <row r="532" spans="1:7" x14ac:dyDescent="0.2">
      <c r="A532" s="20"/>
      <c r="B532" s="9"/>
      <c r="C532" s="9"/>
      <c r="D532" s="9"/>
      <c r="E532" s="9"/>
      <c r="F532" s="9"/>
      <c r="G532" s="11"/>
    </row>
    <row r="533" spans="1:7" x14ac:dyDescent="0.2">
      <c r="A533" s="21"/>
      <c r="B533" s="13"/>
      <c r="C533" s="13"/>
      <c r="D533" s="13"/>
      <c r="E533" s="13"/>
      <c r="F533" s="13"/>
      <c r="G533" s="15"/>
    </row>
    <row r="534" spans="1:7" x14ac:dyDescent="0.2">
      <c r="A534" s="20"/>
      <c r="B534" s="9"/>
      <c r="C534" s="9"/>
      <c r="D534" s="9"/>
      <c r="E534" s="9"/>
      <c r="F534" s="9"/>
      <c r="G534" s="11"/>
    </row>
    <row r="535" spans="1:7" x14ac:dyDescent="0.2">
      <c r="A535" s="21"/>
      <c r="B535" s="13"/>
      <c r="C535" s="13"/>
      <c r="D535" s="13"/>
      <c r="E535" s="13"/>
      <c r="F535" s="13"/>
      <c r="G535" s="15"/>
    </row>
    <row r="536" spans="1:7" x14ac:dyDescent="0.2">
      <c r="A536" s="20"/>
      <c r="B536" s="9"/>
      <c r="C536" s="9"/>
      <c r="D536" s="9"/>
      <c r="E536" s="9"/>
      <c r="F536" s="9"/>
      <c r="G536" s="11"/>
    </row>
    <row r="537" spans="1:7" x14ac:dyDescent="0.2">
      <c r="A537" s="21"/>
      <c r="B537" s="13"/>
      <c r="C537" s="13"/>
      <c r="D537" s="13"/>
      <c r="E537" s="13"/>
      <c r="F537" s="13"/>
      <c r="G537" s="15"/>
    </row>
    <row r="538" spans="1:7" x14ac:dyDescent="0.2">
      <c r="A538" s="20"/>
      <c r="B538" s="9"/>
      <c r="C538" s="9"/>
      <c r="D538" s="9"/>
      <c r="E538" s="9"/>
      <c r="F538" s="9"/>
      <c r="G538" s="11"/>
    </row>
    <row r="539" spans="1:7" x14ac:dyDescent="0.2">
      <c r="A539" s="21"/>
      <c r="B539" s="13"/>
      <c r="C539" s="13"/>
      <c r="D539" s="13"/>
      <c r="E539" s="13"/>
      <c r="F539" s="13"/>
      <c r="G539" s="15"/>
    </row>
    <row r="540" spans="1:7" x14ac:dyDescent="0.2">
      <c r="A540" s="20"/>
      <c r="B540" s="9"/>
      <c r="C540" s="9"/>
      <c r="D540" s="9"/>
      <c r="E540" s="9"/>
      <c r="F540" s="9"/>
      <c r="G540" s="11"/>
    </row>
    <row r="541" spans="1:7" x14ac:dyDescent="0.2">
      <c r="A541" s="21"/>
      <c r="B541" s="13"/>
      <c r="C541" s="13"/>
      <c r="D541" s="13"/>
      <c r="E541" s="13"/>
      <c r="F541" s="13"/>
      <c r="G541" s="15"/>
    </row>
    <row r="542" spans="1:7" x14ac:dyDescent="0.2">
      <c r="A542" s="20"/>
      <c r="B542" s="9"/>
      <c r="C542" s="9"/>
      <c r="D542" s="9"/>
      <c r="E542" s="9"/>
      <c r="F542" s="9"/>
      <c r="G542" s="11"/>
    </row>
    <row r="543" spans="1:7" x14ac:dyDescent="0.2">
      <c r="A543" s="21"/>
      <c r="B543" s="13"/>
      <c r="C543" s="13"/>
      <c r="D543" s="13"/>
      <c r="E543" s="13"/>
      <c r="F543" s="13"/>
      <c r="G543" s="15"/>
    </row>
    <row r="544" spans="1:7" x14ac:dyDescent="0.2">
      <c r="A544" s="20"/>
      <c r="B544" s="9"/>
      <c r="C544" s="9"/>
      <c r="D544" s="9"/>
      <c r="E544" s="9"/>
      <c r="F544" s="9"/>
      <c r="G544" s="11"/>
    </row>
    <row r="545" spans="1:7" x14ac:dyDescent="0.2">
      <c r="A545" s="21"/>
      <c r="B545" s="13"/>
      <c r="C545" s="13"/>
      <c r="D545" s="13"/>
      <c r="E545" s="13"/>
      <c r="F545" s="13"/>
      <c r="G545" s="15"/>
    </row>
    <row r="546" spans="1:7" x14ac:dyDescent="0.2">
      <c r="A546" s="20"/>
      <c r="B546" s="9"/>
      <c r="C546" s="9"/>
      <c r="D546" s="9"/>
      <c r="E546" s="9"/>
      <c r="F546" s="9"/>
      <c r="G546" s="11"/>
    </row>
    <row r="547" spans="1:7" x14ac:dyDescent="0.2">
      <c r="A547" s="21"/>
      <c r="B547" s="13"/>
      <c r="C547" s="13"/>
      <c r="D547" s="13"/>
      <c r="E547" s="13"/>
      <c r="F547" s="13"/>
      <c r="G547" s="15"/>
    </row>
    <row r="548" spans="1:7" x14ac:dyDescent="0.2">
      <c r="A548" s="20"/>
      <c r="B548" s="9"/>
      <c r="C548" s="9"/>
      <c r="D548" s="9"/>
      <c r="E548" s="9"/>
      <c r="F548" s="9"/>
      <c r="G548" s="11"/>
    </row>
    <row r="549" spans="1:7" x14ac:dyDescent="0.2">
      <c r="A549" s="21"/>
      <c r="B549" s="13"/>
      <c r="C549" s="13"/>
      <c r="D549" s="13"/>
      <c r="E549" s="13"/>
      <c r="F549" s="13"/>
      <c r="G549" s="15"/>
    </row>
    <row r="550" spans="1:7" x14ac:dyDescent="0.2">
      <c r="A550" s="20"/>
      <c r="B550" s="9"/>
      <c r="C550" s="9"/>
      <c r="D550" s="9"/>
      <c r="E550" s="9"/>
      <c r="F550" s="9"/>
      <c r="G550" s="11"/>
    </row>
    <row r="551" spans="1:7" x14ac:dyDescent="0.2">
      <c r="A551" s="21"/>
      <c r="B551" s="13"/>
      <c r="C551" s="13"/>
      <c r="D551" s="13"/>
      <c r="E551" s="13"/>
      <c r="F551" s="13"/>
      <c r="G551" s="15"/>
    </row>
    <row r="552" spans="1:7" x14ac:dyDescent="0.2">
      <c r="A552" s="20"/>
      <c r="B552" s="9"/>
      <c r="C552" s="9"/>
      <c r="D552" s="9"/>
      <c r="E552" s="9"/>
      <c r="F552" s="9"/>
      <c r="G552" s="11"/>
    </row>
    <row r="553" spans="1:7" x14ac:dyDescent="0.2">
      <c r="A553" s="21"/>
      <c r="B553" s="13"/>
      <c r="C553" s="13"/>
      <c r="D553" s="13"/>
      <c r="E553" s="13"/>
      <c r="F553" s="13"/>
      <c r="G553" s="15"/>
    </row>
    <row r="554" spans="1:7" x14ac:dyDescent="0.2">
      <c r="A554" s="20"/>
      <c r="B554" s="9"/>
      <c r="C554" s="9"/>
      <c r="D554" s="9"/>
      <c r="E554" s="9"/>
      <c r="F554" s="9"/>
      <c r="G554" s="11"/>
    </row>
    <row r="555" spans="1:7" x14ac:dyDescent="0.2">
      <c r="A555" s="21"/>
      <c r="B555" s="13"/>
      <c r="C555" s="13"/>
      <c r="D555" s="13"/>
      <c r="E555" s="13"/>
      <c r="F555" s="13"/>
      <c r="G555" s="15"/>
    </row>
    <row r="556" spans="1:7" x14ac:dyDescent="0.2">
      <c r="A556" s="20"/>
      <c r="B556" s="9"/>
      <c r="C556" s="9"/>
      <c r="D556" s="9"/>
      <c r="E556" s="9"/>
      <c r="F556" s="9"/>
      <c r="G556" s="11"/>
    </row>
    <row r="557" spans="1:7" x14ac:dyDescent="0.2">
      <c r="A557" s="21"/>
      <c r="B557" s="13"/>
      <c r="C557" s="13"/>
      <c r="D557" s="13"/>
      <c r="E557" s="13"/>
      <c r="F557" s="13"/>
      <c r="G557" s="15"/>
    </row>
    <row r="558" spans="1:7" x14ac:dyDescent="0.2">
      <c r="A558" s="20"/>
      <c r="B558" s="9"/>
      <c r="C558" s="9"/>
      <c r="D558" s="9"/>
      <c r="E558" s="9"/>
      <c r="F558" s="9"/>
      <c r="G558" s="11"/>
    </row>
    <row r="559" spans="1:7" x14ac:dyDescent="0.2">
      <c r="A559" s="21"/>
      <c r="B559" s="13"/>
      <c r="C559" s="13"/>
      <c r="D559" s="13"/>
      <c r="E559" s="13"/>
      <c r="F559" s="13"/>
      <c r="G559" s="15"/>
    </row>
    <row r="560" spans="1:7" x14ac:dyDescent="0.2">
      <c r="A560" s="20"/>
      <c r="B560" s="9"/>
      <c r="C560" s="9"/>
      <c r="D560" s="9"/>
      <c r="E560" s="9"/>
      <c r="F560" s="9"/>
      <c r="G560" s="11"/>
    </row>
    <row r="561" spans="1:7" x14ac:dyDescent="0.2">
      <c r="A561" s="21"/>
      <c r="B561" s="13"/>
      <c r="C561" s="13"/>
      <c r="D561" s="13"/>
      <c r="E561" s="13"/>
      <c r="F561" s="13"/>
      <c r="G561" s="15"/>
    </row>
    <row r="562" spans="1:7" x14ac:dyDescent="0.2">
      <c r="A562" s="20"/>
      <c r="B562" s="9"/>
      <c r="C562" s="9"/>
      <c r="D562" s="9"/>
      <c r="E562" s="9"/>
      <c r="F562" s="9"/>
      <c r="G562" s="11"/>
    </row>
    <row r="563" spans="1:7" x14ac:dyDescent="0.2">
      <c r="A563" s="21"/>
      <c r="B563" s="13"/>
      <c r="C563" s="13"/>
      <c r="D563" s="13"/>
      <c r="E563" s="13"/>
      <c r="F563" s="13"/>
      <c r="G563" s="15"/>
    </row>
    <row r="564" spans="1:7" x14ac:dyDescent="0.2">
      <c r="A564" s="20"/>
      <c r="B564" s="9"/>
      <c r="C564" s="9"/>
      <c r="D564" s="9"/>
      <c r="E564" s="9"/>
      <c r="F564" s="9"/>
      <c r="G564" s="11"/>
    </row>
    <row r="565" spans="1:7" x14ac:dyDescent="0.2">
      <c r="A565" s="21"/>
      <c r="B565" s="13"/>
      <c r="C565" s="13"/>
      <c r="D565" s="13"/>
      <c r="E565" s="13"/>
      <c r="F565" s="13"/>
      <c r="G565" s="15"/>
    </row>
    <row r="566" spans="1:7" x14ac:dyDescent="0.2">
      <c r="A566" s="20"/>
      <c r="B566" s="9"/>
      <c r="C566" s="9"/>
      <c r="D566" s="9"/>
      <c r="E566" s="9"/>
      <c r="F566" s="9"/>
      <c r="G566" s="11"/>
    </row>
    <row r="567" spans="1:7" x14ac:dyDescent="0.2">
      <c r="A567" s="21"/>
      <c r="B567" s="13"/>
      <c r="C567" s="13"/>
      <c r="D567" s="13"/>
      <c r="E567" s="13"/>
      <c r="F567" s="13"/>
      <c r="G567" s="15"/>
    </row>
    <row r="568" spans="1:7" x14ac:dyDescent="0.2">
      <c r="A568" s="20"/>
      <c r="B568" s="9"/>
      <c r="C568" s="9"/>
      <c r="D568" s="9"/>
      <c r="E568" s="9"/>
      <c r="F568" s="9"/>
      <c r="G568" s="11"/>
    </row>
    <row r="569" spans="1:7" x14ac:dyDescent="0.2">
      <c r="A569" s="21"/>
      <c r="B569" s="13"/>
      <c r="C569" s="13"/>
      <c r="D569" s="13"/>
      <c r="E569" s="13"/>
      <c r="F569" s="13"/>
      <c r="G569" s="15"/>
    </row>
    <row r="570" spans="1:7" x14ac:dyDescent="0.2">
      <c r="A570" s="20"/>
      <c r="B570" s="9"/>
      <c r="C570" s="9"/>
      <c r="D570" s="9"/>
      <c r="E570" s="9"/>
      <c r="F570" s="9"/>
      <c r="G570" s="11"/>
    </row>
    <row r="571" spans="1:7" x14ac:dyDescent="0.2">
      <c r="A571" s="21"/>
      <c r="B571" s="13"/>
      <c r="C571" s="13"/>
      <c r="D571" s="13"/>
      <c r="E571" s="13"/>
      <c r="F571" s="13"/>
      <c r="G571" s="15"/>
    </row>
    <row r="572" spans="1:7" x14ac:dyDescent="0.2">
      <c r="A572" s="20"/>
      <c r="B572" s="9"/>
      <c r="C572" s="9"/>
      <c r="D572" s="9"/>
      <c r="E572" s="9"/>
      <c r="F572" s="9"/>
      <c r="G572" s="11"/>
    </row>
    <row r="573" spans="1:7" x14ac:dyDescent="0.2">
      <c r="A573" s="21"/>
      <c r="B573" s="13"/>
      <c r="C573" s="13"/>
      <c r="D573" s="13"/>
      <c r="E573" s="13"/>
      <c r="F573" s="13"/>
      <c r="G573" s="15"/>
    </row>
    <row r="574" spans="1:7" x14ac:dyDescent="0.2">
      <c r="A574" s="20"/>
      <c r="B574" s="9"/>
      <c r="C574" s="9"/>
      <c r="D574" s="9"/>
      <c r="E574" s="9"/>
      <c r="F574" s="9"/>
      <c r="G574" s="11"/>
    </row>
    <row r="575" spans="1:7" x14ac:dyDescent="0.2">
      <c r="A575" s="21"/>
      <c r="B575" s="13"/>
      <c r="C575" s="13"/>
      <c r="D575" s="13"/>
      <c r="E575" s="13"/>
      <c r="F575" s="13"/>
      <c r="G575" s="15"/>
    </row>
    <row r="576" spans="1:7" x14ac:dyDescent="0.2">
      <c r="A576" s="20"/>
      <c r="B576" s="9"/>
      <c r="C576" s="9"/>
      <c r="D576" s="9"/>
      <c r="E576" s="9"/>
      <c r="F576" s="9"/>
      <c r="G576" s="11"/>
    </row>
    <row r="577" spans="1:7" x14ac:dyDescent="0.2">
      <c r="A577" s="21"/>
      <c r="B577" s="13"/>
      <c r="C577" s="13"/>
      <c r="D577" s="13"/>
      <c r="E577" s="13"/>
      <c r="F577" s="13"/>
      <c r="G577" s="15"/>
    </row>
    <row r="578" spans="1:7" x14ac:dyDescent="0.2">
      <c r="A578" s="20"/>
      <c r="B578" s="9"/>
      <c r="C578" s="9"/>
      <c r="D578" s="9"/>
      <c r="E578" s="9"/>
      <c r="F578" s="9"/>
      <c r="G578" s="11"/>
    </row>
    <row r="579" spans="1:7" x14ac:dyDescent="0.2">
      <c r="A579" s="21"/>
      <c r="B579" s="13"/>
      <c r="C579" s="13"/>
      <c r="D579" s="13"/>
      <c r="E579" s="13"/>
      <c r="F579" s="13"/>
      <c r="G579" s="15"/>
    </row>
    <row r="580" spans="1:7" x14ac:dyDescent="0.2">
      <c r="A580" s="20"/>
      <c r="B580" s="9"/>
      <c r="C580" s="9"/>
      <c r="D580" s="9"/>
      <c r="E580" s="9"/>
      <c r="F580" s="9"/>
      <c r="G580" s="11"/>
    </row>
    <row r="581" spans="1:7" x14ac:dyDescent="0.2">
      <c r="A581" s="21"/>
      <c r="B581" s="13"/>
      <c r="C581" s="13"/>
      <c r="D581" s="13"/>
      <c r="E581" s="13"/>
      <c r="F581" s="13"/>
      <c r="G581" s="15"/>
    </row>
    <row r="582" spans="1:7" x14ac:dyDescent="0.2">
      <c r="A582" s="20"/>
      <c r="B582" s="9"/>
      <c r="C582" s="9"/>
      <c r="D582" s="9"/>
      <c r="E582" s="9"/>
      <c r="F582" s="9"/>
      <c r="G582" s="11"/>
    </row>
    <row r="583" spans="1:7" x14ac:dyDescent="0.2">
      <c r="A583" s="21"/>
      <c r="B583" s="13"/>
      <c r="C583" s="13"/>
      <c r="D583" s="13"/>
      <c r="E583" s="13"/>
      <c r="F583" s="13"/>
      <c r="G583" s="15"/>
    </row>
    <row r="584" spans="1:7" x14ac:dyDescent="0.2">
      <c r="A584" s="20"/>
      <c r="B584" s="9"/>
      <c r="C584" s="9"/>
      <c r="D584" s="9"/>
      <c r="E584" s="9"/>
      <c r="F584" s="9"/>
      <c r="G584" s="11"/>
    </row>
    <row r="585" spans="1:7" x14ac:dyDescent="0.2">
      <c r="A585" s="21"/>
      <c r="B585" s="13"/>
      <c r="C585" s="13"/>
      <c r="D585" s="13"/>
      <c r="E585" s="13"/>
      <c r="F585" s="13"/>
      <c r="G585" s="15"/>
    </row>
    <row r="586" spans="1:7" x14ac:dyDescent="0.2">
      <c r="A586" s="20"/>
      <c r="B586" s="9"/>
      <c r="C586" s="9"/>
      <c r="D586" s="9"/>
      <c r="E586" s="9"/>
      <c r="F586" s="9"/>
      <c r="G586" s="11"/>
    </row>
    <row r="587" spans="1:7" x14ac:dyDescent="0.2">
      <c r="A587" s="21"/>
      <c r="B587" s="13"/>
      <c r="C587" s="13"/>
      <c r="D587" s="13"/>
      <c r="E587" s="13"/>
      <c r="F587" s="13"/>
      <c r="G587" s="15"/>
    </row>
    <row r="588" spans="1:7" x14ac:dyDescent="0.2">
      <c r="A588" s="20"/>
      <c r="B588" s="9"/>
      <c r="C588" s="9"/>
      <c r="D588" s="9"/>
      <c r="E588" s="9"/>
      <c r="F588" s="9"/>
      <c r="G588" s="11"/>
    </row>
    <row r="589" spans="1:7" x14ac:dyDescent="0.2">
      <c r="A589" s="21"/>
      <c r="B589" s="13"/>
      <c r="C589" s="13"/>
      <c r="D589" s="13"/>
      <c r="E589" s="13"/>
      <c r="F589" s="13"/>
      <c r="G589" s="15"/>
    </row>
    <row r="590" spans="1:7" x14ac:dyDescent="0.2">
      <c r="A590" s="20"/>
      <c r="B590" s="9"/>
      <c r="C590" s="9"/>
      <c r="D590" s="9"/>
      <c r="E590" s="9"/>
      <c r="F590" s="9"/>
      <c r="G590" s="11"/>
    </row>
    <row r="591" spans="1:7" x14ac:dyDescent="0.2">
      <c r="A591" s="21"/>
      <c r="B591" s="13"/>
      <c r="C591" s="13"/>
      <c r="D591" s="13"/>
      <c r="E591" s="13"/>
      <c r="F591" s="13"/>
      <c r="G591" s="15"/>
    </row>
    <row r="592" spans="1:7" x14ac:dyDescent="0.2">
      <c r="A592" s="20"/>
      <c r="B592" s="9"/>
      <c r="C592" s="9"/>
      <c r="D592" s="9"/>
      <c r="E592" s="9"/>
      <c r="F592" s="9"/>
      <c r="G592" s="11"/>
    </row>
    <row r="593" spans="1:7" x14ac:dyDescent="0.2">
      <c r="A593" s="21"/>
      <c r="B593" s="13"/>
      <c r="C593" s="13"/>
      <c r="D593" s="13"/>
      <c r="E593" s="13"/>
      <c r="F593" s="13"/>
      <c r="G593" s="15"/>
    </row>
    <row r="594" spans="1:7" x14ac:dyDescent="0.2">
      <c r="A594" s="20"/>
      <c r="B594" s="9"/>
      <c r="C594" s="9"/>
      <c r="D594" s="9"/>
      <c r="E594" s="9"/>
      <c r="F594" s="9"/>
      <c r="G594" s="11"/>
    </row>
    <row r="595" spans="1:7" x14ac:dyDescent="0.2">
      <c r="A595" s="21"/>
      <c r="B595" s="13"/>
      <c r="C595" s="13"/>
      <c r="D595" s="13"/>
      <c r="E595" s="13"/>
      <c r="F595" s="13"/>
      <c r="G595" s="15"/>
    </row>
    <row r="596" spans="1:7" x14ac:dyDescent="0.2">
      <c r="A596" s="20"/>
      <c r="B596" s="9"/>
      <c r="C596" s="9"/>
      <c r="D596" s="9"/>
      <c r="E596" s="9"/>
      <c r="F596" s="9"/>
      <c r="G596" s="11"/>
    </row>
    <row r="597" spans="1:7" x14ac:dyDescent="0.2">
      <c r="A597" s="21"/>
      <c r="B597" s="13"/>
      <c r="C597" s="13"/>
      <c r="D597" s="13"/>
      <c r="E597" s="13"/>
      <c r="F597" s="13"/>
      <c r="G597" s="15"/>
    </row>
    <row r="598" spans="1:7" x14ac:dyDescent="0.2">
      <c r="A598" s="20"/>
      <c r="B598" s="9"/>
      <c r="C598" s="9"/>
      <c r="D598" s="9"/>
      <c r="E598" s="9"/>
      <c r="F598" s="9"/>
      <c r="G598" s="11"/>
    </row>
    <row r="599" spans="1:7" x14ac:dyDescent="0.2">
      <c r="A599" s="21"/>
      <c r="B599" s="13"/>
      <c r="C599" s="13"/>
      <c r="D599" s="13"/>
      <c r="E599" s="13"/>
      <c r="F599" s="13"/>
      <c r="G599" s="15"/>
    </row>
    <row r="600" spans="1:7" x14ac:dyDescent="0.2">
      <c r="A600" s="20"/>
      <c r="B600" s="9"/>
      <c r="C600" s="9"/>
      <c r="D600" s="9"/>
      <c r="E600" s="9"/>
      <c r="F600" s="9"/>
      <c r="G600" s="11"/>
    </row>
    <row r="601" spans="1:7" x14ac:dyDescent="0.2">
      <c r="A601" s="21"/>
      <c r="B601" s="13"/>
      <c r="C601" s="13"/>
      <c r="D601" s="13"/>
      <c r="E601" s="13"/>
      <c r="F601" s="13"/>
      <c r="G601" s="15"/>
    </row>
    <row r="602" spans="1:7" x14ac:dyDescent="0.2">
      <c r="A602" s="20"/>
      <c r="B602" s="9"/>
      <c r="C602" s="9"/>
      <c r="D602" s="9"/>
      <c r="E602" s="9"/>
      <c r="F602" s="9"/>
      <c r="G602" s="11"/>
    </row>
    <row r="603" spans="1:7" x14ac:dyDescent="0.2">
      <c r="A603" s="21"/>
      <c r="B603" s="13"/>
      <c r="C603" s="13"/>
      <c r="D603" s="13"/>
      <c r="E603" s="13"/>
      <c r="F603" s="13"/>
      <c r="G603" s="15"/>
    </row>
    <row r="604" spans="1:7" x14ac:dyDescent="0.2">
      <c r="A604" s="20"/>
      <c r="B604" s="9"/>
      <c r="C604" s="9"/>
      <c r="D604" s="9"/>
      <c r="E604" s="9"/>
      <c r="F604" s="9"/>
      <c r="G604" s="11"/>
    </row>
    <row r="605" spans="1:7" x14ac:dyDescent="0.2">
      <c r="A605" s="21"/>
      <c r="B605" s="13"/>
      <c r="C605" s="13"/>
      <c r="D605" s="13"/>
      <c r="E605" s="13"/>
      <c r="F605" s="13"/>
      <c r="G605" s="15"/>
    </row>
    <row r="606" spans="1:7" x14ac:dyDescent="0.2">
      <c r="A606" s="20"/>
      <c r="B606" s="9"/>
      <c r="C606" s="9"/>
      <c r="D606" s="9"/>
      <c r="E606" s="9"/>
      <c r="F606" s="9"/>
      <c r="G606" s="11"/>
    </row>
    <row r="607" spans="1:7" x14ac:dyDescent="0.2">
      <c r="A607" s="21"/>
      <c r="B607" s="13"/>
      <c r="C607" s="13"/>
      <c r="D607" s="13"/>
      <c r="E607" s="13"/>
      <c r="F607" s="13"/>
      <c r="G607" s="15"/>
    </row>
    <row r="608" spans="1:7" x14ac:dyDescent="0.2">
      <c r="A608" s="20"/>
      <c r="B608" s="9"/>
      <c r="C608" s="9"/>
      <c r="D608" s="9"/>
      <c r="E608" s="9"/>
      <c r="F608" s="9"/>
      <c r="G608" s="11"/>
    </row>
    <row r="609" spans="1:7" x14ac:dyDescent="0.2">
      <c r="A609" s="21"/>
      <c r="B609" s="13"/>
      <c r="C609" s="13"/>
      <c r="D609" s="13"/>
      <c r="E609" s="13"/>
      <c r="F609" s="13"/>
      <c r="G609" s="15"/>
    </row>
    <row r="610" spans="1:7" x14ac:dyDescent="0.2">
      <c r="A610" s="20"/>
      <c r="B610" s="9"/>
      <c r="C610" s="9"/>
      <c r="D610" s="9"/>
      <c r="E610" s="9"/>
      <c r="F610" s="9"/>
      <c r="G610" s="11"/>
    </row>
    <row r="611" spans="1:7" x14ac:dyDescent="0.2">
      <c r="A611" s="21"/>
      <c r="B611" s="13"/>
      <c r="C611" s="13"/>
      <c r="D611" s="13"/>
      <c r="E611" s="13"/>
      <c r="F611" s="13"/>
      <c r="G611" s="15"/>
    </row>
    <row r="612" spans="1:7" x14ac:dyDescent="0.2">
      <c r="A612" s="20"/>
      <c r="B612" s="9"/>
      <c r="C612" s="9"/>
      <c r="D612" s="9"/>
      <c r="E612" s="9"/>
      <c r="F612" s="9"/>
      <c r="G612" s="11"/>
    </row>
    <row r="613" spans="1:7" x14ac:dyDescent="0.2">
      <c r="A613" s="21"/>
      <c r="B613" s="13"/>
      <c r="C613" s="13"/>
      <c r="D613" s="13"/>
      <c r="E613" s="13"/>
      <c r="F613" s="13"/>
      <c r="G613" s="15"/>
    </row>
    <row r="614" spans="1:7" x14ac:dyDescent="0.2">
      <c r="A614" s="20"/>
      <c r="B614" s="9"/>
      <c r="C614" s="9"/>
      <c r="D614" s="9"/>
      <c r="E614" s="9"/>
      <c r="F614" s="9"/>
      <c r="G614" s="11"/>
    </row>
    <row r="615" spans="1:7" x14ac:dyDescent="0.2">
      <c r="A615" s="21"/>
      <c r="B615" s="13"/>
      <c r="C615" s="13"/>
      <c r="D615" s="13"/>
      <c r="E615" s="13"/>
      <c r="F615" s="13"/>
      <c r="G615" s="15"/>
    </row>
    <row r="616" spans="1:7" x14ac:dyDescent="0.2">
      <c r="A616" s="20"/>
      <c r="B616" s="9"/>
      <c r="C616" s="9"/>
      <c r="D616" s="9"/>
      <c r="E616" s="9"/>
      <c r="F616" s="9"/>
      <c r="G616" s="11"/>
    </row>
    <row r="617" spans="1:7" x14ac:dyDescent="0.2">
      <c r="A617" s="21"/>
      <c r="B617" s="13"/>
      <c r="C617" s="13"/>
      <c r="D617" s="13"/>
      <c r="E617" s="13"/>
      <c r="F617" s="13"/>
      <c r="G617" s="15"/>
    </row>
    <row r="618" spans="1:7" x14ac:dyDescent="0.2">
      <c r="A618" s="20"/>
      <c r="B618" s="9"/>
      <c r="C618" s="9"/>
      <c r="D618" s="9"/>
      <c r="E618" s="9"/>
      <c r="F618" s="9"/>
      <c r="G618" s="11"/>
    </row>
    <row r="619" spans="1:7" x14ac:dyDescent="0.2">
      <c r="A619" s="21"/>
      <c r="B619" s="13"/>
      <c r="C619" s="13"/>
      <c r="D619" s="13"/>
      <c r="E619" s="13"/>
      <c r="F619" s="13"/>
      <c r="G619" s="15"/>
    </row>
    <row r="620" spans="1:7" x14ac:dyDescent="0.2">
      <c r="A620" s="20"/>
      <c r="B620" s="9"/>
      <c r="C620" s="9"/>
      <c r="D620" s="9"/>
      <c r="E620" s="9"/>
      <c r="F620" s="9"/>
      <c r="G620" s="11"/>
    </row>
    <row r="621" spans="1:7" x14ac:dyDescent="0.2">
      <c r="A621" s="21"/>
      <c r="B621" s="13"/>
      <c r="C621" s="13"/>
      <c r="D621" s="13"/>
      <c r="E621" s="13"/>
      <c r="F621" s="13"/>
      <c r="G621" s="15"/>
    </row>
    <row r="622" spans="1:7" x14ac:dyDescent="0.2">
      <c r="A622" s="20"/>
      <c r="B622" s="9"/>
      <c r="C622" s="9"/>
      <c r="D622" s="9"/>
      <c r="E622" s="9"/>
      <c r="F622" s="9"/>
      <c r="G622" s="11"/>
    </row>
    <row r="623" spans="1:7" x14ac:dyDescent="0.2">
      <c r="A623" s="21"/>
      <c r="B623" s="13"/>
      <c r="C623" s="13"/>
      <c r="D623" s="13"/>
      <c r="E623" s="13"/>
      <c r="F623" s="13"/>
      <c r="G623" s="15"/>
    </row>
    <row r="624" spans="1:7" x14ac:dyDescent="0.2">
      <c r="A624" s="20"/>
      <c r="B624" s="9"/>
      <c r="C624" s="9"/>
      <c r="D624" s="9"/>
      <c r="E624" s="9"/>
      <c r="F624" s="9"/>
      <c r="G624" s="11"/>
    </row>
    <row r="625" spans="1:7" x14ac:dyDescent="0.2">
      <c r="A625" s="21"/>
      <c r="B625" s="13"/>
      <c r="C625" s="13"/>
      <c r="D625" s="13"/>
      <c r="E625" s="13"/>
      <c r="F625" s="13"/>
      <c r="G625" s="15"/>
    </row>
    <row r="626" spans="1:7" x14ac:dyDescent="0.2">
      <c r="A626" s="20"/>
      <c r="B626" s="9"/>
      <c r="C626" s="9"/>
      <c r="D626" s="9"/>
      <c r="E626" s="9"/>
      <c r="F626" s="9"/>
      <c r="G626" s="11"/>
    </row>
    <row r="627" spans="1:7" x14ac:dyDescent="0.2">
      <c r="A627" s="21"/>
      <c r="B627" s="13"/>
      <c r="C627" s="13"/>
      <c r="D627" s="13"/>
      <c r="E627" s="13"/>
      <c r="F627" s="13"/>
      <c r="G627" s="15"/>
    </row>
    <row r="628" spans="1:7" x14ac:dyDescent="0.2">
      <c r="A628" s="20"/>
      <c r="B628" s="9"/>
      <c r="C628" s="9"/>
      <c r="D628" s="9"/>
      <c r="E628" s="9"/>
      <c r="F628" s="9"/>
      <c r="G628" s="11"/>
    </row>
    <row r="629" spans="1:7" x14ac:dyDescent="0.2">
      <c r="A629" s="21"/>
      <c r="B629" s="13"/>
      <c r="C629" s="13"/>
      <c r="D629" s="13"/>
      <c r="E629" s="13"/>
      <c r="F629" s="13"/>
      <c r="G629" s="15"/>
    </row>
    <row r="630" spans="1:7" x14ac:dyDescent="0.2">
      <c r="A630" s="20"/>
      <c r="B630" s="9"/>
      <c r="C630" s="9"/>
      <c r="D630" s="9"/>
      <c r="E630" s="9"/>
      <c r="F630" s="9"/>
      <c r="G630" s="11"/>
    </row>
    <row r="631" spans="1:7" x14ac:dyDescent="0.2">
      <c r="A631" s="21"/>
      <c r="B631" s="13"/>
      <c r="C631" s="13"/>
      <c r="D631" s="13"/>
      <c r="E631" s="13"/>
      <c r="F631" s="13"/>
      <c r="G631" s="15"/>
    </row>
    <row r="632" spans="1:7" x14ac:dyDescent="0.2">
      <c r="A632" s="20"/>
      <c r="B632" s="9"/>
      <c r="C632" s="9"/>
      <c r="D632" s="9"/>
      <c r="E632" s="9"/>
      <c r="F632" s="9"/>
      <c r="G632" s="11"/>
    </row>
    <row r="633" spans="1:7" x14ac:dyDescent="0.2">
      <c r="A633" s="21"/>
      <c r="B633" s="13"/>
      <c r="C633" s="13"/>
      <c r="D633" s="13"/>
      <c r="E633" s="13"/>
      <c r="F633" s="13"/>
      <c r="G633" s="15"/>
    </row>
    <row r="634" spans="1:7" x14ac:dyDescent="0.2">
      <c r="A634" s="20"/>
      <c r="B634" s="9"/>
      <c r="C634" s="9"/>
      <c r="D634" s="9"/>
      <c r="E634" s="9"/>
      <c r="F634" s="9"/>
      <c r="G634" s="11"/>
    </row>
    <row r="635" spans="1:7" x14ac:dyDescent="0.2">
      <c r="A635" s="21"/>
      <c r="B635" s="13"/>
      <c r="C635" s="13"/>
      <c r="D635" s="13"/>
      <c r="E635" s="13"/>
      <c r="F635" s="13"/>
      <c r="G635" s="15"/>
    </row>
    <row r="636" spans="1:7" x14ac:dyDescent="0.2">
      <c r="A636" s="20"/>
      <c r="B636" s="9"/>
      <c r="C636" s="9"/>
      <c r="D636" s="9"/>
      <c r="E636" s="9"/>
      <c r="F636" s="9"/>
      <c r="G636" s="11"/>
    </row>
    <row r="637" spans="1:7" x14ac:dyDescent="0.2">
      <c r="A637" s="21"/>
      <c r="B637" s="13"/>
      <c r="C637" s="13"/>
      <c r="D637" s="13"/>
      <c r="E637" s="13"/>
      <c r="F637" s="13"/>
      <c r="G637" s="15"/>
    </row>
    <row r="638" spans="1:7" x14ac:dyDescent="0.2">
      <c r="A638" s="20"/>
      <c r="B638" s="9"/>
      <c r="C638" s="9"/>
      <c r="D638" s="9"/>
      <c r="E638" s="9"/>
      <c r="F638" s="9"/>
      <c r="G638" s="11"/>
    </row>
    <row r="639" spans="1:7" x14ac:dyDescent="0.2">
      <c r="A639" s="21"/>
      <c r="B639" s="13"/>
      <c r="C639" s="13"/>
      <c r="D639" s="13"/>
      <c r="E639" s="13"/>
      <c r="F639" s="13"/>
      <c r="G639" s="15"/>
    </row>
    <row r="640" spans="1:7" x14ac:dyDescent="0.2">
      <c r="A640" s="20"/>
      <c r="B640" s="9"/>
      <c r="C640" s="9"/>
      <c r="D640" s="9"/>
      <c r="E640" s="9"/>
      <c r="F640" s="9"/>
      <c r="G640" s="11"/>
    </row>
    <row r="641" spans="1:7" x14ac:dyDescent="0.2">
      <c r="A641" s="21"/>
      <c r="B641" s="13"/>
      <c r="C641" s="13"/>
      <c r="D641" s="13"/>
      <c r="E641" s="13"/>
      <c r="F641" s="13"/>
      <c r="G641" s="15"/>
    </row>
    <row r="642" spans="1:7" x14ac:dyDescent="0.2">
      <c r="A642" s="20"/>
      <c r="B642" s="9"/>
      <c r="C642" s="9"/>
      <c r="D642" s="9"/>
      <c r="E642" s="9"/>
      <c r="F642" s="9"/>
      <c r="G642" s="11"/>
    </row>
    <row r="643" spans="1:7" x14ac:dyDescent="0.2">
      <c r="A643" s="21"/>
      <c r="B643" s="13"/>
      <c r="C643" s="13"/>
      <c r="D643" s="13"/>
      <c r="E643" s="13"/>
      <c r="F643" s="13"/>
      <c r="G643" s="15"/>
    </row>
    <row r="644" spans="1:7" x14ac:dyDescent="0.2">
      <c r="A644" s="20"/>
      <c r="B644" s="9"/>
      <c r="C644" s="9"/>
      <c r="D644" s="9"/>
      <c r="E644" s="9"/>
      <c r="F644" s="9"/>
      <c r="G644" s="11"/>
    </row>
    <row r="645" spans="1:7" x14ac:dyDescent="0.2">
      <c r="A645" s="21"/>
      <c r="B645" s="13"/>
      <c r="C645" s="13"/>
      <c r="D645" s="13"/>
      <c r="E645" s="13"/>
      <c r="F645" s="13"/>
      <c r="G645" s="15"/>
    </row>
    <row r="646" spans="1:7" x14ac:dyDescent="0.2">
      <c r="A646" s="20"/>
      <c r="B646" s="9"/>
      <c r="C646" s="9"/>
      <c r="D646" s="9"/>
      <c r="E646" s="9"/>
      <c r="F646" s="9"/>
      <c r="G646" s="11"/>
    </row>
    <row r="647" spans="1:7" x14ac:dyDescent="0.2">
      <c r="A647" s="21"/>
      <c r="B647" s="13"/>
      <c r="C647" s="13"/>
      <c r="D647" s="13"/>
      <c r="E647" s="13"/>
      <c r="F647" s="13"/>
      <c r="G647" s="15"/>
    </row>
    <row r="648" spans="1:7" x14ac:dyDescent="0.2">
      <c r="A648" s="20"/>
      <c r="B648" s="9"/>
      <c r="C648" s="9"/>
      <c r="D648" s="9"/>
      <c r="E648" s="9"/>
      <c r="F648" s="9"/>
      <c r="G648" s="11"/>
    </row>
    <row r="649" spans="1:7" x14ac:dyDescent="0.2">
      <c r="A649" s="21"/>
      <c r="B649" s="13"/>
      <c r="C649" s="13"/>
      <c r="D649" s="13"/>
      <c r="E649" s="13"/>
      <c r="F649" s="13"/>
      <c r="G649" s="15"/>
    </row>
    <row r="650" spans="1:7" x14ac:dyDescent="0.2">
      <c r="A650" s="20"/>
      <c r="B650" s="9"/>
      <c r="C650" s="9"/>
      <c r="D650" s="9"/>
      <c r="E650" s="9"/>
      <c r="F650" s="9"/>
      <c r="G650" s="11"/>
    </row>
    <row r="651" spans="1:7" x14ac:dyDescent="0.2">
      <c r="A651" s="21"/>
      <c r="B651" s="13"/>
      <c r="C651" s="13"/>
      <c r="D651" s="13"/>
      <c r="E651" s="13"/>
      <c r="F651" s="13"/>
      <c r="G651" s="15"/>
    </row>
    <row r="652" spans="1:7" x14ac:dyDescent="0.2">
      <c r="A652" s="20"/>
      <c r="B652" s="9"/>
      <c r="C652" s="9"/>
      <c r="D652" s="9"/>
      <c r="E652" s="9"/>
      <c r="F652" s="9"/>
      <c r="G652" s="11"/>
    </row>
    <row r="653" spans="1:7" x14ac:dyDescent="0.2">
      <c r="A653" s="21"/>
      <c r="B653" s="13"/>
      <c r="C653" s="13"/>
      <c r="D653" s="13"/>
      <c r="E653" s="13"/>
      <c r="F653" s="13"/>
      <c r="G653" s="15"/>
    </row>
    <row r="654" spans="1:7" x14ac:dyDescent="0.2">
      <c r="A654" s="20"/>
      <c r="B654" s="9"/>
      <c r="C654" s="9"/>
      <c r="D654" s="9"/>
      <c r="E654" s="9"/>
      <c r="F654" s="9"/>
      <c r="G654" s="11"/>
    </row>
    <row r="655" spans="1:7" x14ac:dyDescent="0.2">
      <c r="A655" s="21"/>
      <c r="B655" s="13"/>
      <c r="C655" s="13"/>
      <c r="D655" s="13"/>
      <c r="E655" s="13"/>
      <c r="F655" s="13"/>
      <c r="G655" s="15"/>
    </row>
    <row r="656" spans="1:7" x14ac:dyDescent="0.2">
      <c r="A656" s="20"/>
      <c r="B656" s="9"/>
      <c r="C656" s="9"/>
      <c r="D656" s="9"/>
      <c r="E656" s="9"/>
      <c r="F656" s="9"/>
      <c r="G656" s="11"/>
    </row>
    <row r="657" spans="1:7" x14ac:dyDescent="0.2">
      <c r="A657" s="21"/>
      <c r="B657" s="13"/>
      <c r="C657" s="13"/>
      <c r="D657" s="13"/>
      <c r="E657" s="13"/>
      <c r="F657" s="13"/>
      <c r="G657" s="15"/>
    </row>
    <row r="658" spans="1:7" x14ac:dyDescent="0.2">
      <c r="A658" s="20"/>
      <c r="B658" s="9"/>
      <c r="C658" s="9"/>
      <c r="D658" s="9"/>
      <c r="E658" s="9"/>
      <c r="F658" s="9"/>
      <c r="G658" s="11"/>
    </row>
    <row r="659" spans="1:7" x14ac:dyDescent="0.2">
      <c r="A659" s="21"/>
      <c r="B659" s="13"/>
      <c r="C659" s="13"/>
      <c r="D659" s="13"/>
      <c r="E659" s="13"/>
      <c r="F659" s="13"/>
      <c r="G659" s="15"/>
    </row>
    <row r="660" spans="1:7" x14ac:dyDescent="0.2">
      <c r="A660" s="20"/>
      <c r="B660" s="9"/>
      <c r="C660" s="9"/>
      <c r="D660" s="9"/>
      <c r="E660" s="9"/>
      <c r="F660" s="9"/>
      <c r="G660" s="11"/>
    </row>
    <row r="661" spans="1:7" x14ac:dyDescent="0.2">
      <c r="A661" s="21"/>
      <c r="B661" s="13"/>
      <c r="C661" s="13"/>
      <c r="D661" s="13"/>
      <c r="E661" s="13"/>
      <c r="F661" s="13"/>
      <c r="G661" s="15"/>
    </row>
    <row r="662" spans="1:7" x14ac:dyDescent="0.2">
      <c r="A662" s="20"/>
      <c r="B662" s="9"/>
      <c r="C662" s="9"/>
      <c r="D662" s="9"/>
      <c r="E662" s="9"/>
      <c r="F662" s="9"/>
      <c r="G662" s="11"/>
    </row>
    <row r="663" spans="1:7" x14ac:dyDescent="0.2">
      <c r="A663" s="21"/>
      <c r="B663" s="13"/>
      <c r="C663" s="13"/>
      <c r="D663" s="13"/>
      <c r="E663" s="13"/>
      <c r="F663" s="13"/>
      <c r="G663" s="15"/>
    </row>
    <row r="664" spans="1:7" x14ac:dyDescent="0.2">
      <c r="A664" s="20"/>
      <c r="B664" s="9"/>
      <c r="C664" s="9"/>
      <c r="D664" s="9"/>
      <c r="E664" s="9"/>
      <c r="F664" s="9"/>
      <c r="G664" s="11"/>
    </row>
    <row r="665" spans="1:7" x14ac:dyDescent="0.2">
      <c r="A665" s="21"/>
      <c r="B665" s="13"/>
      <c r="C665" s="13"/>
      <c r="D665" s="13"/>
      <c r="E665" s="13"/>
      <c r="F665" s="13"/>
      <c r="G665" s="15"/>
    </row>
    <row r="666" spans="1:7" x14ac:dyDescent="0.2">
      <c r="A666" s="20"/>
      <c r="B666" s="9"/>
      <c r="C666" s="9"/>
      <c r="D666" s="9"/>
      <c r="E666" s="9"/>
      <c r="F666" s="9"/>
      <c r="G666" s="11"/>
    </row>
    <row r="667" spans="1:7" x14ac:dyDescent="0.2">
      <c r="A667" s="21"/>
      <c r="B667" s="13"/>
      <c r="C667" s="13"/>
      <c r="D667" s="13"/>
      <c r="E667" s="13"/>
      <c r="F667" s="13"/>
      <c r="G667" s="15"/>
    </row>
    <row r="668" spans="1:7" x14ac:dyDescent="0.2">
      <c r="A668" s="20"/>
      <c r="B668" s="9"/>
      <c r="C668" s="9"/>
      <c r="D668" s="9"/>
      <c r="E668" s="9"/>
      <c r="F668" s="9"/>
      <c r="G668" s="11"/>
    </row>
    <row r="669" spans="1:7" x14ac:dyDescent="0.2">
      <c r="A669" s="21"/>
      <c r="B669" s="13"/>
      <c r="C669" s="13"/>
      <c r="D669" s="13"/>
      <c r="E669" s="13"/>
      <c r="F669" s="13"/>
      <c r="G669" s="15"/>
    </row>
    <row r="670" spans="1:7" x14ac:dyDescent="0.2">
      <c r="A670" s="20"/>
      <c r="B670" s="9"/>
      <c r="C670" s="9"/>
      <c r="D670" s="9"/>
      <c r="E670" s="9"/>
      <c r="F670" s="9"/>
      <c r="G670" s="11"/>
    </row>
    <row r="671" spans="1:7" x14ac:dyDescent="0.2">
      <c r="A671" s="21"/>
      <c r="B671" s="13"/>
      <c r="C671" s="13"/>
      <c r="D671" s="13"/>
      <c r="E671" s="13"/>
      <c r="F671" s="13"/>
      <c r="G671" s="15"/>
    </row>
    <row r="672" spans="1:7" x14ac:dyDescent="0.2">
      <c r="A672" s="20"/>
      <c r="B672" s="9"/>
      <c r="C672" s="9"/>
      <c r="D672" s="9"/>
      <c r="E672" s="9"/>
      <c r="F672" s="9"/>
      <c r="G672" s="11"/>
    </row>
    <row r="673" spans="1:7" x14ac:dyDescent="0.2">
      <c r="A673" s="21"/>
      <c r="B673" s="13"/>
      <c r="C673" s="13"/>
      <c r="D673" s="13"/>
      <c r="E673" s="13"/>
      <c r="F673" s="13"/>
      <c r="G673" s="15"/>
    </row>
    <row r="674" spans="1:7" x14ac:dyDescent="0.2">
      <c r="A674" s="20"/>
      <c r="B674" s="9"/>
      <c r="C674" s="9"/>
      <c r="D674" s="9"/>
      <c r="E674" s="9"/>
      <c r="F674" s="9"/>
      <c r="G674" s="11"/>
    </row>
    <row r="675" spans="1:7" x14ac:dyDescent="0.2">
      <c r="A675" s="21"/>
      <c r="B675" s="13"/>
      <c r="C675" s="13"/>
      <c r="D675" s="13"/>
      <c r="E675" s="13"/>
      <c r="F675" s="13"/>
      <c r="G675" s="15"/>
    </row>
    <row r="676" spans="1:7" x14ac:dyDescent="0.2">
      <c r="A676" s="20"/>
      <c r="B676" s="9"/>
      <c r="C676" s="9"/>
      <c r="D676" s="9"/>
      <c r="E676" s="9"/>
      <c r="F676" s="9"/>
      <c r="G676" s="11"/>
    </row>
    <row r="677" spans="1:7" x14ac:dyDescent="0.2">
      <c r="A677" s="21"/>
      <c r="B677" s="13"/>
      <c r="C677" s="13"/>
      <c r="D677" s="13"/>
      <c r="E677" s="13"/>
      <c r="F677" s="13"/>
      <c r="G677" s="15"/>
    </row>
    <row r="678" spans="1:7" x14ac:dyDescent="0.2">
      <c r="A678" s="20"/>
      <c r="B678" s="9"/>
      <c r="C678" s="9"/>
      <c r="D678" s="9"/>
      <c r="E678" s="9"/>
      <c r="F678" s="9"/>
      <c r="G678" s="11"/>
    </row>
    <row r="679" spans="1:7" x14ac:dyDescent="0.2">
      <c r="A679" s="21"/>
      <c r="B679" s="13"/>
      <c r="C679" s="13"/>
      <c r="D679" s="13"/>
      <c r="E679" s="13"/>
      <c r="F679" s="13"/>
      <c r="G679" s="15"/>
    </row>
    <row r="680" spans="1:7" x14ac:dyDescent="0.2">
      <c r="A680" s="20"/>
      <c r="B680" s="9"/>
      <c r="C680" s="9"/>
      <c r="D680" s="9"/>
      <c r="E680" s="9"/>
      <c r="F680" s="9"/>
      <c r="G680" s="11"/>
    </row>
    <row r="681" spans="1:7" x14ac:dyDescent="0.2">
      <c r="A681" s="21"/>
      <c r="B681" s="13"/>
      <c r="C681" s="13"/>
      <c r="D681" s="13"/>
      <c r="E681" s="13"/>
      <c r="F681" s="13"/>
      <c r="G681" s="15"/>
    </row>
    <row r="682" spans="1:7" x14ac:dyDescent="0.2">
      <c r="A682" s="20"/>
      <c r="B682" s="9"/>
      <c r="C682" s="9"/>
      <c r="D682" s="9"/>
      <c r="E682" s="9"/>
      <c r="F682" s="9"/>
      <c r="G682" s="11"/>
    </row>
    <row r="683" spans="1:7" x14ac:dyDescent="0.2">
      <c r="A683" s="21"/>
      <c r="B683" s="13"/>
      <c r="C683" s="13"/>
      <c r="D683" s="13"/>
      <c r="E683" s="13"/>
      <c r="F683" s="13"/>
      <c r="G683" s="15"/>
    </row>
    <row r="684" spans="1:7" x14ac:dyDescent="0.2">
      <c r="A684" s="20"/>
      <c r="B684" s="9"/>
      <c r="C684" s="9"/>
      <c r="D684" s="9"/>
      <c r="E684" s="9"/>
      <c r="F684" s="9"/>
      <c r="G684" s="11"/>
    </row>
    <row r="685" spans="1:7" x14ac:dyDescent="0.2">
      <c r="A685" s="21"/>
      <c r="B685" s="13"/>
      <c r="C685" s="13"/>
      <c r="D685" s="13"/>
      <c r="E685" s="13"/>
      <c r="F685" s="13"/>
      <c r="G685" s="15"/>
    </row>
    <row r="686" spans="1:7" x14ac:dyDescent="0.2">
      <c r="A686" s="20"/>
      <c r="B686" s="9"/>
      <c r="C686" s="9"/>
      <c r="D686" s="9"/>
      <c r="E686" s="9"/>
      <c r="F686" s="9"/>
      <c r="G686" s="11"/>
    </row>
    <row r="687" spans="1:7" x14ac:dyDescent="0.2">
      <c r="A687" s="21"/>
      <c r="B687" s="13"/>
      <c r="C687" s="13"/>
      <c r="D687" s="13"/>
      <c r="E687" s="13"/>
      <c r="F687" s="13"/>
      <c r="G687" s="15"/>
    </row>
    <row r="688" spans="1:7" x14ac:dyDescent="0.2">
      <c r="A688" s="20"/>
      <c r="B688" s="9"/>
      <c r="C688" s="9"/>
      <c r="D688" s="9"/>
      <c r="E688" s="9"/>
      <c r="F688" s="9"/>
      <c r="G688" s="11"/>
    </row>
    <row r="689" spans="1:7" x14ac:dyDescent="0.2">
      <c r="A689" s="21"/>
      <c r="B689" s="13"/>
      <c r="C689" s="13"/>
      <c r="D689" s="13"/>
      <c r="E689" s="13"/>
      <c r="F689" s="13"/>
      <c r="G689" s="15"/>
    </row>
    <row r="690" spans="1:7" x14ac:dyDescent="0.2">
      <c r="A690" s="20"/>
      <c r="B690" s="9"/>
      <c r="C690" s="9"/>
      <c r="D690" s="9"/>
      <c r="E690" s="9"/>
      <c r="F690" s="9"/>
      <c r="G690" s="11"/>
    </row>
    <row r="691" spans="1:7" x14ac:dyDescent="0.2">
      <c r="A691" s="21"/>
      <c r="B691" s="13"/>
      <c r="C691" s="13"/>
      <c r="D691" s="13"/>
      <c r="E691" s="13"/>
      <c r="F691" s="13"/>
      <c r="G691" s="15"/>
    </row>
    <row r="692" spans="1:7" x14ac:dyDescent="0.2">
      <c r="A692" s="20"/>
      <c r="B692" s="9"/>
      <c r="C692" s="9"/>
      <c r="D692" s="9"/>
      <c r="E692" s="9"/>
      <c r="F692" s="9"/>
      <c r="G692" s="11"/>
    </row>
    <row r="693" spans="1:7" x14ac:dyDescent="0.2">
      <c r="A693" s="21"/>
      <c r="B693" s="13"/>
      <c r="C693" s="13"/>
      <c r="D693" s="13"/>
      <c r="E693" s="13"/>
      <c r="F693" s="13"/>
      <c r="G693" s="15"/>
    </row>
    <row r="694" spans="1:7" x14ac:dyDescent="0.2">
      <c r="A694" s="20"/>
      <c r="B694" s="9"/>
      <c r="C694" s="9"/>
      <c r="D694" s="9"/>
      <c r="E694" s="9"/>
      <c r="F694" s="9"/>
      <c r="G694" s="11"/>
    </row>
    <row r="695" spans="1:7" x14ac:dyDescent="0.2">
      <c r="A695" s="21"/>
      <c r="B695" s="13"/>
      <c r="C695" s="13"/>
      <c r="D695" s="13"/>
      <c r="E695" s="13"/>
      <c r="F695" s="13"/>
      <c r="G695" s="15"/>
    </row>
    <row r="696" spans="1:7" x14ac:dyDescent="0.2">
      <c r="A696" s="20"/>
      <c r="B696" s="9"/>
      <c r="C696" s="9"/>
      <c r="D696" s="9"/>
      <c r="E696" s="9"/>
      <c r="F696" s="9"/>
      <c r="G696" s="11"/>
    </row>
    <row r="697" spans="1:7" x14ac:dyDescent="0.2">
      <c r="A697" s="21"/>
      <c r="B697" s="13"/>
      <c r="C697" s="13"/>
      <c r="D697" s="13"/>
      <c r="E697" s="13"/>
      <c r="F697" s="13"/>
      <c r="G697" s="15"/>
    </row>
    <row r="698" spans="1:7" x14ac:dyDescent="0.2">
      <c r="A698" s="20"/>
      <c r="B698" s="9"/>
      <c r="C698" s="9"/>
      <c r="D698" s="9"/>
      <c r="E698" s="9"/>
      <c r="F698" s="9"/>
      <c r="G698" s="11"/>
    </row>
    <row r="699" spans="1:7" x14ac:dyDescent="0.2">
      <c r="A699" s="21"/>
      <c r="B699" s="13"/>
      <c r="C699" s="13"/>
      <c r="D699" s="13"/>
      <c r="E699" s="13"/>
      <c r="F699" s="13"/>
      <c r="G699" s="15"/>
    </row>
    <row r="700" spans="1:7" x14ac:dyDescent="0.2">
      <c r="A700" s="20"/>
      <c r="B700" s="9"/>
      <c r="C700" s="9"/>
      <c r="D700" s="9"/>
      <c r="E700" s="9"/>
      <c r="F700" s="9"/>
      <c r="G700" s="11"/>
    </row>
    <row r="701" spans="1:7" x14ac:dyDescent="0.2">
      <c r="A701" s="21"/>
      <c r="B701" s="13"/>
      <c r="C701" s="13"/>
      <c r="D701" s="13"/>
      <c r="E701" s="13"/>
      <c r="F701" s="13"/>
      <c r="G701" s="15"/>
    </row>
    <row r="702" spans="1:7" x14ac:dyDescent="0.2">
      <c r="A702" s="20"/>
      <c r="B702" s="9"/>
      <c r="C702" s="9"/>
      <c r="D702" s="9"/>
      <c r="E702" s="9"/>
      <c r="F702" s="9"/>
      <c r="G702" s="11"/>
    </row>
    <row r="703" spans="1:7" x14ac:dyDescent="0.2">
      <c r="A703" s="21"/>
      <c r="B703" s="13"/>
      <c r="C703" s="13"/>
      <c r="D703" s="13"/>
      <c r="E703" s="13"/>
      <c r="F703" s="13"/>
      <c r="G703" s="15"/>
    </row>
    <row r="704" spans="1:7" x14ac:dyDescent="0.2">
      <c r="A704" s="20"/>
      <c r="B704" s="9"/>
      <c r="C704" s="9"/>
      <c r="D704" s="9"/>
      <c r="E704" s="9"/>
      <c r="F704" s="9"/>
      <c r="G704" s="11"/>
    </row>
    <row r="705" spans="1:7" x14ac:dyDescent="0.2">
      <c r="A705" s="21"/>
      <c r="B705" s="13"/>
      <c r="C705" s="13"/>
      <c r="D705" s="13"/>
      <c r="E705" s="13"/>
      <c r="F705" s="13"/>
      <c r="G705" s="15"/>
    </row>
    <row r="706" spans="1:7" x14ac:dyDescent="0.2">
      <c r="A706" s="20"/>
      <c r="B706" s="9"/>
      <c r="C706" s="9"/>
      <c r="D706" s="9"/>
      <c r="E706" s="9"/>
      <c r="F706" s="9"/>
      <c r="G706" s="11"/>
    </row>
    <row r="707" spans="1:7" x14ac:dyDescent="0.2">
      <c r="A707" s="21"/>
      <c r="B707" s="13"/>
      <c r="C707" s="13"/>
      <c r="D707" s="13"/>
      <c r="E707" s="13"/>
      <c r="F707" s="13"/>
      <c r="G707" s="15"/>
    </row>
    <row r="708" spans="1:7" x14ac:dyDescent="0.2">
      <c r="A708" s="20"/>
      <c r="B708" s="9"/>
      <c r="C708" s="9"/>
      <c r="D708" s="9"/>
      <c r="E708" s="9"/>
      <c r="F708" s="9"/>
      <c r="G708" s="11"/>
    </row>
    <row r="709" spans="1:7" x14ac:dyDescent="0.2">
      <c r="A709" s="21"/>
      <c r="B709" s="13"/>
      <c r="C709" s="13"/>
      <c r="D709" s="13"/>
      <c r="E709" s="13"/>
      <c r="F709" s="13"/>
      <c r="G709" s="15"/>
    </row>
    <row r="710" spans="1:7" x14ac:dyDescent="0.2">
      <c r="A710" s="20"/>
      <c r="B710" s="9"/>
      <c r="C710" s="9"/>
      <c r="D710" s="9"/>
      <c r="E710" s="9"/>
      <c r="F710" s="9"/>
      <c r="G710" s="11"/>
    </row>
    <row r="711" spans="1:7" x14ac:dyDescent="0.2">
      <c r="A711" s="21"/>
      <c r="B711" s="13"/>
      <c r="C711" s="13"/>
      <c r="D711" s="13"/>
      <c r="E711" s="13"/>
      <c r="F711" s="13"/>
      <c r="G711" s="15"/>
    </row>
    <row r="712" spans="1:7" x14ac:dyDescent="0.2">
      <c r="A712" s="20"/>
      <c r="B712" s="9"/>
      <c r="C712" s="9"/>
      <c r="D712" s="9"/>
      <c r="E712" s="9"/>
      <c r="F712" s="9"/>
      <c r="G712" s="11"/>
    </row>
    <row r="713" spans="1:7" x14ac:dyDescent="0.2">
      <c r="A713" s="21"/>
      <c r="B713" s="13"/>
      <c r="C713" s="13"/>
      <c r="D713" s="13"/>
      <c r="E713" s="13"/>
      <c r="F713" s="13"/>
      <c r="G713" s="15"/>
    </row>
    <row r="714" spans="1:7" x14ac:dyDescent="0.2">
      <c r="A714" s="20"/>
      <c r="B714" s="9"/>
      <c r="C714" s="9"/>
      <c r="D714" s="9"/>
      <c r="E714" s="9"/>
      <c r="F714" s="9"/>
      <c r="G714" s="11"/>
    </row>
    <row r="715" spans="1:7" x14ac:dyDescent="0.2">
      <c r="A715" s="21"/>
      <c r="B715" s="13"/>
      <c r="C715" s="13"/>
      <c r="D715" s="13"/>
      <c r="E715" s="13"/>
      <c r="F715" s="13"/>
      <c r="G715" s="15"/>
    </row>
    <row r="716" spans="1:7" x14ac:dyDescent="0.2">
      <c r="A716" s="20"/>
      <c r="B716" s="9"/>
      <c r="C716" s="9"/>
      <c r="D716" s="9"/>
      <c r="E716" s="9"/>
      <c r="F716" s="9"/>
      <c r="G716" s="11"/>
    </row>
    <row r="717" spans="1:7" x14ac:dyDescent="0.2">
      <c r="A717" s="21"/>
      <c r="B717" s="13"/>
      <c r="C717" s="13"/>
      <c r="D717" s="13"/>
      <c r="E717" s="13"/>
      <c r="F717" s="13"/>
      <c r="G717" s="15"/>
    </row>
    <row r="718" spans="1:7" x14ac:dyDescent="0.2">
      <c r="A718" s="20"/>
      <c r="B718" s="9"/>
      <c r="C718" s="9"/>
      <c r="D718" s="9"/>
      <c r="E718" s="9"/>
      <c r="F718" s="9"/>
      <c r="G718" s="11"/>
    </row>
    <row r="719" spans="1:7" x14ac:dyDescent="0.2">
      <c r="A719" s="21"/>
      <c r="B719" s="13"/>
      <c r="C719" s="13"/>
      <c r="D719" s="13"/>
      <c r="E719" s="13"/>
      <c r="F719" s="13"/>
      <c r="G719" s="15"/>
    </row>
    <row r="720" spans="1:7" x14ac:dyDescent="0.2">
      <c r="A720" s="20"/>
      <c r="B720" s="9"/>
      <c r="C720" s="9"/>
      <c r="D720" s="9"/>
      <c r="E720" s="9"/>
      <c r="F720" s="9"/>
      <c r="G720" s="11"/>
    </row>
    <row r="721" spans="1:7" x14ac:dyDescent="0.2">
      <c r="A721" s="21"/>
      <c r="B721" s="13"/>
      <c r="C721" s="13"/>
      <c r="D721" s="13"/>
      <c r="E721" s="13"/>
      <c r="F721" s="13"/>
      <c r="G721" s="15"/>
    </row>
    <row r="722" spans="1:7" x14ac:dyDescent="0.2">
      <c r="A722" s="20"/>
      <c r="B722" s="9"/>
      <c r="C722" s="9"/>
      <c r="D722" s="9"/>
      <c r="E722" s="9"/>
      <c r="F722" s="9"/>
      <c r="G722" s="11"/>
    </row>
    <row r="723" spans="1:7" x14ac:dyDescent="0.2">
      <c r="A723" s="21"/>
      <c r="B723" s="13"/>
      <c r="C723" s="13"/>
      <c r="D723" s="13"/>
      <c r="E723" s="13"/>
      <c r="F723" s="13"/>
      <c r="G723" s="15"/>
    </row>
    <row r="724" spans="1:7" x14ac:dyDescent="0.2">
      <c r="A724" s="20"/>
      <c r="B724" s="9"/>
      <c r="C724" s="9"/>
      <c r="D724" s="9"/>
      <c r="E724" s="9"/>
      <c r="F724" s="9"/>
      <c r="G724" s="11"/>
    </row>
    <row r="725" spans="1:7" x14ac:dyDescent="0.2">
      <c r="A725" s="21"/>
      <c r="B725" s="13"/>
      <c r="C725" s="13"/>
      <c r="D725" s="13"/>
      <c r="E725" s="13"/>
      <c r="F725" s="13"/>
      <c r="G725" s="15"/>
    </row>
    <row r="726" spans="1:7" x14ac:dyDescent="0.2">
      <c r="A726" s="20"/>
      <c r="B726" s="9"/>
      <c r="C726" s="9"/>
      <c r="D726" s="9"/>
      <c r="E726" s="9"/>
      <c r="F726" s="9"/>
      <c r="G726" s="11"/>
    </row>
    <row r="727" spans="1:7" x14ac:dyDescent="0.2">
      <c r="A727" s="21"/>
      <c r="B727" s="13"/>
      <c r="C727" s="13"/>
      <c r="D727" s="13"/>
      <c r="E727" s="13"/>
      <c r="F727" s="13"/>
      <c r="G727" s="15"/>
    </row>
    <row r="728" spans="1:7" x14ac:dyDescent="0.2">
      <c r="A728" s="20"/>
      <c r="B728" s="9"/>
      <c r="C728" s="9"/>
      <c r="D728" s="9"/>
      <c r="E728" s="9"/>
      <c r="F728" s="9"/>
      <c r="G728" s="11"/>
    </row>
    <row r="729" spans="1:7" x14ac:dyDescent="0.2">
      <c r="A729" s="21"/>
      <c r="B729" s="13"/>
      <c r="C729" s="13"/>
      <c r="D729" s="13"/>
      <c r="E729" s="13"/>
      <c r="F729" s="13"/>
      <c r="G729" s="15"/>
    </row>
    <row r="730" spans="1:7" x14ac:dyDescent="0.2">
      <c r="A730" s="20"/>
      <c r="B730" s="9"/>
      <c r="C730" s="9"/>
      <c r="D730" s="9"/>
      <c r="E730" s="9"/>
      <c r="F730" s="9"/>
      <c r="G730" s="11"/>
    </row>
    <row r="731" spans="1:7" x14ac:dyDescent="0.2">
      <c r="A731" s="21"/>
      <c r="B731" s="13"/>
      <c r="C731" s="13"/>
      <c r="D731" s="13"/>
      <c r="E731" s="13"/>
      <c r="F731" s="13"/>
      <c r="G731" s="15"/>
    </row>
    <row r="732" spans="1:7" x14ac:dyDescent="0.2">
      <c r="A732" s="20"/>
      <c r="B732" s="9"/>
      <c r="C732" s="9"/>
      <c r="D732" s="9"/>
      <c r="E732" s="9"/>
      <c r="F732" s="9"/>
      <c r="G732" s="11"/>
    </row>
    <row r="733" spans="1:7" x14ac:dyDescent="0.2">
      <c r="A733" s="21"/>
      <c r="B733" s="13"/>
      <c r="C733" s="13"/>
      <c r="D733" s="13"/>
      <c r="E733" s="13"/>
      <c r="F733" s="13"/>
      <c r="G733" s="15"/>
    </row>
    <row r="734" spans="1:7" x14ac:dyDescent="0.2">
      <c r="A734" s="20"/>
      <c r="B734" s="9"/>
      <c r="C734" s="9"/>
      <c r="D734" s="9"/>
      <c r="E734" s="9"/>
      <c r="F734" s="9"/>
      <c r="G734" s="11"/>
    </row>
    <row r="735" spans="1:7" x14ac:dyDescent="0.2">
      <c r="A735" s="21"/>
      <c r="B735" s="13"/>
      <c r="C735" s="13"/>
      <c r="D735" s="13"/>
      <c r="E735" s="13"/>
      <c r="F735" s="13"/>
      <c r="G735" s="15"/>
    </row>
    <row r="736" spans="1:7" x14ac:dyDescent="0.2">
      <c r="A736" s="20"/>
      <c r="B736" s="9"/>
      <c r="C736" s="9"/>
      <c r="D736" s="9"/>
      <c r="E736" s="9"/>
      <c r="F736" s="9"/>
      <c r="G736" s="11"/>
    </row>
    <row r="737" spans="1:7" x14ac:dyDescent="0.2">
      <c r="A737" s="21"/>
      <c r="B737" s="13"/>
      <c r="C737" s="13"/>
      <c r="D737" s="13"/>
      <c r="E737" s="13"/>
      <c r="F737" s="13"/>
      <c r="G737" s="15"/>
    </row>
    <row r="738" spans="1:7" x14ac:dyDescent="0.2">
      <c r="A738" s="20"/>
      <c r="B738" s="9"/>
      <c r="C738" s="9"/>
      <c r="D738" s="9"/>
      <c r="E738" s="9"/>
      <c r="F738" s="9"/>
      <c r="G738" s="11"/>
    </row>
    <row r="739" spans="1:7" x14ac:dyDescent="0.2">
      <c r="A739" s="21"/>
      <c r="B739" s="13"/>
      <c r="C739" s="13"/>
      <c r="D739" s="13"/>
      <c r="E739" s="13"/>
      <c r="F739" s="13"/>
      <c r="G739" s="15"/>
    </row>
    <row r="740" spans="1:7" x14ac:dyDescent="0.2">
      <c r="A740" s="20"/>
      <c r="B740" s="9"/>
      <c r="C740" s="9"/>
      <c r="D740" s="9"/>
      <c r="E740" s="9"/>
      <c r="F740" s="9"/>
      <c r="G740" s="11"/>
    </row>
    <row r="741" spans="1:7" x14ac:dyDescent="0.2">
      <c r="A741" s="21"/>
      <c r="B741" s="13"/>
      <c r="C741" s="13"/>
      <c r="D741" s="13"/>
      <c r="E741" s="13"/>
      <c r="F741" s="13"/>
      <c r="G741" s="15"/>
    </row>
    <row r="742" spans="1:7" x14ac:dyDescent="0.2">
      <c r="A742" s="20"/>
      <c r="B742" s="9"/>
      <c r="C742" s="9"/>
      <c r="D742" s="9"/>
      <c r="E742" s="9"/>
      <c r="F742" s="9"/>
      <c r="G742" s="11"/>
    </row>
    <row r="743" spans="1:7" x14ac:dyDescent="0.2">
      <c r="A743" s="21"/>
      <c r="B743" s="13"/>
      <c r="C743" s="13"/>
      <c r="D743" s="13"/>
      <c r="E743" s="13"/>
      <c r="F743" s="13"/>
      <c r="G743" s="15"/>
    </row>
    <row r="744" spans="1:7" x14ac:dyDescent="0.2">
      <c r="A744" s="20"/>
      <c r="B744" s="9"/>
      <c r="C744" s="9"/>
      <c r="D744" s="9"/>
      <c r="E744" s="9"/>
      <c r="F744" s="9"/>
      <c r="G744" s="11"/>
    </row>
    <row r="745" spans="1:7" x14ac:dyDescent="0.2">
      <c r="A745" s="21"/>
      <c r="B745" s="13"/>
      <c r="C745" s="13"/>
      <c r="D745" s="13"/>
      <c r="E745" s="13"/>
      <c r="F745" s="13"/>
      <c r="G745" s="15"/>
    </row>
    <row r="746" spans="1:7" x14ac:dyDescent="0.2">
      <c r="A746" s="20"/>
      <c r="B746" s="9"/>
      <c r="C746" s="9"/>
      <c r="D746" s="9"/>
      <c r="E746" s="9"/>
      <c r="F746" s="9"/>
      <c r="G746" s="11"/>
    </row>
    <row r="747" spans="1:7" x14ac:dyDescent="0.2">
      <c r="A747" s="21"/>
      <c r="B747" s="13"/>
      <c r="C747" s="13"/>
      <c r="D747" s="13"/>
      <c r="E747" s="13"/>
      <c r="F747" s="13"/>
      <c r="G747" s="15"/>
    </row>
    <row r="748" spans="1:7" x14ac:dyDescent="0.2">
      <c r="A748" s="20"/>
      <c r="B748" s="9"/>
      <c r="C748" s="9"/>
      <c r="D748" s="9"/>
      <c r="E748" s="9"/>
      <c r="F748" s="9"/>
      <c r="G748" s="11"/>
    </row>
    <row r="749" spans="1:7" x14ac:dyDescent="0.2">
      <c r="A749" s="21"/>
      <c r="B749" s="13"/>
      <c r="C749" s="13"/>
      <c r="D749" s="13"/>
      <c r="E749" s="13"/>
      <c r="F749" s="13"/>
      <c r="G749" s="15"/>
    </row>
    <row r="750" spans="1:7" x14ac:dyDescent="0.2">
      <c r="A750" s="20"/>
      <c r="B750" s="9"/>
      <c r="C750" s="9"/>
      <c r="D750" s="9"/>
      <c r="E750" s="9"/>
      <c r="F750" s="9"/>
      <c r="G750" s="11"/>
    </row>
    <row r="751" spans="1:7" x14ac:dyDescent="0.2">
      <c r="A751" s="21"/>
      <c r="B751" s="13"/>
      <c r="C751" s="13"/>
      <c r="D751" s="13"/>
      <c r="E751" s="13"/>
      <c r="F751" s="13"/>
      <c r="G751" s="15"/>
    </row>
    <row r="752" spans="1:7" x14ac:dyDescent="0.2">
      <c r="A752" s="20"/>
      <c r="B752" s="9"/>
      <c r="C752" s="9"/>
      <c r="D752" s="9"/>
      <c r="E752" s="9"/>
      <c r="F752" s="9"/>
      <c r="G752" s="11"/>
    </row>
    <row r="753" spans="1:7" x14ac:dyDescent="0.2">
      <c r="A753" s="21"/>
      <c r="B753" s="13"/>
      <c r="C753" s="13"/>
      <c r="D753" s="13"/>
      <c r="E753" s="13"/>
      <c r="F753" s="13"/>
      <c r="G753" s="15"/>
    </row>
    <row r="754" spans="1:7" x14ac:dyDescent="0.2">
      <c r="A754" s="20"/>
      <c r="B754" s="9"/>
      <c r="C754" s="9"/>
      <c r="D754" s="9"/>
      <c r="E754" s="9"/>
      <c r="F754" s="9"/>
      <c r="G754" s="11"/>
    </row>
    <row r="755" spans="1:7" x14ac:dyDescent="0.2">
      <c r="A755" s="21"/>
      <c r="B755" s="13"/>
      <c r="C755" s="13"/>
      <c r="D755" s="13"/>
      <c r="E755" s="13"/>
      <c r="F755" s="13"/>
      <c r="G755" s="15"/>
    </row>
    <row r="756" spans="1:7" x14ac:dyDescent="0.2">
      <c r="A756" s="20"/>
      <c r="B756" s="9"/>
      <c r="C756" s="9"/>
      <c r="D756" s="9"/>
      <c r="E756" s="9"/>
      <c r="F756" s="9"/>
      <c r="G756" s="11"/>
    </row>
    <row r="757" spans="1:7" x14ac:dyDescent="0.2">
      <c r="A757" s="21"/>
      <c r="B757" s="13"/>
      <c r="C757" s="13"/>
      <c r="D757" s="13"/>
      <c r="E757" s="13"/>
      <c r="F757" s="13"/>
      <c r="G757" s="15"/>
    </row>
    <row r="758" spans="1:7" x14ac:dyDescent="0.2">
      <c r="A758" s="20"/>
      <c r="B758" s="9"/>
      <c r="C758" s="9"/>
      <c r="D758" s="9"/>
      <c r="E758" s="9"/>
      <c r="F758" s="9"/>
      <c r="G758" s="11"/>
    </row>
    <row r="759" spans="1:7" x14ac:dyDescent="0.2">
      <c r="A759" s="21"/>
      <c r="B759" s="13"/>
      <c r="C759" s="13"/>
      <c r="D759" s="13"/>
      <c r="E759" s="13"/>
      <c r="F759" s="13"/>
      <c r="G759" s="15"/>
    </row>
    <row r="760" spans="1:7" x14ac:dyDescent="0.2">
      <c r="A760" s="20"/>
      <c r="B760" s="9"/>
      <c r="C760" s="9"/>
      <c r="D760" s="9"/>
      <c r="E760" s="9"/>
      <c r="F760" s="9"/>
      <c r="G760" s="11"/>
    </row>
    <row r="761" spans="1:7" x14ac:dyDescent="0.2">
      <c r="A761" s="21"/>
      <c r="B761" s="13"/>
      <c r="C761" s="13"/>
      <c r="D761" s="13"/>
      <c r="E761" s="13"/>
      <c r="F761" s="13"/>
      <c r="G761" s="15"/>
    </row>
    <row r="762" spans="1:7" x14ac:dyDescent="0.2">
      <c r="A762" s="20"/>
      <c r="B762" s="9"/>
      <c r="C762" s="9"/>
      <c r="D762" s="9"/>
      <c r="E762" s="9"/>
      <c r="F762" s="9"/>
      <c r="G762" s="11"/>
    </row>
    <row r="763" spans="1:7" x14ac:dyDescent="0.2">
      <c r="A763" s="21"/>
      <c r="B763" s="13"/>
      <c r="C763" s="13"/>
      <c r="D763" s="13"/>
      <c r="E763" s="13"/>
      <c r="F763" s="13"/>
      <c r="G763" s="15"/>
    </row>
    <row r="764" spans="1:7" x14ac:dyDescent="0.2">
      <c r="A764" s="20"/>
      <c r="B764" s="9"/>
      <c r="C764" s="9"/>
      <c r="D764" s="9"/>
      <c r="E764" s="9"/>
      <c r="F764" s="9"/>
      <c r="G764" s="11"/>
    </row>
    <row r="765" spans="1:7" x14ac:dyDescent="0.2">
      <c r="A765" s="21"/>
      <c r="B765" s="13"/>
      <c r="C765" s="13"/>
      <c r="D765" s="13"/>
      <c r="E765" s="13"/>
      <c r="F765" s="13"/>
      <c r="G765" s="15"/>
    </row>
    <row r="766" spans="1:7" x14ac:dyDescent="0.2">
      <c r="A766" s="20"/>
      <c r="B766" s="9"/>
      <c r="C766" s="9"/>
      <c r="D766" s="9"/>
      <c r="E766" s="9"/>
      <c r="F766" s="9"/>
      <c r="G766" s="11"/>
    </row>
    <row r="767" spans="1:7" x14ac:dyDescent="0.2">
      <c r="A767" s="21"/>
      <c r="B767" s="13"/>
      <c r="C767" s="13"/>
      <c r="D767" s="13"/>
      <c r="E767" s="13"/>
      <c r="F767" s="13"/>
      <c r="G767" s="15"/>
    </row>
    <row r="768" spans="1:7" x14ac:dyDescent="0.2">
      <c r="A768" s="20"/>
      <c r="B768" s="9"/>
      <c r="C768" s="9"/>
      <c r="D768" s="9"/>
      <c r="E768" s="9"/>
      <c r="F768" s="9"/>
      <c r="G768" s="11"/>
    </row>
    <row r="769" spans="1:7" x14ac:dyDescent="0.2">
      <c r="A769" s="21"/>
      <c r="B769" s="13"/>
      <c r="C769" s="13"/>
      <c r="D769" s="13"/>
      <c r="E769" s="13"/>
      <c r="F769" s="13"/>
      <c r="G769" s="15"/>
    </row>
    <row r="770" spans="1:7" x14ac:dyDescent="0.2">
      <c r="A770" s="20"/>
      <c r="B770" s="9"/>
      <c r="C770" s="9"/>
      <c r="D770" s="9"/>
      <c r="E770" s="9"/>
      <c r="F770" s="9"/>
      <c r="G770" s="11"/>
    </row>
    <row r="771" spans="1:7" x14ac:dyDescent="0.2">
      <c r="A771" s="21"/>
      <c r="B771" s="13"/>
      <c r="C771" s="13"/>
      <c r="D771" s="13"/>
      <c r="E771" s="13"/>
      <c r="F771" s="13"/>
      <c r="G771" s="15"/>
    </row>
    <row r="772" spans="1:7" x14ac:dyDescent="0.2">
      <c r="A772" s="20"/>
      <c r="B772" s="9"/>
      <c r="C772" s="9"/>
      <c r="D772" s="9"/>
      <c r="E772" s="9"/>
      <c r="F772" s="9"/>
      <c r="G772" s="11"/>
    </row>
    <row r="773" spans="1:7" x14ac:dyDescent="0.2">
      <c r="A773" s="21"/>
      <c r="B773" s="13"/>
      <c r="C773" s="13"/>
      <c r="D773" s="13"/>
      <c r="E773" s="13"/>
      <c r="F773" s="13"/>
      <c r="G773" s="15"/>
    </row>
    <row r="774" spans="1:7" x14ac:dyDescent="0.2">
      <c r="A774" s="20"/>
      <c r="B774" s="9"/>
      <c r="C774" s="9"/>
      <c r="D774" s="9"/>
      <c r="E774" s="9"/>
      <c r="F774" s="9"/>
      <c r="G774" s="11"/>
    </row>
    <row r="775" spans="1:7" x14ac:dyDescent="0.2">
      <c r="A775" s="21"/>
      <c r="B775" s="13"/>
      <c r="C775" s="13"/>
      <c r="D775" s="13"/>
      <c r="E775" s="13"/>
      <c r="F775" s="13"/>
      <c r="G775" s="15"/>
    </row>
    <row r="776" spans="1:7" x14ac:dyDescent="0.2">
      <c r="A776" s="20"/>
      <c r="B776" s="9"/>
      <c r="C776" s="9"/>
      <c r="D776" s="9"/>
      <c r="E776" s="9"/>
      <c r="F776" s="9"/>
      <c r="G776" s="11"/>
    </row>
    <row r="777" spans="1:7" x14ac:dyDescent="0.2">
      <c r="A777" s="21"/>
      <c r="B777" s="13"/>
      <c r="C777" s="13"/>
      <c r="D777" s="13"/>
      <c r="E777" s="13"/>
      <c r="F777" s="13"/>
      <c r="G777" s="15"/>
    </row>
    <row r="778" spans="1:7" x14ac:dyDescent="0.2">
      <c r="A778" s="20"/>
      <c r="B778" s="9"/>
      <c r="C778" s="9"/>
      <c r="D778" s="9"/>
      <c r="E778" s="9"/>
      <c r="F778" s="9"/>
      <c r="G778" s="11"/>
    </row>
    <row r="779" spans="1:7" x14ac:dyDescent="0.2">
      <c r="A779" s="21"/>
      <c r="B779" s="13"/>
      <c r="C779" s="13"/>
      <c r="D779" s="13"/>
      <c r="E779" s="13"/>
      <c r="F779" s="13"/>
      <c r="G779" s="15"/>
    </row>
    <row r="780" spans="1:7" x14ac:dyDescent="0.2">
      <c r="A780" s="20"/>
      <c r="B780" s="9"/>
      <c r="C780" s="9"/>
      <c r="D780" s="9"/>
      <c r="E780" s="9"/>
      <c r="F780" s="9"/>
      <c r="G780" s="11"/>
    </row>
    <row r="781" spans="1:7" x14ac:dyDescent="0.2">
      <c r="A781" s="21"/>
      <c r="B781" s="13"/>
      <c r="C781" s="13"/>
      <c r="D781" s="13"/>
      <c r="E781" s="13"/>
      <c r="F781" s="13"/>
      <c r="G781" s="15"/>
    </row>
    <row r="782" spans="1:7" x14ac:dyDescent="0.2">
      <c r="A782" s="20"/>
      <c r="B782" s="9"/>
      <c r="C782" s="9"/>
      <c r="D782" s="9"/>
      <c r="E782" s="9"/>
      <c r="F782" s="9"/>
      <c r="G782" s="11"/>
    </row>
    <row r="783" spans="1:7" x14ac:dyDescent="0.2">
      <c r="A783" s="21"/>
      <c r="B783" s="13"/>
      <c r="C783" s="13"/>
      <c r="D783" s="13"/>
      <c r="E783" s="13"/>
      <c r="F783" s="13"/>
      <c r="G783" s="15"/>
    </row>
    <row r="784" spans="1:7" x14ac:dyDescent="0.2">
      <c r="A784" s="20"/>
      <c r="B784" s="9"/>
      <c r="C784" s="9"/>
      <c r="D784" s="9"/>
      <c r="E784" s="9"/>
      <c r="F784" s="9"/>
      <c r="G784" s="11"/>
    </row>
    <row r="785" spans="1:7" x14ac:dyDescent="0.2">
      <c r="A785" s="21"/>
      <c r="B785" s="13"/>
      <c r="C785" s="13"/>
      <c r="D785" s="13"/>
      <c r="E785" s="13"/>
      <c r="F785" s="13"/>
      <c r="G785" s="15"/>
    </row>
    <row r="786" spans="1:7" x14ac:dyDescent="0.2">
      <c r="A786" s="20"/>
      <c r="B786" s="9"/>
      <c r="C786" s="9"/>
      <c r="D786" s="9"/>
      <c r="E786" s="9"/>
      <c r="F786" s="9"/>
      <c r="G786" s="11"/>
    </row>
    <row r="787" spans="1:7" x14ac:dyDescent="0.2">
      <c r="A787" s="21"/>
      <c r="B787" s="13"/>
      <c r="C787" s="13"/>
      <c r="D787" s="13"/>
      <c r="E787" s="13"/>
      <c r="F787" s="13"/>
      <c r="G787" s="15"/>
    </row>
    <row r="788" spans="1:7" x14ac:dyDescent="0.2">
      <c r="A788" s="20"/>
      <c r="B788" s="9"/>
      <c r="C788" s="9"/>
      <c r="D788" s="9"/>
      <c r="E788" s="9"/>
      <c r="F788" s="9"/>
      <c r="G788" s="11"/>
    </row>
    <row r="789" spans="1:7" x14ac:dyDescent="0.2">
      <c r="A789" s="21"/>
      <c r="B789" s="13"/>
      <c r="C789" s="13"/>
      <c r="D789" s="13"/>
      <c r="E789" s="13"/>
      <c r="F789" s="13"/>
      <c r="G789" s="15"/>
    </row>
    <row r="790" spans="1:7" x14ac:dyDescent="0.2">
      <c r="A790" s="20"/>
      <c r="B790" s="9"/>
      <c r="C790" s="9"/>
      <c r="D790" s="9"/>
      <c r="E790" s="9"/>
      <c r="F790" s="9"/>
      <c r="G790" s="11"/>
    </row>
    <row r="791" spans="1:7" x14ac:dyDescent="0.2">
      <c r="A791" s="21"/>
      <c r="B791" s="13"/>
      <c r="C791" s="13"/>
      <c r="D791" s="13"/>
      <c r="E791" s="13"/>
      <c r="F791" s="13"/>
      <c r="G791" s="15"/>
    </row>
    <row r="792" spans="1:7" x14ac:dyDescent="0.2">
      <c r="A792" s="20"/>
      <c r="B792" s="9"/>
      <c r="C792" s="9"/>
      <c r="D792" s="9"/>
      <c r="E792" s="9"/>
      <c r="F792" s="9"/>
      <c r="G792" s="11"/>
    </row>
    <row r="793" spans="1:7" x14ac:dyDescent="0.2">
      <c r="A793" s="21"/>
      <c r="B793" s="13"/>
      <c r="C793" s="13"/>
      <c r="D793" s="13"/>
      <c r="E793" s="13"/>
      <c r="F793" s="13"/>
      <c r="G793" s="15"/>
    </row>
    <row r="794" spans="1:7" x14ac:dyDescent="0.2">
      <c r="A794" s="20"/>
      <c r="B794" s="9"/>
      <c r="C794" s="9"/>
      <c r="D794" s="9"/>
      <c r="E794" s="9"/>
      <c r="F794" s="9"/>
      <c r="G794" s="11"/>
    </row>
    <row r="795" spans="1:7" x14ac:dyDescent="0.2">
      <c r="A795" s="21"/>
      <c r="B795" s="13"/>
      <c r="C795" s="13"/>
      <c r="D795" s="13"/>
      <c r="E795" s="13"/>
      <c r="F795" s="13"/>
      <c r="G795" s="15"/>
    </row>
    <row r="796" spans="1:7" x14ac:dyDescent="0.2">
      <c r="A796" s="20"/>
      <c r="B796" s="9"/>
      <c r="C796" s="9"/>
      <c r="D796" s="9"/>
      <c r="E796" s="9"/>
      <c r="F796" s="9"/>
      <c r="G796" s="11"/>
    </row>
    <row r="797" spans="1:7" x14ac:dyDescent="0.2">
      <c r="A797" s="21"/>
      <c r="B797" s="13"/>
      <c r="C797" s="13"/>
      <c r="D797" s="13"/>
      <c r="E797" s="13"/>
      <c r="F797" s="13"/>
      <c r="G797" s="15"/>
    </row>
    <row r="798" spans="1:7" x14ac:dyDescent="0.2">
      <c r="A798" s="20"/>
      <c r="B798" s="9"/>
      <c r="C798" s="9"/>
      <c r="D798" s="9"/>
      <c r="E798" s="9"/>
      <c r="F798" s="9"/>
      <c r="G798" s="11"/>
    </row>
    <row r="799" spans="1:7" x14ac:dyDescent="0.2">
      <c r="A799" s="21"/>
      <c r="B799" s="13"/>
      <c r="C799" s="13"/>
      <c r="D799" s="13"/>
      <c r="E799" s="13"/>
      <c r="F799" s="13"/>
      <c r="G799" s="15"/>
    </row>
    <row r="800" spans="1:7" x14ac:dyDescent="0.2">
      <c r="A800" s="20"/>
      <c r="B800" s="9"/>
      <c r="C800" s="9"/>
      <c r="D800" s="9"/>
      <c r="E800" s="9"/>
      <c r="F800" s="9"/>
      <c r="G800" s="11"/>
    </row>
    <row r="801" spans="1:7" x14ac:dyDescent="0.2">
      <c r="A801" s="21"/>
      <c r="B801" s="13"/>
      <c r="C801" s="13"/>
      <c r="D801" s="13"/>
      <c r="E801" s="13"/>
      <c r="F801" s="13"/>
      <c r="G801" s="15"/>
    </row>
    <row r="802" spans="1:7" x14ac:dyDescent="0.2">
      <c r="A802" s="20"/>
      <c r="B802" s="9"/>
      <c r="C802" s="9"/>
      <c r="D802" s="9"/>
      <c r="E802" s="9"/>
      <c r="F802" s="9"/>
      <c r="G802" s="11"/>
    </row>
    <row r="803" spans="1:7" x14ac:dyDescent="0.2">
      <c r="A803" s="21"/>
      <c r="B803" s="13"/>
      <c r="C803" s="13"/>
      <c r="D803" s="13"/>
      <c r="E803" s="13"/>
      <c r="F803" s="13"/>
      <c r="G803" s="15"/>
    </row>
    <row r="804" spans="1:7" x14ac:dyDescent="0.2">
      <c r="A804" s="20"/>
      <c r="B804" s="9"/>
      <c r="C804" s="9"/>
      <c r="D804" s="9"/>
      <c r="E804" s="9"/>
      <c r="F804" s="9"/>
      <c r="G804" s="11"/>
    </row>
    <row r="805" spans="1:7" x14ac:dyDescent="0.2">
      <c r="A805" s="21"/>
      <c r="B805" s="13"/>
      <c r="C805" s="13"/>
      <c r="D805" s="13"/>
      <c r="E805" s="13"/>
      <c r="F805" s="13"/>
      <c r="G805" s="15"/>
    </row>
    <row r="806" spans="1:7" x14ac:dyDescent="0.2">
      <c r="A806" s="20"/>
      <c r="B806" s="9"/>
      <c r="C806" s="9"/>
      <c r="D806" s="9"/>
      <c r="E806" s="9"/>
      <c r="F806" s="9"/>
      <c r="G806" s="11"/>
    </row>
    <row r="807" spans="1:7" x14ac:dyDescent="0.2">
      <c r="A807" s="21"/>
      <c r="B807" s="13"/>
      <c r="C807" s="13"/>
      <c r="D807" s="13"/>
      <c r="E807" s="13"/>
      <c r="F807" s="13"/>
      <c r="G807" s="15"/>
    </row>
    <row r="808" spans="1:7" x14ac:dyDescent="0.2">
      <c r="A808" s="20"/>
      <c r="B808" s="9"/>
      <c r="C808" s="9"/>
      <c r="D808" s="9"/>
      <c r="E808" s="9"/>
      <c r="F808" s="9"/>
      <c r="G808" s="11"/>
    </row>
    <row r="809" spans="1:7" x14ac:dyDescent="0.2">
      <c r="A809" s="21"/>
      <c r="B809" s="13"/>
      <c r="C809" s="13"/>
      <c r="D809" s="13"/>
      <c r="E809" s="13"/>
      <c r="F809" s="13"/>
      <c r="G809" s="15"/>
    </row>
    <row r="810" spans="1:7" x14ac:dyDescent="0.2">
      <c r="A810" s="20"/>
      <c r="B810" s="9"/>
      <c r="C810" s="9"/>
      <c r="D810" s="9"/>
      <c r="E810" s="9"/>
      <c r="F810" s="9"/>
      <c r="G810" s="11"/>
    </row>
    <row r="811" spans="1:7" x14ac:dyDescent="0.2">
      <c r="A811" s="21"/>
      <c r="B811" s="13"/>
      <c r="C811" s="13"/>
      <c r="D811" s="13"/>
      <c r="E811" s="13"/>
      <c r="F811" s="13"/>
      <c r="G811" s="15"/>
    </row>
    <row r="812" spans="1:7" x14ac:dyDescent="0.2">
      <c r="A812" s="20"/>
      <c r="B812" s="9"/>
      <c r="C812" s="9"/>
      <c r="D812" s="9"/>
      <c r="E812" s="9"/>
      <c r="F812" s="9"/>
      <c r="G812" s="11"/>
    </row>
    <row r="813" spans="1:7" x14ac:dyDescent="0.2">
      <c r="A813" s="21"/>
      <c r="B813" s="13"/>
      <c r="C813" s="13"/>
      <c r="D813" s="13"/>
      <c r="E813" s="13"/>
      <c r="F813" s="13"/>
      <c r="G813" s="15"/>
    </row>
    <row r="814" spans="1:7" x14ac:dyDescent="0.2">
      <c r="A814" s="20"/>
      <c r="B814" s="9"/>
      <c r="C814" s="9"/>
      <c r="D814" s="9"/>
      <c r="E814" s="9"/>
      <c r="F814" s="9"/>
      <c r="G814" s="11"/>
    </row>
    <row r="815" spans="1:7" x14ac:dyDescent="0.2">
      <c r="A815" s="21"/>
      <c r="B815" s="13"/>
      <c r="C815" s="13"/>
      <c r="D815" s="13"/>
      <c r="E815" s="13"/>
      <c r="F815" s="13"/>
      <c r="G815" s="15"/>
    </row>
    <row r="816" spans="1:7" x14ac:dyDescent="0.2">
      <c r="A816" s="20"/>
      <c r="B816" s="9"/>
      <c r="C816" s="9"/>
      <c r="D816" s="9"/>
      <c r="E816" s="9"/>
      <c r="F816" s="9"/>
      <c r="G816" s="11"/>
    </row>
    <row r="817" spans="1:7" x14ac:dyDescent="0.2">
      <c r="A817" s="21"/>
      <c r="B817" s="13"/>
      <c r="C817" s="13"/>
      <c r="D817" s="13"/>
      <c r="E817" s="13"/>
      <c r="F817" s="13"/>
      <c r="G817" s="15"/>
    </row>
    <row r="818" spans="1:7" x14ac:dyDescent="0.2">
      <c r="A818" s="20"/>
      <c r="B818" s="9"/>
      <c r="C818" s="9"/>
      <c r="D818" s="9"/>
      <c r="E818" s="9"/>
      <c r="F818" s="9"/>
      <c r="G818" s="11"/>
    </row>
    <row r="819" spans="1:7" x14ac:dyDescent="0.2">
      <c r="A819" s="21"/>
      <c r="B819" s="13"/>
      <c r="C819" s="13"/>
      <c r="D819" s="13"/>
      <c r="E819" s="13"/>
      <c r="F819" s="13"/>
      <c r="G819" s="15"/>
    </row>
    <row r="820" spans="1:7" x14ac:dyDescent="0.2">
      <c r="A820" s="20"/>
      <c r="B820" s="9"/>
      <c r="C820" s="9"/>
      <c r="D820" s="9"/>
      <c r="E820" s="9"/>
      <c r="F820" s="9"/>
      <c r="G820" s="11"/>
    </row>
    <row r="821" spans="1:7" x14ac:dyDescent="0.2">
      <c r="A821" s="21"/>
      <c r="B821" s="13"/>
      <c r="C821" s="13"/>
      <c r="D821" s="13"/>
      <c r="E821" s="13"/>
      <c r="F821" s="13"/>
      <c r="G821" s="15"/>
    </row>
    <row r="822" spans="1:7" x14ac:dyDescent="0.2">
      <c r="A822" s="20"/>
      <c r="B822" s="9"/>
      <c r="C822" s="9"/>
      <c r="D822" s="9"/>
      <c r="E822" s="9"/>
      <c r="F822" s="9"/>
      <c r="G822" s="11"/>
    </row>
    <row r="823" spans="1:7" x14ac:dyDescent="0.2">
      <c r="A823" s="21"/>
      <c r="B823" s="13"/>
      <c r="C823" s="13"/>
      <c r="D823" s="13"/>
      <c r="E823" s="13"/>
      <c r="F823" s="13"/>
      <c r="G823" s="15"/>
    </row>
    <row r="824" spans="1:7" x14ac:dyDescent="0.2">
      <c r="A824" s="20"/>
      <c r="B824" s="9"/>
      <c r="C824" s="9"/>
      <c r="D824" s="9"/>
      <c r="E824" s="9"/>
      <c r="F824" s="9"/>
      <c r="G824" s="11"/>
    </row>
    <row r="825" spans="1:7" x14ac:dyDescent="0.2">
      <c r="A825" s="21"/>
      <c r="B825" s="13"/>
      <c r="C825" s="13"/>
      <c r="D825" s="13"/>
      <c r="E825" s="13"/>
      <c r="F825" s="13"/>
      <c r="G825" s="15"/>
    </row>
    <row r="826" spans="1:7" x14ac:dyDescent="0.2">
      <c r="A826" s="20"/>
      <c r="B826" s="9"/>
      <c r="C826" s="9"/>
      <c r="D826" s="9"/>
      <c r="E826" s="9"/>
      <c r="F826" s="9"/>
      <c r="G826" s="11"/>
    </row>
    <row r="827" spans="1:7" x14ac:dyDescent="0.2">
      <c r="A827" s="21"/>
      <c r="B827" s="13"/>
      <c r="C827" s="13"/>
      <c r="D827" s="13"/>
      <c r="E827" s="13"/>
      <c r="F827" s="13"/>
      <c r="G827" s="15"/>
    </row>
    <row r="828" spans="1:7" x14ac:dyDescent="0.2">
      <c r="A828" s="20"/>
      <c r="B828" s="9"/>
      <c r="C828" s="9"/>
      <c r="D828" s="9"/>
      <c r="E828" s="9"/>
      <c r="F828" s="9"/>
      <c r="G828" s="11"/>
    </row>
    <row r="829" spans="1:7" x14ac:dyDescent="0.2">
      <c r="A829" s="21"/>
      <c r="B829" s="13"/>
      <c r="C829" s="13"/>
      <c r="D829" s="13"/>
      <c r="E829" s="13"/>
      <c r="F829" s="13"/>
      <c r="G829" s="15"/>
    </row>
    <row r="830" spans="1:7" x14ac:dyDescent="0.2">
      <c r="A830" s="20"/>
      <c r="B830" s="9"/>
      <c r="C830" s="9"/>
      <c r="D830" s="9"/>
      <c r="E830" s="9"/>
      <c r="F830" s="9"/>
      <c r="G830" s="11"/>
    </row>
    <row r="831" spans="1:7" x14ac:dyDescent="0.2">
      <c r="A831" s="21"/>
      <c r="B831" s="13"/>
      <c r="C831" s="13"/>
      <c r="D831" s="13"/>
      <c r="E831" s="13"/>
      <c r="F831" s="13"/>
      <c r="G831" s="15"/>
    </row>
    <row r="832" spans="1:7" x14ac:dyDescent="0.2">
      <c r="A832" s="20"/>
      <c r="B832" s="9"/>
      <c r="C832" s="9"/>
      <c r="D832" s="9"/>
      <c r="E832" s="9"/>
      <c r="F832" s="9"/>
      <c r="G832" s="11"/>
    </row>
    <row r="833" spans="1:7" x14ac:dyDescent="0.2">
      <c r="A833" s="21"/>
      <c r="B833" s="13"/>
      <c r="C833" s="13"/>
      <c r="D833" s="13"/>
      <c r="E833" s="13"/>
      <c r="F833" s="13"/>
      <c r="G833" s="15"/>
    </row>
    <row r="834" spans="1:7" x14ac:dyDescent="0.2">
      <c r="A834" s="20"/>
      <c r="B834" s="9"/>
      <c r="C834" s="9"/>
      <c r="D834" s="9"/>
      <c r="E834" s="9"/>
      <c r="F834" s="9"/>
      <c r="G834" s="11"/>
    </row>
    <row r="835" spans="1:7" x14ac:dyDescent="0.2">
      <c r="A835" s="21"/>
      <c r="B835" s="13"/>
      <c r="C835" s="13"/>
      <c r="D835" s="13"/>
      <c r="E835" s="13"/>
      <c r="F835" s="13"/>
      <c r="G835" s="15"/>
    </row>
    <row r="836" spans="1:7" x14ac:dyDescent="0.2">
      <c r="A836" s="20"/>
      <c r="B836" s="9"/>
      <c r="C836" s="9"/>
      <c r="D836" s="9"/>
      <c r="E836" s="9"/>
      <c r="F836" s="9"/>
      <c r="G836" s="11"/>
    </row>
    <row r="837" spans="1:7" x14ac:dyDescent="0.2">
      <c r="A837" s="21"/>
      <c r="B837" s="13"/>
      <c r="C837" s="13"/>
      <c r="D837" s="13"/>
      <c r="E837" s="13"/>
      <c r="F837" s="13"/>
      <c r="G837" s="15"/>
    </row>
    <row r="838" spans="1:7" x14ac:dyDescent="0.2">
      <c r="A838" s="20"/>
      <c r="B838" s="9"/>
      <c r="C838" s="9"/>
      <c r="D838" s="9"/>
      <c r="E838" s="9"/>
      <c r="F838" s="9"/>
      <c r="G838" s="11"/>
    </row>
    <row r="839" spans="1:7" x14ac:dyDescent="0.2">
      <c r="A839" s="21"/>
      <c r="B839" s="13"/>
      <c r="C839" s="13"/>
      <c r="D839" s="13"/>
      <c r="E839" s="13"/>
      <c r="F839" s="13"/>
      <c r="G839" s="15"/>
    </row>
    <row r="840" spans="1:7" x14ac:dyDescent="0.2">
      <c r="A840" s="20"/>
      <c r="B840" s="9"/>
      <c r="C840" s="9"/>
      <c r="D840" s="9"/>
      <c r="E840" s="9"/>
      <c r="F840" s="9"/>
      <c r="G840" s="11"/>
    </row>
    <row r="841" spans="1:7" x14ac:dyDescent="0.2">
      <c r="A841" s="21"/>
      <c r="B841" s="13"/>
      <c r="C841" s="13"/>
      <c r="D841" s="13"/>
      <c r="E841" s="13"/>
      <c r="F841" s="13"/>
      <c r="G841" s="15"/>
    </row>
    <row r="842" spans="1:7" x14ac:dyDescent="0.2">
      <c r="A842" s="20"/>
      <c r="B842" s="9"/>
      <c r="C842" s="9"/>
      <c r="D842" s="9"/>
      <c r="E842" s="9"/>
      <c r="F842" s="9"/>
      <c r="G842" s="11"/>
    </row>
    <row r="843" spans="1:7" x14ac:dyDescent="0.2">
      <c r="A843" s="21"/>
      <c r="B843" s="13"/>
      <c r="C843" s="13"/>
      <c r="D843" s="13"/>
      <c r="E843" s="13"/>
      <c r="F843" s="13"/>
      <c r="G843" s="15"/>
    </row>
    <row r="844" spans="1:7" x14ac:dyDescent="0.2">
      <c r="A844" s="20"/>
      <c r="B844" s="9"/>
      <c r="C844" s="9"/>
      <c r="D844" s="9"/>
      <c r="E844" s="9"/>
      <c r="F844" s="9"/>
      <c r="G844" s="11"/>
    </row>
    <row r="845" spans="1:7" x14ac:dyDescent="0.2">
      <c r="A845" s="21"/>
      <c r="B845" s="13"/>
      <c r="C845" s="13"/>
      <c r="D845" s="13"/>
      <c r="E845" s="13"/>
      <c r="F845" s="13"/>
      <c r="G845" s="15"/>
    </row>
    <row r="846" spans="1:7" x14ac:dyDescent="0.2">
      <c r="A846" s="20"/>
      <c r="B846" s="9"/>
      <c r="C846" s="9"/>
      <c r="D846" s="9"/>
      <c r="E846" s="9"/>
      <c r="F846" s="9"/>
      <c r="G846" s="11"/>
    </row>
    <row r="847" spans="1:7" x14ac:dyDescent="0.2">
      <c r="A847" s="21"/>
      <c r="B847" s="13"/>
      <c r="C847" s="13"/>
      <c r="D847" s="13"/>
      <c r="E847" s="13"/>
      <c r="F847" s="13"/>
      <c r="G847" s="15"/>
    </row>
    <row r="848" spans="1:7" x14ac:dyDescent="0.2">
      <c r="A848" s="20"/>
      <c r="B848" s="9"/>
      <c r="C848" s="9"/>
      <c r="D848" s="9"/>
      <c r="E848" s="9"/>
      <c r="F848" s="9"/>
      <c r="G848" s="11"/>
    </row>
    <row r="849" spans="1:7" x14ac:dyDescent="0.2">
      <c r="A849" s="21"/>
      <c r="B849" s="13"/>
      <c r="C849" s="13"/>
      <c r="D849" s="13"/>
      <c r="E849" s="13"/>
      <c r="F849" s="13"/>
      <c r="G849" s="15"/>
    </row>
    <row r="850" spans="1:7" x14ac:dyDescent="0.2">
      <c r="A850" s="20"/>
      <c r="B850" s="9"/>
      <c r="C850" s="9"/>
      <c r="D850" s="9"/>
      <c r="E850" s="9"/>
      <c r="F850" s="9"/>
      <c r="G850" s="11"/>
    </row>
    <row r="851" spans="1:7" x14ac:dyDescent="0.2">
      <c r="A851" s="21"/>
      <c r="B851" s="13"/>
      <c r="C851" s="13"/>
      <c r="D851" s="13"/>
      <c r="E851" s="13"/>
      <c r="F851" s="13"/>
      <c r="G851" s="15"/>
    </row>
    <row r="852" spans="1:7" x14ac:dyDescent="0.2">
      <c r="A852" s="20"/>
      <c r="B852" s="9"/>
      <c r="C852" s="9"/>
      <c r="D852" s="9"/>
      <c r="E852" s="9"/>
      <c r="F852" s="9"/>
      <c r="G852" s="11"/>
    </row>
    <row r="853" spans="1:7" x14ac:dyDescent="0.2">
      <c r="A853" s="21"/>
      <c r="B853" s="13"/>
      <c r="C853" s="13"/>
      <c r="D853" s="13"/>
      <c r="E853" s="13"/>
      <c r="F853" s="13"/>
      <c r="G853" s="15"/>
    </row>
    <row r="854" spans="1:7" x14ac:dyDescent="0.2">
      <c r="A854" s="20"/>
      <c r="B854" s="9"/>
      <c r="C854" s="9"/>
      <c r="D854" s="9"/>
      <c r="E854" s="9"/>
      <c r="F854" s="9"/>
      <c r="G854" s="11"/>
    </row>
    <row r="855" spans="1:7" x14ac:dyDescent="0.2">
      <c r="A855" s="21"/>
      <c r="B855" s="13"/>
      <c r="C855" s="13"/>
      <c r="D855" s="13"/>
      <c r="E855" s="13"/>
      <c r="F855" s="13"/>
      <c r="G855" s="15"/>
    </row>
    <row r="856" spans="1:7" x14ac:dyDescent="0.2">
      <c r="A856" s="20"/>
      <c r="B856" s="9"/>
      <c r="C856" s="9"/>
      <c r="D856" s="9"/>
      <c r="E856" s="9"/>
      <c r="F856" s="9"/>
      <c r="G856" s="11"/>
    </row>
    <row r="857" spans="1:7" x14ac:dyDescent="0.2">
      <c r="A857" s="21"/>
      <c r="B857" s="13"/>
      <c r="C857" s="13"/>
      <c r="D857" s="13"/>
      <c r="E857" s="13"/>
      <c r="F857" s="13"/>
      <c r="G857" s="15"/>
    </row>
    <row r="858" spans="1:7" x14ac:dyDescent="0.2">
      <c r="A858" s="20"/>
      <c r="B858" s="9"/>
      <c r="C858" s="9"/>
      <c r="D858" s="9"/>
      <c r="E858" s="9"/>
      <c r="F858" s="9"/>
      <c r="G858" s="11"/>
    </row>
    <row r="859" spans="1:7" x14ac:dyDescent="0.2">
      <c r="A859" s="21"/>
      <c r="B859" s="13"/>
      <c r="C859" s="13"/>
      <c r="D859" s="13"/>
      <c r="E859" s="13"/>
      <c r="F859" s="13"/>
      <c r="G859" s="15"/>
    </row>
    <row r="860" spans="1:7" x14ac:dyDescent="0.2">
      <c r="A860" s="20"/>
      <c r="B860" s="9"/>
      <c r="C860" s="9"/>
      <c r="D860" s="9"/>
      <c r="E860" s="9"/>
      <c r="F860" s="9"/>
      <c r="G860" s="11"/>
    </row>
    <row r="861" spans="1:7" x14ac:dyDescent="0.2">
      <c r="A861" s="21"/>
      <c r="B861" s="13"/>
      <c r="C861" s="13"/>
      <c r="D861" s="13"/>
      <c r="E861" s="13"/>
      <c r="F861" s="13"/>
      <c r="G861" s="15"/>
    </row>
    <row r="862" spans="1:7" x14ac:dyDescent="0.2">
      <c r="A862" s="20"/>
      <c r="B862" s="9"/>
      <c r="C862" s="9"/>
      <c r="D862" s="9"/>
      <c r="E862" s="9"/>
      <c r="F862" s="9"/>
      <c r="G862" s="11"/>
    </row>
    <row r="863" spans="1:7" x14ac:dyDescent="0.2">
      <c r="A863" s="21"/>
      <c r="B863" s="13"/>
      <c r="C863" s="13"/>
      <c r="D863" s="13"/>
      <c r="E863" s="13"/>
      <c r="F863" s="13"/>
      <c r="G863" s="15"/>
    </row>
    <row r="864" spans="1:7" x14ac:dyDescent="0.2">
      <c r="A864" s="20"/>
      <c r="B864" s="9"/>
      <c r="C864" s="9"/>
      <c r="D864" s="9"/>
      <c r="E864" s="9"/>
      <c r="F864" s="9"/>
      <c r="G864" s="11"/>
    </row>
    <row r="865" spans="1:7" x14ac:dyDescent="0.2">
      <c r="A865" s="21"/>
      <c r="B865" s="13"/>
      <c r="C865" s="13"/>
      <c r="D865" s="13"/>
      <c r="E865" s="13"/>
      <c r="F865" s="13"/>
      <c r="G865" s="15"/>
    </row>
    <row r="866" spans="1:7" x14ac:dyDescent="0.2">
      <c r="A866" s="20"/>
      <c r="B866" s="9"/>
      <c r="C866" s="9"/>
      <c r="D866" s="9"/>
      <c r="E866" s="9"/>
      <c r="F866" s="9"/>
      <c r="G866" s="11"/>
    </row>
    <row r="867" spans="1:7" x14ac:dyDescent="0.2">
      <c r="A867" s="21"/>
      <c r="B867" s="13"/>
      <c r="C867" s="13"/>
      <c r="D867" s="13"/>
      <c r="E867" s="13"/>
      <c r="F867" s="13"/>
      <c r="G867" s="15"/>
    </row>
    <row r="868" spans="1:7" x14ac:dyDescent="0.2">
      <c r="A868" s="20"/>
      <c r="B868" s="9"/>
      <c r="C868" s="9"/>
      <c r="D868" s="9"/>
      <c r="E868" s="9"/>
      <c r="F868" s="9"/>
      <c r="G868" s="11"/>
    </row>
    <row r="869" spans="1:7" x14ac:dyDescent="0.2">
      <c r="A869" s="21"/>
      <c r="B869" s="13"/>
      <c r="C869" s="13"/>
      <c r="D869" s="13"/>
      <c r="E869" s="13"/>
      <c r="F869" s="13"/>
      <c r="G869" s="15"/>
    </row>
    <row r="870" spans="1:7" x14ac:dyDescent="0.2">
      <c r="A870" s="20"/>
      <c r="B870" s="9"/>
      <c r="C870" s="9"/>
      <c r="D870" s="9"/>
      <c r="E870" s="9"/>
      <c r="F870" s="9"/>
      <c r="G870" s="11"/>
    </row>
    <row r="871" spans="1:7" x14ac:dyDescent="0.2">
      <c r="A871" s="21"/>
      <c r="B871" s="13"/>
      <c r="C871" s="13"/>
      <c r="D871" s="13"/>
      <c r="E871" s="13"/>
      <c r="F871" s="13"/>
      <c r="G871" s="15"/>
    </row>
    <row r="872" spans="1:7" x14ac:dyDescent="0.2">
      <c r="A872" s="20"/>
      <c r="B872" s="9"/>
      <c r="C872" s="9"/>
      <c r="D872" s="9"/>
      <c r="E872" s="9"/>
      <c r="F872" s="9"/>
      <c r="G872" s="11"/>
    </row>
    <row r="873" spans="1:7" x14ac:dyDescent="0.2">
      <c r="A873" s="21"/>
      <c r="B873" s="13"/>
      <c r="C873" s="13"/>
      <c r="D873" s="13"/>
      <c r="E873" s="13"/>
      <c r="F873" s="13"/>
      <c r="G873" s="15"/>
    </row>
    <row r="874" spans="1:7" x14ac:dyDescent="0.2">
      <c r="A874" s="20"/>
      <c r="B874" s="9"/>
      <c r="C874" s="9"/>
      <c r="D874" s="9"/>
      <c r="E874" s="9"/>
      <c r="F874" s="9"/>
      <c r="G874" s="11"/>
    </row>
    <row r="875" spans="1:7" x14ac:dyDescent="0.2">
      <c r="A875" s="21"/>
      <c r="B875" s="13"/>
      <c r="C875" s="13"/>
      <c r="D875" s="13"/>
      <c r="E875" s="13"/>
      <c r="F875" s="13"/>
      <c r="G875" s="15"/>
    </row>
    <row r="876" spans="1:7" x14ac:dyDescent="0.2">
      <c r="A876" s="20"/>
      <c r="B876" s="9"/>
      <c r="C876" s="9"/>
      <c r="D876" s="9"/>
      <c r="E876" s="9"/>
      <c r="F876" s="9"/>
      <c r="G876" s="11"/>
    </row>
    <row r="877" spans="1:7" x14ac:dyDescent="0.2">
      <c r="A877" s="21"/>
      <c r="B877" s="13"/>
      <c r="C877" s="13"/>
      <c r="D877" s="13"/>
      <c r="E877" s="13"/>
      <c r="F877" s="13"/>
      <c r="G877" s="15"/>
    </row>
    <row r="878" spans="1:7" x14ac:dyDescent="0.2">
      <c r="A878" s="20"/>
      <c r="B878" s="9"/>
      <c r="C878" s="9"/>
      <c r="D878" s="9"/>
      <c r="E878" s="9"/>
      <c r="F878" s="9"/>
      <c r="G878" s="11"/>
    </row>
    <row r="879" spans="1:7" x14ac:dyDescent="0.2">
      <c r="A879" s="21"/>
      <c r="B879" s="13"/>
      <c r="C879" s="13"/>
      <c r="D879" s="13"/>
      <c r="E879" s="13"/>
      <c r="F879" s="13"/>
      <c r="G879" s="15"/>
    </row>
    <row r="880" spans="1:7" x14ac:dyDescent="0.2">
      <c r="A880" s="20"/>
      <c r="B880" s="9"/>
      <c r="C880" s="9"/>
      <c r="D880" s="9"/>
      <c r="E880" s="9"/>
      <c r="F880" s="9"/>
      <c r="G880" s="11"/>
    </row>
    <row r="881" spans="1:7" x14ac:dyDescent="0.2">
      <c r="A881" s="21"/>
      <c r="B881" s="13"/>
      <c r="C881" s="13"/>
      <c r="D881" s="13"/>
      <c r="E881" s="13"/>
      <c r="F881" s="13"/>
      <c r="G881" s="15"/>
    </row>
    <row r="882" spans="1:7" x14ac:dyDescent="0.2">
      <c r="A882" s="20"/>
      <c r="B882" s="9"/>
      <c r="C882" s="9"/>
      <c r="D882" s="9"/>
      <c r="E882" s="9"/>
      <c r="F882" s="9"/>
      <c r="G882" s="11"/>
    </row>
    <row r="883" spans="1:7" x14ac:dyDescent="0.2">
      <c r="A883" s="21"/>
      <c r="B883" s="13"/>
      <c r="C883" s="13"/>
      <c r="D883" s="13"/>
      <c r="E883" s="13"/>
      <c r="F883" s="13"/>
      <c r="G883" s="15"/>
    </row>
    <row r="884" spans="1:7" x14ac:dyDescent="0.2">
      <c r="A884" s="20"/>
      <c r="B884" s="9"/>
      <c r="C884" s="9"/>
      <c r="D884" s="9"/>
      <c r="E884" s="9"/>
      <c r="F884" s="9"/>
      <c r="G884" s="11"/>
    </row>
    <row r="885" spans="1:7" x14ac:dyDescent="0.2">
      <c r="A885" s="21"/>
      <c r="B885" s="13"/>
      <c r="C885" s="13"/>
      <c r="D885" s="13"/>
      <c r="E885" s="13"/>
      <c r="F885" s="13"/>
      <c r="G885" s="15"/>
    </row>
    <row r="886" spans="1:7" x14ac:dyDescent="0.2">
      <c r="A886" s="20"/>
      <c r="B886" s="9"/>
      <c r="C886" s="9"/>
      <c r="D886" s="9"/>
      <c r="E886" s="9"/>
      <c r="F886" s="9"/>
      <c r="G886" s="11"/>
    </row>
    <row r="887" spans="1:7" x14ac:dyDescent="0.2">
      <c r="A887" s="21"/>
      <c r="B887" s="13"/>
      <c r="C887" s="13"/>
      <c r="D887" s="13"/>
      <c r="E887" s="13"/>
      <c r="F887" s="13"/>
      <c r="G887" s="15"/>
    </row>
    <row r="888" spans="1:7" x14ac:dyDescent="0.2">
      <c r="A888" s="20"/>
      <c r="B888" s="9"/>
      <c r="C888" s="9"/>
      <c r="D888" s="9"/>
      <c r="E888" s="9"/>
      <c r="F888" s="9"/>
      <c r="G888" s="11"/>
    </row>
    <row r="889" spans="1:7" x14ac:dyDescent="0.2">
      <c r="A889" s="21"/>
      <c r="B889" s="13"/>
      <c r="C889" s="13"/>
      <c r="D889" s="13"/>
      <c r="E889" s="13"/>
      <c r="F889" s="13"/>
      <c r="G889" s="15"/>
    </row>
    <row r="890" spans="1:7" x14ac:dyDescent="0.2">
      <c r="A890" s="20"/>
      <c r="B890" s="9"/>
      <c r="C890" s="9"/>
      <c r="D890" s="9"/>
      <c r="E890" s="9"/>
      <c r="F890" s="9"/>
      <c r="G890" s="11"/>
    </row>
    <row r="891" spans="1:7" x14ac:dyDescent="0.2">
      <c r="A891" s="21"/>
      <c r="B891" s="13"/>
      <c r="C891" s="13"/>
      <c r="D891" s="13"/>
      <c r="E891" s="13"/>
      <c r="F891" s="13"/>
      <c r="G891" s="15"/>
    </row>
    <row r="892" spans="1:7" x14ac:dyDescent="0.2">
      <c r="A892" s="20"/>
      <c r="B892" s="9"/>
      <c r="C892" s="9"/>
      <c r="D892" s="9"/>
      <c r="E892" s="9"/>
      <c r="F892" s="9"/>
      <c r="G892" s="11"/>
    </row>
    <row r="893" spans="1:7" x14ac:dyDescent="0.2">
      <c r="A893" s="21"/>
      <c r="B893" s="13"/>
      <c r="C893" s="13"/>
      <c r="D893" s="13"/>
      <c r="E893" s="13"/>
      <c r="F893" s="13"/>
      <c r="G893" s="15"/>
    </row>
    <row r="894" spans="1:7" x14ac:dyDescent="0.2">
      <c r="A894" s="20"/>
      <c r="B894" s="9"/>
      <c r="C894" s="9"/>
      <c r="D894" s="9"/>
      <c r="E894" s="9"/>
      <c r="F894" s="9"/>
      <c r="G894" s="11"/>
    </row>
    <row r="895" spans="1:7" x14ac:dyDescent="0.2">
      <c r="A895" s="21"/>
      <c r="B895" s="13"/>
      <c r="C895" s="13"/>
      <c r="D895" s="13"/>
      <c r="E895" s="13"/>
      <c r="F895" s="13"/>
      <c r="G895" s="15"/>
    </row>
    <row r="896" spans="1:7" x14ac:dyDescent="0.2">
      <c r="A896" s="20"/>
      <c r="B896" s="9"/>
      <c r="C896" s="9"/>
      <c r="D896" s="9"/>
      <c r="E896" s="9"/>
      <c r="F896" s="9"/>
      <c r="G896" s="11"/>
    </row>
    <row r="897" spans="1:7" x14ac:dyDescent="0.2">
      <c r="A897" s="21"/>
      <c r="B897" s="13"/>
      <c r="C897" s="13"/>
      <c r="D897" s="13"/>
      <c r="E897" s="13"/>
      <c r="F897" s="13"/>
      <c r="G897" s="15"/>
    </row>
    <row r="898" spans="1:7" x14ac:dyDescent="0.2">
      <c r="A898" s="20"/>
      <c r="B898" s="9"/>
      <c r="C898" s="9"/>
      <c r="D898" s="9"/>
      <c r="E898" s="9"/>
      <c r="F898" s="9"/>
      <c r="G898" s="11"/>
    </row>
    <row r="899" spans="1:7" x14ac:dyDescent="0.2">
      <c r="A899" s="21"/>
      <c r="B899" s="13"/>
      <c r="C899" s="13"/>
      <c r="D899" s="13"/>
      <c r="E899" s="13"/>
      <c r="F899" s="13"/>
      <c r="G899" s="15"/>
    </row>
    <row r="900" spans="1:7" x14ac:dyDescent="0.2">
      <c r="A900" s="20"/>
      <c r="B900" s="9"/>
      <c r="C900" s="9"/>
      <c r="D900" s="9"/>
      <c r="E900" s="9"/>
      <c r="F900" s="9"/>
      <c r="G900" s="11"/>
    </row>
    <row r="901" spans="1:7" x14ac:dyDescent="0.2">
      <c r="A901" s="21"/>
      <c r="B901" s="13"/>
      <c r="C901" s="13"/>
      <c r="D901" s="13"/>
      <c r="E901" s="13"/>
      <c r="F901" s="13"/>
      <c r="G901" s="15"/>
    </row>
    <row r="902" spans="1:7" x14ac:dyDescent="0.2">
      <c r="A902" s="20"/>
      <c r="B902" s="9"/>
      <c r="C902" s="9"/>
      <c r="D902" s="9"/>
      <c r="E902" s="9"/>
      <c r="F902" s="9"/>
      <c r="G902" s="11"/>
    </row>
    <row r="903" spans="1:7" x14ac:dyDescent="0.2">
      <c r="A903" s="21"/>
      <c r="B903" s="13"/>
      <c r="C903" s="13"/>
      <c r="D903" s="13"/>
      <c r="E903" s="13"/>
      <c r="F903" s="13"/>
      <c r="G903" s="15"/>
    </row>
    <row r="904" spans="1:7" x14ac:dyDescent="0.2">
      <c r="A904" s="20"/>
      <c r="B904" s="9"/>
      <c r="C904" s="9"/>
      <c r="D904" s="9"/>
      <c r="E904" s="9"/>
      <c r="F904" s="9"/>
      <c r="G904" s="11"/>
    </row>
    <row r="905" spans="1:7" x14ac:dyDescent="0.2">
      <c r="A905" s="21"/>
      <c r="B905" s="13"/>
      <c r="C905" s="13"/>
      <c r="D905" s="13"/>
      <c r="E905" s="13"/>
      <c r="F905" s="13"/>
      <c r="G905" s="15"/>
    </row>
    <row r="906" spans="1:7" x14ac:dyDescent="0.2">
      <c r="A906" s="20"/>
      <c r="B906" s="9"/>
      <c r="C906" s="9"/>
      <c r="D906" s="9"/>
      <c r="E906" s="9"/>
      <c r="F906" s="9"/>
      <c r="G906" s="11"/>
    </row>
    <row r="907" spans="1:7" x14ac:dyDescent="0.2">
      <c r="A907" s="21"/>
      <c r="B907" s="13"/>
      <c r="C907" s="13"/>
      <c r="D907" s="13"/>
      <c r="E907" s="13"/>
      <c r="F907" s="13"/>
      <c r="G907" s="15"/>
    </row>
    <row r="908" spans="1:7" x14ac:dyDescent="0.2">
      <c r="A908" s="20"/>
      <c r="B908" s="9"/>
      <c r="C908" s="9"/>
      <c r="D908" s="9"/>
      <c r="E908" s="9"/>
      <c r="F908" s="9"/>
      <c r="G908" s="11"/>
    </row>
    <row r="909" spans="1:7" x14ac:dyDescent="0.2">
      <c r="A909" s="21"/>
      <c r="B909" s="13"/>
      <c r="C909" s="13"/>
      <c r="D909" s="13"/>
      <c r="E909" s="13"/>
      <c r="F909" s="13"/>
      <c r="G909" s="15"/>
    </row>
    <row r="910" spans="1:7" x14ac:dyDescent="0.2">
      <c r="A910" s="20"/>
      <c r="B910" s="9"/>
      <c r="C910" s="9"/>
      <c r="D910" s="9"/>
      <c r="E910" s="9"/>
      <c r="F910" s="9"/>
      <c r="G910" s="11"/>
    </row>
    <row r="911" spans="1:7" x14ac:dyDescent="0.2">
      <c r="A911" s="21"/>
      <c r="B911" s="13"/>
      <c r="C911" s="13"/>
      <c r="D911" s="13"/>
      <c r="E911" s="13"/>
      <c r="F911" s="13"/>
      <c r="G911" s="15"/>
    </row>
    <row r="912" spans="1:7" x14ac:dyDescent="0.2">
      <c r="A912" s="20"/>
      <c r="B912" s="9"/>
      <c r="C912" s="9"/>
      <c r="D912" s="9"/>
      <c r="E912" s="9"/>
      <c r="F912" s="9"/>
      <c r="G912" s="11"/>
    </row>
    <row r="913" spans="1:7" x14ac:dyDescent="0.2">
      <c r="A913" s="21"/>
      <c r="B913" s="13"/>
      <c r="C913" s="13"/>
      <c r="D913" s="13"/>
      <c r="E913" s="13"/>
      <c r="F913" s="13"/>
      <c r="G913" s="15"/>
    </row>
    <row r="914" spans="1:7" x14ac:dyDescent="0.2">
      <c r="A914" s="20"/>
      <c r="B914" s="9"/>
      <c r="C914" s="9"/>
      <c r="D914" s="9"/>
      <c r="E914" s="9"/>
      <c r="F914" s="9"/>
      <c r="G914" s="11"/>
    </row>
    <row r="915" spans="1:7" x14ac:dyDescent="0.2">
      <c r="A915" s="21"/>
      <c r="B915" s="13"/>
      <c r="C915" s="13"/>
      <c r="D915" s="13"/>
      <c r="E915" s="13"/>
      <c r="F915" s="13"/>
      <c r="G915" s="15"/>
    </row>
    <row r="916" spans="1:7" x14ac:dyDescent="0.2">
      <c r="A916" s="20"/>
      <c r="B916" s="9"/>
      <c r="C916" s="9"/>
      <c r="D916" s="9"/>
      <c r="E916" s="9"/>
      <c r="F916" s="9"/>
      <c r="G916" s="11"/>
    </row>
    <row r="917" spans="1:7" x14ac:dyDescent="0.2">
      <c r="A917" s="21"/>
      <c r="B917" s="13"/>
      <c r="C917" s="13"/>
      <c r="D917" s="13"/>
      <c r="E917" s="13"/>
      <c r="F917" s="13"/>
      <c r="G917" s="15"/>
    </row>
    <row r="918" spans="1:7" x14ac:dyDescent="0.2">
      <c r="A918" s="20"/>
      <c r="B918" s="9"/>
      <c r="C918" s="9"/>
      <c r="D918" s="9"/>
      <c r="E918" s="9"/>
      <c r="F918" s="9"/>
      <c r="G918" s="11"/>
    </row>
    <row r="919" spans="1:7" x14ac:dyDescent="0.2">
      <c r="A919" s="21"/>
      <c r="B919" s="13"/>
      <c r="C919" s="13"/>
      <c r="D919" s="13"/>
      <c r="E919" s="13"/>
      <c r="F919" s="13"/>
      <c r="G919" s="15"/>
    </row>
    <row r="920" spans="1:7" x14ac:dyDescent="0.2">
      <c r="A920" s="20"/>
      <c r="B920" s="9"/>
      <c r="C920" s="9"/>
      <c r="D920" s="9"/>
      <c r="E920" s="9"/>
      <c r="F920" s="9"/>
      <c r="G920" s="11"/>
    </row>
    <row r="921" spans="1:7" x14ac:dyDescent="0.2">
      <c r="A921" s="21"/>
      <c r="B921" s="13"/>
      <c r="C921" s="13"/>
      <c r="D921" s="13"/>
      <c r="E921" s="13"/>
      <c r="F921" s="13"/>
      <c r="G921" s="15"/>
    </row>
    <row r="922" spans="1:7" x14ac:dyDescent="0.2">
      <c r="A922" s="20"/>
      <c r="B922" s="9"/>
      <c r="C922" s="9"/>
      <c r="D922" s="9"/>
      <c r="E922" s="9"/>
      <c r="F922" s="9"/>
      <c r="G922" s="11"/>
    </row>
    <row r="923" spans="1:7" x14ac:dyDescent="0.2">
      <c r="A923" s="21"/>
      <c r="B923" s="13"/>
      <c r="C923" s="13"/>
      <c r="D923" s="13"/>
      <c r="E923" s="13"/>
      <c r="F923" s="13"/>
      <c r="G923" s="15"/>
    </row>
    <row r="924" spans="1:7" x14ac:dyDescent="0.2">
      <c r="A924" s="20"/>
      <c r="B924" s="9"/>
      <c r="C924" s="9"/>
      <c r="D924" s="9"/>
      <c r="E924" s="9"/>
      <c r="F924" s="9"/>
      <c r="G924" s="11"/>
    </row>
    <row r="925" spans="1:7" x14ac:dyDescent="0.2">
      <c r="A925" s="21"/>
      <c r="B925" s="13"/>
      <c r="C925" s="13"/>
      <c r="D925" s="13"/>
      <c r="E925" s="13"/>
      <c r="F925" s="13"/>
      <c r="G925" s="15"/>
    </row>
    <row r="926" spans="1:7" x14ac:dyDescent="0.2">
      <c r="A926" s="20"/>
      <c r="B926" s="9"/>
      <c r="C926" s="9"/>
      <c r="D926" s="9"/>
      <c r="E926" s="9"/>
      <c r="F926" s="9"/>
      <c r="G926" s="11"/>
    </row>
    <row r="927" spans="1:7" x14ac:dyDescent="0.2">
      <c r="A927" s="21"/>
      <c r="B927" s="13"/>
      <c r="C927" s="13"/>
      <c r="D927" s="13"/>
      <c r="E927" s="13"/>
      <c r="F927" s="13"/>
      <c r="G927" s="15"/>
    </row>
    <row r="928" spans="1:7" x14ac:dyDescent="0.2">
      <c r="A928" s="20"/>
      <c r="B928" s="9"/>
      <c r="C928" s="9"/>
      <c r="D928" s="9"/>
      <c r="E928" s="9"/>
      <c r="F928" s="9"/>
      <c r="G928" s="11"/>
    </row>
    <row r="929" spans="1:7" x14ac:dyDescent="0.2">
      <c r="A929" s="21"/>
      <c r="B929" s="13"/>
      <c r="C929" s="13"/>
      <c r="D929" s="13"/>
      <c r="E929" s="13"/>
      <c r="F929" s="13"/>
      <c r="G929" s="15"/>
    </row>
    <row r="930" spans="1:7" x14ac:dyDescent="0.2">
      <c r="A930" s="20"/>
      <c r="B930" s="9"/>
      <c r="C930" s="9"/>
      <c r="D930" s="9"/>
      <c r="E930" s="9"/>
      <c r="F930" s="9"/>
      <c r="G930" s="11"/>
    </row>
    <row r="931" spans="1:7" x14ac:dyDescent="0.2">
      <c r="A931" s="21"/>
      <c r="B931" s="13"/>
      <c r="C931" s="13"/>
      <c r="D931" s="13"/>
      <c r="E931" s="13"/>
      <c r="F931" s="13"/>
      <c r="G931" s="15"/>
    </row>
    <row r="932" spans="1:7" x14ac:dyDescent="0.2">
      <c r="A932" s="20"/>
      <c r="B932" s="9"/>
      <c r="C932" s="9"/>
      <c r="D932" s="9"/>
      <c r="E932" s="9"/>
      <c r="F932" s="9"/>
      <c r="G932" s="11"/>
    </row>
    <row r="933" spans="1:7" x14ac:dyDescent="0.2">
      <c r="A933" s="21"/>
      <c r="B933" s="13"/>
      <c r="C933" s="13"/>
      <c r="D933" s="13"/>
      <c r="E933" s="13"/>
      <c r="F933" s="13"/>
      <c r="G933" s="15"/>
    </row>
    <row r="934" spans="1:7" x14ac:dyDescent="0.2">
      <c r="A934" s="20"/>
      <c r="B934" s="9"/>
      <c r="C934" s="9"/>
      <c r="D934" s="9"/>
      <c r="E934" s="9"/>
      <c r="F934" s="9"/>
      <c r="G934" s="11"/>
    </row>
    <row r="935" spans="1:7" x14ac:dyDescent="0.2">
      <c r="A935" s="21"/>
      <c r="B935" s="13"/>
      <c r="C935" s="13"/>
      <c r="D935" s="13"/>
      <c r="E935" s="13"/>
      <c r="F935" s="13"/>
      <c r="G935" s="15"/>
    </row>
    <row r="936" spans="1:7" x14ac:dyDescent="0.2">
      <c r="A936" s="20"/>
      <c r="B936" s="9"/>
      <c r="C936" s="9"/>
      <c r="D936" s="9"/>
      <c r="E936" s="9"/>
      <c r="F936" s="9"/>
      <c r="G936" s="11"/>
    </row>
    <row r="937" spans="1:7" x14ac:dyDescent="0.2">
      <c r="A937" s="21"/>
      <c r="B937" s="13"/>
      <c r="C937" s="13"/>
      <c r="D937" s="13"/>
      <c r="E937" s="13"/>
      <c r="F937" s="13"/>
      <c r="G937" s="15"/>
    </row>
    <row r="938" spans="1:7" x14ac:dyDescent="0.2">
      <c r="A938" s="20"/>
      <c r="B938" s="9"/>
      <c r="C938" s="9"/>
      <c r="D938" s="9"/>
      <c r="E938" s="9"/>
      <c r="F938" s="9"/>
      <c r="G938" s="11"/>
    </row>
    <row r="939" spans="1:7" x14ac:dyDescent="0.2">
      <c r="A939" s="21"/>
      <c r="B939" s="13"/>
      <c r="C939" s="13"/>
      <c r="D939" s="13"/>
      <c r="E939" s="13"/>
      <c r="F939" s="13"/>
      <c r="G939" s="15"/>
    </row>
    <row r="940" spans="1:7" x14ac:dyDescent="0.2">
      <c r="A940" s="20"/>
      <c r="B940" s="9"/>
      <c r="C940" s="9"/>
      <c r="D940" s="9"/>
      <c r="E940" s="9"/>
      <c r="F940" s="9"/>
      <c r="G940" s="11"/>
    </row>
    <row r="941" spans="1:7" x14ac:dyDescent="0.2">
      <c r="A941" s="21"/>
      <c r="B941" s="13"/>
      <c r="C941" s="13"/>
      <c r="D941" s="13"/>
      <c r="E941" s="13"/>
      <c r="F941" s="13"/>
      <c r="G941" s="15"/>
    </row>
    <row r="942" spans="1:7" x14ac:dyDescent="0.2">
      <c r="A942" s="20"/>
      <c r="B942" s="9"/>
      <c r="C942" s="9"/>
      <c r="D942" s="9"/>
      <c r="E942" s="9"/>
      <c r="F942" s="9"/>
      <c r="G942" s="11"/>
    </row>
    <row r="943" spans="1:7" x14ac:dyDescent="0.2">
      <c r="A943" s="21"/>
      <c r="B943" s="13"/>
      <c r="C943" s="13"/>
      <c r="D943" s="13"/>
      <c r="E943" s="13"/>
      <c r="F943" s="13"/>
      <c r="G943" s="15"/>
    </row>
    <row r="944" spans="1:7" x14ac:dyDescent="0.2">
      <c r="A944" s="20"/>
      <c r="B944" s="9"/>
      <c r="C944" s="9"/>
      <c r="D944" s="9"/>
      <c r="E944" s="9"/>
      <c r="F944" s="9"/>
      <c r="G944" s="11"/>
    </row>
    <row r="945" spans="1:7" x14ac:dyDescent="0.2">
      <c r="A945" s="21"/>
      <c r="B945" s="13"/>
      <c r="C945" s="13"/>
      <c r="D945" s="13"/>
      <c r="E945" s="13"/>
      <c r="F945" s="13"/>
      <c r="G945" s="15"/>
    </row>
    <row r="946" spans="1:7" x14ac:dyDescent="0.2">
      <c r="A946" s="20"/>
      <c r="B946" s="9"/>
      <c r="C946" s="9"/>
      <c r="D946" s="9"/>
      <c r="E946" s="9"/>
      <c r="F946" s="9"/>
      <c r="G946" s="11"/>
    </row>
    <row r="947" spans="1:7" x14ac:dyDescent="0.2">
      <c r="A947" s="21"/>
      <c r="B947" s="13"/>
      <c r="C947" s="13"/>
      <c r="D947" s="13"/>
      <c r="E947" s="13"/>
      <c r="F947" s="13"/>
      <c r="G947" s="15"/>
    </row>
    <row r="948" spans="1:7" x14ac:dyDescent="0.2">
      <c r="A948" s="20"/>
      <c r="B948" s="9"/>
      <c r="C948" s="9"/>
      <c r="D948" s="9"/>
      <c r="E948" s="9"/>
      <c r="F948" s="9"/>
      <c r="G948" s="11"/>
    </row>
    <row r="949" spans="1:7" x14ac:dyDescent="0.2">
      <c r="A949" s="21"/>
      <c r="B949" s="13"/>
      <c r="C949" s="13"/>
      <c r="D949" s="13"/>
      <c r="E949" s="13"/>
      <c r="F949" s="13"/>
      <c r="G949" s="15"/>
    </row>
    <row r="950" spans="1:7" x14ac:dyDescent="0.2">
      <c r="A950" s="20"/>
      <c r="B950" s="9"/>
      <c r="C950" s="9"/>
      <c r="D950" s="9"/>
      <c r="E950" s="9"/>
      <c r="F950" s="9"/>
      <c r="G950" s="11"/>
    </row>
    <row r="951" spans="1:7" x14ac:dyDescent="0.2">
      <c r="A951" s="21"/>
      <c r="B951" s="13"/>
      <c r="C951" s="13"/>
      <c r="D951" s="13"/>
      <c r="E951" s="13"/>
      <c r="F951" s="13"/>
      <c r="G951" s="15"/>
    </row>
    <row r="952" spans="1:7" x14ac:dyDescent="0.2">
      <c r="A952" s="20"/>
      <c r="B952" s="9"/>
      <c r="C952" s="9"/>
      <c r="D952" s="9"/>
      <c r="E952" s="9"/>
      <c r="F952" s="9"/>
      <c r="G952" s="11"/>
    </row>
    <row r="953" spans="1:7" x14ac:dyDescent="0.2">
      <c r="A953" s="21"/>
      <c r="B953" s="13"/>
      <c r="C953" s="13"/>
      <c r="D953" s="13"/>
      <c r="E953" s="13"/>
      <c r="F953" s="13"/>
      <c r="G953" s="15"/>
    </row>
    <row r="954" spans="1:7" x14ac:dyDescent="0.2">
      <c r="A954" s="20"/>
      <c r="B954" s="9"/>
      <c r="C954" s="9"/>
      <c r="D954" s="9"/>
      <c r="E954" s="9"/>
      <c r="F954" s="9"/>
      <c r="G954" s="11"/>
    </row>
    <row r="955" spans="1:7" x14ac:dyDescent="0.2">
      <c r="A955" s="21"/>
      <c r="B955" s="13"/>
      <c r="C955" s="13"/>
      <c r="D955" s="13"/>
      <c r="E955" s="13"/>
      <c r="F955" s="13"/>
      <c r="G955" s="15"/>
    </row>
    <row r="956" spans="1:7" x14ac:dyDescent="0.2">
      <c r="A956" s="20"/>
      <c r="B956" s="9"/>
      <c r="C956" s="9"/>
      <c r="D956" s="9"/>
      <c r="E956" s="9"/>
      <c r="F956" s="9"/>
      <c r="G956" s="11"/>
    </row>
    <row r="957" spans="1:7" x14ac:dyDescent="0.2">
      <c r="A957" s="21"/>
      <c r="B957" s="13"/>
      <c r="C957" s="13"/>
      <c r="D957" s="13"/>
      <c r="E957" s="13"/>
      <c r="F957" s="13"/>
      <c r="G957" s="15"/>
    </row>
    <row r="958" spans="1:7" x14ac:dyDescent="0.2">
      <c r="A958" s="20"/>
      <c r="B958" s="9"/>
      <c r="C958" s="9"/>
      <c r="D958" s="9"/>
      <c r="E958" s="9"/>
      <c r="F958" s="9"/>
      <c r="G958" s="11"/>
    </row>
    <row r="959" spans="1:7" x14ac:dyDescent="0.2">
      <c r="A959" s="21"/>
      <c r="B959" s="13"/>
      <c r="C959" s="13"/>
      <c r="D959" s="13"/>
      <c r="E959" s="13"/>
      <c r="F959" s="13"/>
      <c r="G959" s="15"/>
    </row>
    <row r="960" spans="1:7" x14ac:dyDescent="0.2">
      <c r="A960" s="20"/>
      <c r="B960" s="9"/>
      <c r="C960" s="9"/>
      <c r="D960" s="9"/>
      <c r="E960" s="9"/>
      <c r="F960" s="9"/>
      <c r="G960" s="11"/>
    </row>
    <row r="961" spans="1:7" x14ac:dyDescent="0.2">
      <c r="A961" s="21"/>
      <c r="B961" s="13"/>
      <c r="C961" s="13"/>
      <c r="D961" s="13"/>
      <c r="E961" s="13"/>
      <c r="F961" s="13"/>
      <c r="G961" s="15"/>
    </row>
    <row r="962" spans="1:7" x14ac:dyDescent="0.2">
      <c r="A962" s="20"/>
      <c r="B962" s="9"/>
      <c r="C962" s="9"/>
      <c r="D962" s="9"/>
      <c r="E962" s="9"/>
      <c r="F962" s="9"/>
      <c r="G962" s="11"/>
    </row>
    <row r="963" spans="1:7" x14ac:dyDescent="0.2">
      <c r="A963" s="21"/>
      <c r="B963" s="13"/>
      <c r="C963" s="13"/>
      <c r="D963" s="13"/>
      <c r="E963" s="13"/>
      <c r="F963" s="13"/>
      <c r="G963" s="15"/>
    </row>
    <row r="964" spans="1:7" x14ac:dyDescent="0.2">
      <c r="A964" s="20"/>
      <c r="B964" s="9"/>
      <c r="C964" s="9"/>
      <c r="D964" s="9"/>
      <c r="E964" s="9"/>
      <c r="F964" s="9"/>
      <c r="G964" s="11"/>
    </row>
    <row r="965" spans="1:7" x14ac:dyDescent="0.2">
      <c r="A965" s="21"/>
      <c r="B965" s="13"/>
      <c r="C965" s="13"/>
      <c r="D965" s="13"/>
      <c r="E965" s="13"/>
      <c r="F965" s="13"/>
      <c r="G965" s="15"/>
    </row>
    <row r="966" spans="1:7" x14ac:dyDescent="0.2">
      <c r="A966" s="20"/>
      <c r="B966" s="9"/>
      <c r="C966" s="9"/>
      <c r="D966" s="9"/>
      <c r="E966" s="9"/>
      <c r="F966" s="9"/>
      <c r="G966" s="11"/>
    </row>
    <row r="967" spans="1:7" x14ac:dyDescent="0.2">
      <c r="A967" s="21"/>
      <c r="B967" s="13"/>
      <c r="C967" s="13"/>
      <c r="D967" s="13"/>
      <c r="E967" s="13"/>
      <c r="F967" s="13"/>
      <c r="G967" s="15"/>
    </row>
    <row r="968" spans="1:7" x14ac:dyDescent="0.2">
      <c r="A968" s="20"/>
      <c r="B968" s="9"/>
      <c r="C968" s="9"/>
      <c r="D968" s="9"/>
      <c r="E968" s="9"/>
      <c r="F968" s="9"/>
      <c r="G968" s="11"/>
    </row>
    <row r="969" spans="1:7" x14ac:dyDescent="0.2">
      <c r="A969" s="21"/>
      <c r="B969" s="13"/>
      <c r="C969" s="13"/>
      <c r="D969" s="13"/>
      <c r="E969" s="13"/>
      <c r="F969" s="13"/>
      <c r="G969" s="15"/>
    </row>
    <row r="970" spans="1:7" x14ac:dyDescent="0.2">
      <c r="A970" s="20"/>
      <c r="B970" s="9"/>
      <c r="C970" s="9"/>
      <c r="D970" s="9"/>
      <c r="E970" s="9"/>
      <c r="F970" s="9"/>
      <c r="G970" s="11"/>
    </row>
    <row r="971" spans="1:7" x14ac:dyDescent="0.2">
      <c r="A971" s="21"/>
      <c r="B971" s="13"/>
      <c r="C971" s="13"/>
      <c r="D971" s="13"/>
      <c r="E971" s="13"/>
      <c r="F971" s="13"/>
      <c r="G971" s="15"/>
    </row>
    <row r="972" spans="1:7" x14ac:dyDescent="0.2">
      <c r="A972" s="20"/>
      <c r="B972" s="9"/>
      <c r="C972" s="9"/>
      <c r="D972" s="9"/>
      <c r="E972" s="9"/>
      <c r="F972" s="9"/>
      <c r="G972" s="11"/>
    </row>
    <row r="973" spans="1:7" x14ac:dyDescent="0.2">
      <c r="A973" s="21"/>
      <c r="B973" s="13"/>
      <c r="C973" s="13"/>
      <c r="D973" s="13"/>
      <c r="E973" s="13"/>
      <c r="F973" s="13"/>
      <c r="G973" s="15"/>
    </row>
    <row r="974" spans="1:7" x14ac:dyDescent="0.2">
      <c r="A974" s="20"/>
      <c r="B974" s="9"/>
      <c r="C974" s="9"/>
      <c r="D974" s="9"/>
      <c r="E974" s="9"/>
      <c r="F974" s="9"/>
      <c r="G974" s="11"/>
    </row>
    <row r="975" spans="1:7" x14ac:dyDescent="0.2">
      <c r="A975" s="21"/>
      <c r="B975" s="13"/>
      <c r="C975" s="13"/>
      <c r="D975" s="13"/>
      <c r="E975" s="13"/>
      <c r="F975" s="13"/>
      <c r="G975" s="15"/>
    </row>
    <row r="976" spans="1:7" x14ac:dyDescent="0.2">
      <c r="A976" s="20"/>
      <c r="B976" s="9"/>
      <c r="C976" s="9"/>
      <c r="D976" s="9"/>
      <c r="E976" s="9"/>
      <c r="F976" s="9"/>
      <c r="G976" s="11"/>
    </row>
    <row r="977" spans="1:7" x14ac:dyDescent="0.2">
      <c r="A977" s="21"/>
      <c r="B977" s="13"/>
      <c r="C977" s="13"/>
      <c r="D977" s="13"/>
      <c r="E977" s="13"/>
      <c r="F977" s="13"/>
      <c r="G977" s="15"/>
    </row>
    <row r="978" spans="1:7" x14ac:dyDescent="0.2">
      <c r="A978" s="20"/>
      <c r="B978" s="9"/>
      <c r="C978" s="9"/>
      <c r="D978" s="9"/>
      <c r="E978" s="9"/>
      <c r="F978" s="9"/>
      <c r="G978" s="11"/>
    </row>
    <row r="979" spans="1:7" x14ac:dyDescent="0.2">
      <c r="A979" s="21"/>
      <c r="B979" s="13"/>
      <c r="C979" s="13"/>
      <c r="D979" s="13"/>
      <c r="E979" s="13"/>
      <c r="F979" s="13"/>
      <c r="G979" s="15"/>
    </row>
    <row r="980" spans="1:7" x14ac:dyDescent="0.2">
      <c r="A980" s="20"/>
      <c r="B980" s="9"/>
      <c r="C980" s="9"/>
      <c r="D980" s="9"/>
      <c r="E980" s="9"/>
      <c r="F980" s="9"/>
      <c r="G980" s="11"/>
    </row>
    <row r="981" spans="1:7" x14ac:dyDescent="0.2">
      <c r="A981" s="21"/>
      <c r="B981" s="13"/>
      <c r="C981" s="13"/>
      <c r="D981" s="13"/>
      <c r="E981" s="13"/>
      <c r="F981" s="13"/>
      <c r="G981" s="15"/>
    </row>
    <row r="982" spans="1:7" x14ac:dyDescent="0.2">
      <c r="A982" s="20"/>
      <c r="B982" s="9"/>
      <c r="C982" s="9"/>
      <c r="D982" s="9"/>
      <c r="E982" s="9"/>
      <c r="F982" s="9"/>
      <c r="G982" s="11"/>
    </row>
    <row r="983" spans="1:7" x14ac:dyDescent="0.2">
      <c r="A983" s="21"/>
      <c r="B983" s="13"/>
      <c r="C983" s="13"/>
      <c r="D983" s="13"/>
      <c r="E983" s="13"/>
      <c r="F983" s="13"/>
      <c r="G983" s="15"/>
    </row>
    <row r="984" spans="1:7" x14ac:dyDescent="0.2">
      <c r="A984" s="20"/>
      <c r="B984" s="9"/>
      <c r="C984" s="9"/>
      <c r="D984" s="9"/>
      <c r="E984" s="9"/>
      <c r="F984" s="9"/>
      <c r="G984" s="11"/>
    </row>
    <row r="985" spans="1:7" x14ac:dyDescent="0.2">
      <c r="A985" s="21"/>
      <c r="B985" s="13"/>
      <c r="C985" s="13"/>
      <c r="D985" s="13"/>
      <c r="E985" s="13"/>
      <c r="F985" s="13"/>
      <c r="G985" s="15"/>
    </row>
    <row r="986" spans="1:7" x14ac:dyDescent="0.2">
      <c r="A986" s="20"/>
      <c r="B986" s="9"/>
      <c r="C986" s="9"/>
      <c r="D986" s="9"/>
      <c r="E986" s="9"/>
      <c r="F986" s="9"/>
      <c r="G986" s="11"/>
    </row>
    <row r="987" spans="1:7" x14ac:dyDescent="0.2">
      <c r="A987" s="21"/>
      <c r="B987" s="13"/>
      <c r="C987" s="13"/>
      <c r="D987" s="13"/>
      <c r="E987" s="13"/>
      <c r="F987" s="13"/>
      <c r="G987" s="15"/>
    </row>
    <row r="988" spans="1:7" x14ac:dyDescent="0.2">
      <c r="A988" s="20"/>
      <c r="B988" s="9"/>
      <c r="C988" s="9"/>
      <c r="D988" s="9"/>
      <c r="E988" s="9"/>
      <c r="F988" s="9"/>
      <c r="G988" s="11"/>
    </row>
    <row r="989" spans="1:7" x14ac:dyDescent="0.2">
      <c r="A989" s="21"/>
      <c r="B989" s="13"/>
      <c r="C989" s="13"/>
      <c r="D989" s="13"/>
      <c r="E989" s="13"/>
      <c r="F989" s="13"/>
      <c r="G989" s="15"/>
    </row>
    <row r="990" spans="1:7" x14ac:dyDescent="0.2">
      <c r="A990" s="20"/>
      <c r="B990" s="9"/>
      <c r="C990" s="9"/>
      <c r="D990" s="9"/>
      <c r="E990" s="9"/>
      <c r="F990" s="9"/>
      <c r="G990" s="11"/>
    </row>
    <row r="991" spans="1:7" x14ac:dyDescent="0.2">
      <c r="A991" s="21"/>
      <c r="B991" s="13"/>
      <c r="C991" s="13"/>
      <c r="D991" s="13"/>
      <c r="E991" s="13"/>
      <c r="F991" s="13"/>
      <c r="G991" s="15"/>
    </row>
    <row r="992" spans="1:7" x14ac:dyDescent="0.2">
      <c r="A992" s="20"/>
      <c r="B992" s="9"/>
      <c r="C992" s="9"/>
      <c r="D992" s="9"/>
      <c r="E992" s="9"/>
      <c r="F992" s="9"/>
      <c r="G992" s="11"/>
    </row>
    <row r="993" spans="1:7" x14ac:dyDescent="0.2">
      <c r="A993" s="21"/>
      <c r="B993" s="13"/>
      <c r="C993" s="13"/>
      <c r="D993" s="13"/>
      <c r="E993" s="13"/>
      <c r="F993" s="13"/>
      <c r="G993" s="15"/>
    </row>
    <row r="994" spans="1:7" x14ac:dyDescent="0.2">
      <c r="A994" s="20"/>
      <c r="B994" s="9"/>
      <c r="C994" s="9"/>
      <c r="D994" s="9"/>
      <c r="E994" s="9"/>
      <c r="F994" s="9"/>
      <c r="G994" s="11"/>
    </row>
    <row r="995" spans="1:7" x14ac:dyDescent="0.2">
      <c r="A995" s="21"/>
      <c r="B995" s="13"/>
      <c r="C995" s="13"/>
      <c r="D995" s="13"/>
      <c r="E995" s="13"/>
      <c r="F995" s="13"/>
      <c r="G995" s="15"/>
    </row>
    <row r="996" spans="1:7" x14ac:dyDescent="0.2">
      <c r="A996" s="20"/>
      <c r="B996" s="9"/>
      <c r="C996" s="9"/>
      <c r="D996" s="9"/>
      <c r="E996" s="9"/>
      <c r="F996" s="9"/>
      <c r="G996" s="11"/>
    </row>
    <row r="997" spans="1:7" x14ac:dyDescent="0.2">
      <c r="A997" s="21"/>
      <c r="B997" s="13"/>
      <c r="C997" s="13"/>
      <c r="D997" s="13"/>
      <c r="E997" s="13"/>
      <c r="F997" s="13"/>
      <c r="G997" s="15"/>
    </row>
    <row r="998" spans="1:7" x14ac:dyDescent="0.2">
      <c r="A998" s="20"/>
      <c r="B998" s="9"/>
      <c r="C998" s="9"/>
      <c r="D998" s="9"/>
      <c r="E998" s="9"/>
      <c r="F998" s="9"/>
      <c r="G998" s="11"/>
    </row>
    <row r="999" spans="1:7" x14ac:dyDescent="0.2">
      <c r="A999" s="21"/>
      <c r="B999" s="13"/>
      <c r="C999" s="13"/>
      <c r="D999" s="13"/>
      <c r="E999" s="13"/>
      <c r="F999" s="13"/>
      <c r="G999" s="15"/>
    </row>
    <row r="1000" spans="1:7" x14ac:dyDescent="0.2">
      <c r="A1000" s="22"/>
      <c r="B1000" s="2"/>
      <c r="C1000" s="2"/>
      <c r="D1000" s="2"/>
      <c r="E1000" s="2"/>
      <c r="F1000" s="2"/>
      <c r="G1000" s="18"/>
    </row>
  </sheetData>
  <autoFilter ref="A1:I201" xr:uid="{DB827A4F-5339-384E-8A57-FB2DCA60EF84}">
    <sortState xmlns:xlrd2="http://schemas.microsoft.com/office/spreadsheetml/2017/richdata2" ref="A2:I201">
      <sortCondition ref="B2:B201"/>
      <sortCondition ref="A2:A201"/>
    </sortState>
  </autoFilter>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93A4E-EC52-9042-9E42-2D68C9273F67}">
  <dimension ref="A1:G1000"/>
  <sheetViews>
    <sheetView zoomScale="117" workbookViewId="0">
      <selection activeCell="E4" sqref="E4"/>
    </sheetView>
  </sheetViews>
  <sheetFormatPr baseColWidth="10" defaultRowHeight="16" x14ac:dyDescent="0.2"/>
  <cols>
    <col min="1" max="1" width="18" bestFit="1" customWidth="1"/>
    <col min="2" max="2" width="12.5" bestFit="1" customWidth="1"/>
    <col min="3" max="3" width="11.5" bestFit="1" customWidth="1"/>
    <col min="4" max="4" width="19.5" bestFit="1" customWidth="1"/>
    <col min="5" max="5" width="14.33203125" bestFit="1" customWidth="1"/>
    <col min="6" max="6" width="18" bestFit="1" customWidth="1"/>
    <col min="7" max="7" width="30.1640625" bestFit="1" customWidth="1"/>
  </cols>
  <sheetData>
    <row r="1" spans="1:7" x14ac:dyDescent="0.2">
      <c r="A1" s="5" t="s">
        <v>12</v>
      </c>
      <c r="B1" s="6" t="s">
        <v>391</v>
      </c>
      <c r="C1" s="6" t="s">
        <v>392</v>
      </c>
      <c r="D1" s="6" t="s">
        <v>393</v>
      </c>
      <c r="E1" s="6" t="s">
        <v>394</v>
      </c>
      <c r="F1" s="6" t="s">
        <v>395</v>
      </c>
      <c r="G1" s="7" t="s">
        <v>396</v>
      </c>
    </row>
    <row r="2" spans="1:7" x14ac:dyDescent="0.2">
      <c r="A2" s="8" t="s">
        <v>18</v>
      </c>
      <c r="B2" s="10">
        <v>45458</v>
      </c>
      <c r="C2" s="10">
        <v>45488</v>
      </c>
      <c r="D2" s="9" t="s">
        <v>397</v>
      </c>
      <c r="E2" s="9">
        <v>150000</v>
      </c>
      <c r="F2" s="9" t="s">
        <v>398</v>
      </c>
      <c r="G2" s="11" t="s">
        <v>362</v>
      </c>
    </row>
    <row r="3" spans="1:7" x14ac:dyDescent="0.2">
      <c r="A3" s="12" t="s">
        <v>24</v>
      </c>
      <c r="B3" s="14">
        <v>45566</v>
      </c>
      <c r="C3" s="14">
        <v>45596</v>
      </c>
      <c r="D3" s="13" t="s">
        <v>399</v>
      </c>
      <c r="E3" s="13">
        <v>200000</v>
      </c>
      <c r="F3" s="13" t="s">
        <v>400</v>
      </c>
      <c r="G3" s="15" t="s">
        <v>401</v>
      </c>
    </row>
    <row r="4" spans="1:7" x14ac:dyDescent="0.2">
      <c r="A4" s="8" t="s">
        <v>29</v>
      </c>
      <c r="B4" s="10">
        <v>45651</v>
      </c>
      <c r="C4" s="10">
        <v>45667</v>
      </c>
      <c r="D4" s="9" t="s">
        <v>402</v>
      </c>
      <c r="E4" s="9">
        <v>250000</v>
      </c>
      <c r="F4" s="9" t="s">
        <v>403</v>
      </c>
      <c r="G4" s="11" t="s">
        <v>196</v>
      </c>
    </row>
    <row r="5" spans="1:7" x14ac:dyDescent="0.2">
      <c r="A5" s="12" t="s">
        <v>35</v>
      </c>
      <c r="B5" s="14">
        <v>45717</v>
      </c>
      <c r="C5" s="14">
        <v>45747</v>
      </c>
      <c r="D5" s="13" t="s">
        <v>404</v>
      </c>
      <c r="E5" s="13">
        <v>180000</v>
      </c>
      <c r="F5" s="13" t="s">
        <v>405</v>
      </c>
      <c r="G5" s="15" t="s">
        <v>406</v>
      </c>
    </row>
    <row r="6" spans="1:7" x14ac:dyDescent="0.2">
      <c r="A6" s="8"/>
      <c r="B6" s="10"/>
      <c r="C6" s="10"/>
      <c r="D6" s="9"/>
      <c r="E6" s="9"/>
      <c r="F6" s="9"/>
      <c r="G6" s="11"/>
    </row>
    <row r="7" spans="1:7" x14ac:dyDescent="0.2">
      <c r="A7" s="12"/>
      <c r="B7" s="14"/>
      <c r="C7" s="14"/>
      <c r="D7" s="13"/>
      <c r="E7" s="13"/>
      <c r="F7" s="13"/>
      <c r="G7" s="15"/>
    </row>
    <row r="8" spans="1:7" x14ac:dyDescent="0.2">
      <c r="A8" s="8"/>
      <c r="B8" s="10"/>
      <c r="C8" s="10"/>
      <c r="D8" s="9"/>
      <c r="E8" s="9"/>
      <c r="F8" s="9"/>
      <c r="G8" s="11"/>
    </row>
    <row r="9" spans="1:7" x14ac:dyDescent="0.2">
      <c r="A9" s="12"/>
      <c r="B9" s="14"/>
      <c r="C9" s="14"/>
      <c r="D9" s="13"/>
      <c r="E9" s="13"/>
      <c r="F9" s="13"/>
      <c r="G9" s="15"/>
    </row>
    <row r="10" spans="1:7" x14ac:dyDescent="0.2">
      <c r="A10" s="8"/>
      <c r="B10" s="10"/>
      <c r="C10" s="10"/>
      <c r="D10" s="9"/>
      <c r="E10" s="9"/>
      <c r="F10" s="9"/>
      <c r="G10" s="11"/>
    </row>
    <row r="11" spans="1:7" x14ac:dyDescent="0.2">
      <c r="A11" s="12"/>
      <c r="B11" s="14"/>
      <c r="C11" s="14"/>
      <c r="D11" s="13"/>
      <c r="E11" s="13"/>
      <c r="F11" s="13"/>
      <c r="G11" s="15"/>
    </row>
    <row r="12" spans="1:7" x14ac:dyDescent="0.2">
      <c r="A12" s="8"/>
      <c r="B12" s="10"/>
      <c r="C12" s="10"/>
      <c r="D12" s="9"/>
      <c r="E12" s="9"/>
      <c r="F12" s="9"/>
      <c r="G12" s="11"/>
    </row>
    <row r="13" spans="1:7" x14ac:dyDescent="0.2">
      <c r="A13" s="12"/>
      <c r="B13" s="14"/>
      <c r="C13" s="14"/>
      <c r="D13" s="13"/>
      <c r="E13" s="13"/>
      <c r="F13" s="13"/>
      <c r="G13" s="15"/>
    </row>
    <row r="14" spans="1:7" x14ac:dyDescent="0.2">
      <c r="A14" s="8"/>
      <c r="B14" s="10"/>
      <c r="C14" s="10"/>
      <c r="D14" s="9"/>
      <c r="E14" s="9"/>
      <c r="F14" s="9"/>
      <c r="G14" s="11"/>
    </row>
    <row r="15" spans="1:7" x14ac:dyDescent="0.2">
      <c r="A15" s="12"/>
      <c r="B15" s="14"/>
      <c r="C15" s="14"/>
      <c r="D15" s="13"/>
      <c r="E15" s="13"/>
      <c r="F15" s="13"/>
      <c r="G15" s="15"/>
    </row>
    <row r="16" spans="1:7" x14ac:dyDescent="0.2">
      <c r="A16" s="8"/>
      <c r="B16" s="10"/>
      <c r="C16" s="10"/>
      <c r="D16" s="9"/>
      <c r="E16" s="9"/>
      <c r="F16" s="9"/>
      <c r="G16" s="11"/>
    </row>
    <row r="17" spans="1:7" x14ac:dyDescent="0.2">
      <c r="A17" s="12"/>
      <c r="B17" s="14"/>
      <c r="C17" s="14"/>
      <c r="D17" s="13"/>
      <c r="E17" s="13"/>
      <c r="F17" s="13"/>
      <c r="G17" s="15"/>
    </row>
    <row r="18" spans="1:7" x14ac:dyDescent="0.2">
      <c r="A18" s="8"/>
      <c r="B18" s="10"/>
      <c r="C18" s="10"/>
      <c r="D18" s="9"/>
      <c r="E18" s="9"/>
      <c r="F18" s="9"/>
      <c r="G18" s="11"/>
    </row>
    <row r="19" spans="1:7" x14ac:dyDescent="0.2">
      <c r="A19" s="12"/>
      <c r="B19" s="14"/>
      <c r="C19" s="14"/>
      <c r="D19" s="13"/>
      <c r="E19" s="13"/>
      <c r="F19" s="13"/>
      <c r="G19" s="15"/>
    </row>
    <row r="20" spans="1:7" x14ac:dyDescent="0.2">
      <c r="A20" s="8"/>
      <c r="B20" s="10"/>
      <c r="C20" s="10"/>
      <c r="D20" s="9"/>
      <c r="E20" s="9"/>
      <c r="F20" s="9"/>
      <c r="G20" s="11"/>
    </row>
    <row r="21" spans="1:7" x14ac:dyDescent="0.2">
      <c r="A21" s="12"/>
      <c r="B21" s="14"/>
      <c r="C21" s="14"/>
      <c r="D21" s="13"/>
      <c r="E21" s="13"/>
      <c r="F21" s="13"/>
      <c r="G21" s="15"/>
    </row>
    <row r="22" spans="1:7" x14ac:dyDescent="0.2">
      <c r="A22" s="8"/>
      <c r="B22" s="10"/>
      <c r="C22" s="10"/>
      <c r="D22" s="9"/>
      <c r="E22" s="9"/>
      <c r="F22" s="9"/>
      <c r="G22" s="11"/>
    </row>
    <row r="23" spans="1:7" x14ac:dyDescent="0.2">
      <c r="A23" s="12"/>
      <c r="B23" s="14"/>
      <c r="C23" s="14"/>
      <c r="D23" s="13"/>
      <c r="E23" s="13"/>
      <c r="F23" s="13"/>
      <c r="G23" s="15"/>
    </row>
    <row r="24" spans="1:7" x14ac:dyDescent="0.2">
      <c r="A24" s="8"/>
      <c r="B24" s="10"/>
      <c r="C24" s="10"/>
      <c r="D24" s="9"/>
      <c r="E24" s="9"/>
      <c r="F24" s="9"/>
      <c r="G24" s="11"/>
    </row>
    <row r="25" spans="1:7" x14ac:dyDescent="0.2">
      <c r="A25" s="12"/>
      <c r="B25" s="14"/>
      <c r="C25" s="14"/>
      <c r="D25" s="13"/>
      <c r="E25" s="13"/>
      <c r="F25" s="13"/>
      <c r="G25" s="15"/>
    </row>
    <row r="26" spans="1:7" x14ac:dyDescent="0.2">
      <c r="A26" s="8"/>
      <c r="B26" s="10"/>
      <c r="C26" s="10"/>
      <c r="D26" s="9"/>
      <c r="E26" s="9"/>
      <c r="F26" s="9"/>
      <c r="G26" s="11"/>
    </row>
    <row r="27" spans="1:7" x14ac:dyDescent="0.2">
      <c r="A27" s="12"/>
      <c r="B27" s="14"/>
      <c r="C27" s="14"/>
      <c r="D27" s="13"/>
      <c r="E27" s="13"/>
      <c r="F27" s="13"/>
      <c r="G27" s="15"/>
    </row>
    <row r="28" spans="1:7" x14ac:dyDescent="0.2">
      <c r="A28" s="8"/>
      <c r="B28" s="10"/>
      <c r="C28" s="10"/>
      <c r="D28" s="9"/>
      <c r="E28" s="9"/>
      <c r="F28" s="9"/>
      <c r="G28" s="11"/>
    </row>
    <row r="29" spans="1:7" x14ac:dyDescent="0.2">
      <c r="A29" s="12"/>
      <c r="B29" s="14"/>
      <c r="C29" s="14"/>
      <c r="D29" s="13"/>
      <c r="E29" s="13"/>
      <c r="F29" s="13"/>
      <c r="G29" s="15"/>
    </row>
    <row r="30" spans="1:7" x14ac:dyDescent="0.2">
      <c r="A30" s="8"/>
      <c r="B30" s="10"/>
      <c r="C30" s="10"/>
      <c r="D30" s="9"/>
      <c r="E30" s="9"/>
      <c r="F30" s="9"/>
      <c r="G30" s="11"/>
    </row>
    <row r="31" spans="1:7" x14ac:dyDescent="0.2">
      <c r="A31" s="12"/>
      <c r="B31" s="14"/>
      <c r="C31" s="14"/>
      <c r="D31" s="13"/>
      <c r="E31" s="13"/>
      <c r="F31" s="13"/>
      <c r="G31" s="15"/>
    </row>
    <row r="32" spans="1:7" x14ac:dyDescent="0.2">
      <c r="A32" s="8"/>
      <c r="B32" s="10"/>
      <c r="C32" s="10"/>
      <c r="D32" s="9"/>
      <c r="E32" s="9"/>
      <c r="F32" s="9"/>
      <c r="G32" s="11"/>
    </row>
    <row r="33" spans="1:7" x14ac:dyDescent="0.2">
      <c r="A33" s="12"/>
      <c r="B33" s="14"/>
      <c r="C33" s="14"/>
      <c r="D33" s="13"/>
      <c r="E33" s="13"/>
      <c r="F33" s="13"/>
      <c r="G33" s="15"/>
    </row>
    <row r="34" spans="1:7" x14ac:dyDescent="0.2">
      <c r="A34" s="8"/>
      <c r="B34" s="10"/>
      <c r="C34" s="10"/>
      <c r="D34" s="9"/>
      <c r="E34" s="9"/>
      <c r="F34" s="9"/>
      <c r="G34" s="11"/>
    </row>
    <row r="35" spans="1:7" x14ac:dyDescent="0.2">
      <c r="A35" s="12"/>
      <c r="B35" s="14"/>
      <c r="C35" s="14"/>
      <c r="D35" s="13"/>
      <c r="E35" s="13"/>
      <c r="F35" s="13"/>
      <c r="G35" s="15"/>
    </row>
    <row r="36" spans="1:7" x14ac:dyDescent="0.2">
      <c r="A36" s="8"/>
      <c r="B36" s="10"/>
      <c r="C36" s="10"/>
      <c r="D36" s="9"/>
      <c r="E36" s="9"/>
      <c r="F36" s="9"/>
      <c r="G36" s="11"/>
    </row>
    <row r="37" spans="1:7" x14ac:dyDescent="0.2">
      <c r="A37" s="12"/>
      <c r="B37" s="14"/>
      <c r="C37" s="14"/>
      <c r="D37" s="13"/>
      <c r="E37" s="13"/>
      <c r="F37" s="13"/>
      <c r="G37" s="15"/>
    </row>
    <row r="38" spans="1:7" x14ac:dyDescent="0.2">
      <c r="A38" s="8"/>
      <c r="B38" s="10"/>
      <c r="C38" s="10"/>
      <c r="D38" s="9"/>
      <c r="E38" s="9"/>
      <c r="F38" s="9"/>
      <c r="G38" s="11"/>
    </row>
    <row r="39" spans="1:7" x14ac:dyDescent="0.2">
      <c r="A39" s="12"/>
      <c r="B39" s="14"/>
      <c r="C39" s="14"/>
      <c r="D39" s="13"/>
      <c r="E39" s="13"/>
      <c r="F39" s="13"/>
      <c r="G39" s="15"/>
    </row>
    <row r="40" spans="1:7" x14ac:dyDescent="0.2">
      <c r="A40" s="8"/>
      <c r="B40" s="10"/>
      <c r="C40" s="10"/>
      <c r="D40" s="9"/>
      <c r="E40" s="9"/>
      <c r="F40" s="9"/>
      <c r="G40" s="11"/>
    </row>
    <row r="41" spans="1:7" x14ac:dyDescent="0.2">
      <c r="A41" s="12"/>
      <c r="B41" s="14"/>
      <c r="C41" s="14"/>
      <c r="D41" s="13"/>
      <c r="E41" s="13"/>
      <c r="F41" s="13"/>
      <c r="G41" s="15"/>
    </row>
    <row r="42" spans="1:7" x14ac:dyDescent="0.2">
      <c r="A42" s="8"/>
      <c r="B42" s="10"/>
      <c r="C42" s="10"/>
      <c r="D42" s="9"/>
      <c r="E42" s="9"/>
      <c r="F42" s="9"/>
      <c r="G42" s="11"/>
    </row>
    <row r="43" spans="1:7" x14ac:dyDescent="0.2">
      <c r="A43" s="12"/>
      <c r="B43" s="14"/>
      <c r="C43" s="14"/>
      <c r="D43" s="13"/>
      <c r="E43" s="13"/>
      <c r="F43" s="13"/>
      <c r="G43" s="15"/>
    </row>
    <row r="44" spans="1:7" x14ac:dyDescent="0.2">
      <c r="A44" s="8"/>
      <c r="B44" s="10"/>
      <c r="C44" s="10"/>
      <c r="D44" s="9"/>
      <c r="E44" s="9"/>
      <c r="F44" s="9"/>
      <c r="G44" s="11"/>
    </row>
    <row r="45" spans="1:7" x14ac:dyDescent="0.2">
      <c r="A45" s="12"/>
      <c r="B45" s="14"/>
      <c r="C45" s="14"/>
      <c r="D45" s="13"/>
      <c r="E45" s="13"/>
      <c r="F45" s="13"/>
      <c r="G45" s="15"/>
    </row>
    <row r="46" spans="1:7" x14ac:dyDescent="0.2">
      <c r="A46" s="8"/>
      <c r="B46" s="10"/>
      <c r="C46" s="10"/>
      <c r="D46" s="9"/>
      <c r="E46" s="9"/>
      <c r="F46" s="9"/>
      <c r="G46" s="11"/>
    </row>
    <row r="47" spans="1:7" x14ac:dyDescent="0.2">
      <c r="A47" s="12"/>
      <c r="B47" s="14"/>
      <c r="C47" s="14"/>
      <c r="D47" s="13"/>
      <c r="E47" s="13"/>
      <c r="F47" s="13"/>
      <c r="G47" s="15"/>
    </row>
    <row r="48" spans="1:7" x14ac:dyDescent="0.2">
      <c r="A48" s="8"/>
      <c r="B48" s="10"/>
      <c r="C48" s="10"/>
      <c r="D48" s="9"/>
      <c r="E48" s="9"/>
      <c r="F48" s="9"/>
      <c r="G48" s="11"/>
    </row>
    <row r="49" spans="1:7" x14ac:dyDescent="0.2">
      <c r="A49" s="12"/>
      <c r="B49" s="14"/>
      <c r="C49" s="14"/>
      <c r="D49" s="13"/>
      <c r="E49" s="13"/>
      <c r="F49" s="13"/>
      <c r="G49" s="15"/>
    </row>
    <row r="50" spans="1:7" x14ac:dyDescent="0.2">
      <c r="A50" s="8"/>
      <c r="B50" s="10"/>
      <c r="C50" s="10"/>
      <c r="D50" s="9"/>
      <c r="E50" s="9"/>
      <c r="F50" s="9"/>
      <c r="G50" s="11"/>
    </row>
    <row r="51" spans="1:7" x14ac:dyDescent="0.2">
      <c r="A51" s="12"/>
      <c r="B51" s="14"/>
      <c r="C51" s="14"/>
      <c r="D51" s="13"/>
      <c r="E51" s="13"/>
      <c r="F51" s="13"/>
      <c r="G51" s="15"/>
    </row>
    <row r="52" spans="1:7" x14ac:dyDescent="0.2">
      <c r="A52" s="8"/>
      <c r="B52" s="10"/>
      <c r="C52" s="10"/>
      <c r="D52" s="9"/>
      <c r="E52" s="9"/>
      <c r="F52" s="9"/>
      <c r="G52" s="11"/>
    </row>
    <row r="53" spans="1:7" x14ac:dyDescent="0.2">
      <c r="A53" s="12"/>
      <c r="B53" s="14"/>
      <c r="C53" s="14"/>
      <c r="D53" s="13"/>
      <c r="E53" s="13"/>
      <c r="F53" s="13"/>
      <c r="G53" s="15"/>
    </row>
    <row r="54" spans="1:7" x14ac:dyDescent="0.2">
      <c r="A54" s="8"/>
      <c r="B54" s="10"/>
      <c r="C54" s="10"/>
      <c r="D54" s="9"/>
      <c r="E54" s="9"/>
      <c r="F54" s="9"/>
      <c r="G54" s="11"/>
    </row>
    <row r="55" spans="1:7" x14ac:dyDescent="0.2">
      <c r="A55" s="12"/>
      <c r="B55" s="14"/>
      <c r="C55" s="14"/>
      <c r="D55" s="13"/>
      <c r="E55" s="13"/>
      <c r="F55" s="13"/>
      <c r="G55" s="15"/>
    </row>
    <row r="56" spans="1:7" x14ac:dyDescent="0.2">
      <c r="A56" s="8"/>
      <c r="B56" s="10"/>
      <c r="C56" s="10"/>
      <c r="D56" s="9"/>
      <c r="E56" s="9"/>
      <c r="F56" s="9"/>
      <c r="G56" s="11"/>
    </row>
    <row r="57" spans="1:7" x14ac:dyDescent="0.2">
      <c r="A57" s="12"/>
      <c r="B57" s="14"/>
      <c r="C57" s="14"/>
      <c r="D57" s="13"/>
      <c r="E57" s="13"/>
      <c r="F57" s="13"/>
      <c r="G57" s="15"/>
    </row>
    <row r="58" spans="1:7" x14ac:dyDescent="0.2">
      <c r="A58" s="8"/>
      <c r="B58" s="10"/>
      <c r="C58" s="10"/>
      <c r="D58" s="9"/>
      <c r="E58" s="9"/>
      <c r="F58" s="9"/>
      <c r="G58" s="11"/>
    </row>
    <row r="59" spans="1:7" x14ac:dyDescent="0.2">
      <c r="A59" s="12"/>
      <c r="B59" s="14"/>
      <c r="C59" s="14"/>
      <c r="D59" s="13"/>
      <c r="E59" s="13"/>
      <c r="F59" s="13"/>
      <c r="G59" s="15"/>
    </row>
    <row r="60" spans="1:7" x14ac:dyDescent="0.2">
      <c r="A60" s="8"/>
      <c r="B60" s="10"/>
      <c r="C60" s="10"/>
      <c r="D60" s="9"/>
      <c r="E60" s="9"/>
      <c r="F60" s="9"/>
      <c r="G60" s="11"/>
    </row>
    <row r="61" spans="1:7" x14ac:dyDescent="0.2">
      <c r="A61" s="12"/>
      <c r="B61" s="14"/>
      <c r="C61" s="14"/>
      <c r="D61" s="13"/>
      <c r="E61" s="13"/>
      <c r="F61" s="13"/>
      <c r="G61" s="15"/>
    </row>
    <row r="62" spans="1:7" x14ac:dyDescent="0.2">
      <c r="A62" s="8"/>
      <c r="B62" s="10"/>
      <c r="C62" s="10"/>
      <c r="D62" s="9"/>
      <c r="E62" s="9"/>
      <c r="F62" s="9"/>
      <c r="G62" s="11"/>
    </row>
    <row r="63" spans="1:7" x14ac:dyDescent="0.2">
      <c r="A63" s="12"/>
      <c r="B63" s="14"/>
      <c r="C63" s="14"/>
      <c r="D63" s="13"/>
      <c r="E63" s="13"/>
      <c r="F63" s="13"/>
      <c r="G63" s="15"/>
    </row>
    <row r="64" spans="1:7" x14ac:dyDescent="0.2">
      <c r="A64" s="8"/>
      <c r="B64" s="10"/>
      <c r="C64" s="10"/>
      <c r="D64" s="9"/>
      <c r="E64" s="9"/>
      <c r="F64" s="9"/>
      <c r="G64" s="11"/>
    </row>
    <row r="65" spans="1:7" x14ac:dyDescent="0.2">
      <c r="A65" s="12"/>
      <c r="B65" s="14"/>
      <c r="C65" s="14"/>
      <c r="D65" s="13"/>
      <c r="E65" s="13"/>
      <c r="F65" s="13"/>
      <c r="G65" s="15"/>
    </row>
    <row r="66" spans="1:7" x14ac:dyDescent="0.2">
      <c r="A66" s="8"/>
      <c r="B66" s="10"/>
      <c r="C66" s="10"/>
      <c r="D66" s="9"/>
      <c r="E66" s="9"/>
      <c r="F66" s="9"/>
      <c r="G66" s="11"/>
    </row>
    <row r="67" spans="1:7" x14ac:dyDescent="0.2">
      <c r="A67" s="12"/>
      <c r="B67" s="14"/>
      <c r="C67" s="14"/>
      <c r="D67" s="13"/>
      <c r="E67" s="13"/>
      <c r="F67" s="13"/>
      <c r="G67" s="15"/>
    </row>
    <row r="68" spans="1:7" x14ac:dyDescent="0.2">
      <c r="A68" s="8"/>
      <c r="B68" s="10"/>
      <c r="C68" s="10"/>
      <c r="D68" s="9"/>
      <c r="E68" s="9"/>
      <c r="F68" s="9"/>
      <c r="G68" s="11"/>
    </row>
    <row r="69" spans="1:7" x14ac:dyDescent="0.2">
      <c r="A69" s="12"/>
      <c r="B69" s="14"/>
      <c r="C69" s="14"/>
      <c r="D69" s="13"/>
      <c r="E69" s="13"/>
      <c r="F69" s="13"/>
      <c r="G69" s="15"/>
    </row>
    <row r="70" spans="1:7" x14ac:dyDescent="0.2">
      <c r="A70" s="8"/>
      <c r="B70" s="10"/>
      <c r="C70" s="10"/>
      <c r="D70" s="9"/>
      <c r="E70" s="9"/>
      <c r="F70" s="9"/>
      <c r="G70" s="11"/>
    </row>
    <row r="71" spans="1:7" x14ac:dyDescent="0.2">
      <c r="A71" s="12"/>
      <c r="B71" s="14"/>
      <c r="C71" s="14"/>
      <c r="D71" s="13"/>
      <c r="E71" s="13"/>
      <c r="F71" s="13"/>
      <c r="G71" s="15"/>
    </row>
    <row r="72" spans="1:7" x14ac:dyDescent="0.2">
      <c r="A72" s="8"/>
      <c r="B72" s="10"/>
      <c r="C72" s="10"/>
      <c r="D72" s="9"/>
      <c r="E72" s="9"/>
      <c r="F72" s="9"/>
      <c r="G72" s="11"/>
    </row>
    <row r="73" spans="1:7" x14ac:dyDescent="0.2">
      <c r="A73" s="12"/>
      <c r="B73" s="14"/>
      <c r="C73" s="14"/>
      <c r="D73" s="13"/>
      <c r="E73" s="13"/>
      <c r="F73" s="13"/>
      <c r="G73" s="15"/>
    </row>
    <row r="74" spans="1:7" x14ac:dyDescent="0.2">
      <c r="A74" s="8"/>
      <c r="B74" s="10"/>
      <c r="C74" s="10"/>
      <c r="D74" s="9"/>
      <c r="E74" s="9"/>
      <c r="F74" s="9"/>
      <c r="G74" s="11"/>
    </row>
    <row r="75" spans="1:7" x14ac:dyDescent="0.2">
      <c r="A75" s="12"/>
      <c r="B75" s="14"/>
      <c r="C75" s="14"/>
      <c r="D75" s="13"/>
      <c r="E75" s="13"/>
      <c r="F75" s="13"/>
      <c r="G75" s="15"/>
    </row>
    <row r="76" spans="1:7" x14ac:dyDescent="0.2">
      <c r="A76" s="8"/>
      <c r="B76" s="10"/>
      <c r="C76" s="10"/>
      <c r="D76" s="9"/>
      <c r="E76" s="9"/>
      <c r="F76" s="9"/>
      <c r="G76" s="11"/>
    </row>
    <row r="77" spans="1:7" x14ac:dyDescent="0.2">
      <c r="A77" s="12"/>
      <c r="B77" s="14"/>
      <c r="C77" s="14"/>
      <c r="D77" s="13"/>
      <c r="E77" s="13"/>
      <c r="F77" s="13"/>
      <c r="G77" s="15"/>
    </row>
    <row r="78" spans="1:7" x14ac:dyDescent="0.2">
      <c r="A78" s="8"/>
      <c r="B78" s="10"/>
      <c r="C78" s="10"/>
      <c r="D78" s="9"/>
      <c r="E78" s="9"/>
      <c r="F78" s="9"/>
      <c r="G78" s="11"/>
    </row>
    <row r="79" spans="1:7" x14ac:dyDescent="0.2">
      <c r="A79" s="12"/>
      <c r="B79" s="14"/>
      <c r="C79" s="14"/>
      <c r="D79" s="13"/>
      <c r="E79" s="13"/>
      <c r="F79" s="13"/>
      <c r="G79" s="15"/>
    </row>
    <row r="80" spans="1:7" x14ac:dyDescent="0.2">
      <c r="A80" s="8"/>
      <c r="B80" s="10"/>
      <c r="C80" s="10"/>
      <c r="D80" s="9"/>
      <c r="E80" s="9"/>
      <c r="F80" s="9"/>
      <c r="G80" s="11"/>
    </row>
    <row r="81" spans="1:7" x14ac:dyDescent="0.2">
      <c r="A81" s="12"/>
      <c r="B81" s="14"/>
      <c r="C81" s="14"/>
      <c r="D81" s="13"/>
      <c r="E81" s="13"/>
      <c r="F81" s="13"/>
      <c r="G81" s="15"/>
    </row>
    <row r="82" spans="1:7" x14ac:dyDescent="0.2">
      <c r="A82" s="8"/>
      <c r="B82" s="10"/>
      <c r="C82" s="10"/>
      <c r="D82" s="9"/>
      <c r="E82" s="9"/>
      <c r="F82" s="9"/>
      <c r="G82" s="11"/>
    </row>
    <row r="83" spans="1:7" x14ac:dyDescent="0.2">
      <c r="A83" s="12"/>
      <c r="B83" s="14"/>
      <c r="C83" s="14"/>
      <c r="D83" s="13"/>
      <c r="E83" s="13"/>
      <c r="F83" s="13"/>
      <c r="G83" s="15"/>
    </row>
    <row r="84" spans="1:7" x14ac:dyDescent="0.2">
      <c r="A84" s="8"/>
      <c r="B84" s="10"/>
      <c r="C84" s="10"/>
      <c r="D84" s="9"/>
      <c r="E84" s="9"/>
      <c r="F84" s="9"/>
      <c r="G84" s="11"/>
    </row>
    <row r="85" spans="1:7" x14ac:dyDescent="0.2">
      <c r="A85" s="12"/>
      <c r="B85" s="14"/>
      <c r="C85" s="14"/>
      <c r="D85" s="13"/>
      <c r="E85" s="13"/>
      <c r="F85" s="13"/>
      <c r="G85" s="15"/>
    </row>
    <row r="86" spans="1:7" x14ac:dyDescent="0.2">
      <c r="A86" s="8"/>
      <c r="B86" s="10"/>
      <c r="C86" s="10"/>
      <c r="D86" s="9"/>
      <c r="E86" s="9"/>
      <c r="F86" s="9"/>
      <c r="G86" s="11"/>
    </row>
    <row r="87" spans="1:7" x14ac:dyDescent="0.2">
      <c r="A87" s="12"/>
      <c r="B87" s="14"/>
      <c r="C87" s="14"/>
      <c r="D87" s="13"/>
      <c r="E87" s="13"/>
      <c r="F87" s="13"/>
      <c r="G87" s="15"/>
    </row>
    <row r="88" spans="1:7" x14ac:dyDescent="0.2">
      <c r="A88" s="8"/>
      <c r="B88" s="10"/>
      <c r="C88" s="10"/>
      <c r="D88" s="9"/>
      <c r="E88" s="9"/>
      <c r="F88" s="9"/>
      <c r="G88" s="11"/>
    </row>
    <row r="89" spans="1:7" x14ac:dyDescent="0.2">
      <c r="A89" s="12"/>
      <c r="B89" s="14"/>
      <c r="C89" s="14"/>
      <c r="D89" s="13"/>
      <c r="E89" s="13"/>
      <c r="F89" s="13"/>
      <c r="G89" s="15"/>
    </row>
    <row r="90" spans="1:7" x14ac:dyDescent="0.2">
      <c r="A90" s="8"/>
      <c r="B90" s="10"/>
      <c r="C90" s="10"/>
      <c r="D90" s="9"/>
      <c r="E90" s="9"/>
      <c r="F90" s="9"/>
      <c r="G90" s="11"/>
    </row>
    <row r="91" spans="1:7" x14ac:dyDescent="0.2">
      <c r="A91" s="12"/>
      <c r="B91" s="14"/>
      <c r="C91" s="14"/>
      <c r="D91" s="13"/>
      <c r="E91" s="13"/>
      <c r="F91" s="13"/>
      <c r="G91" s="15"/>
    </row>
    <row r="92" spans="1:7" x14ac:dyDescent="0.2">
      <c r="A92" s="8"/>
      <c r="B92" s="10"/>
      <c r="C92" s="10"/>
      <c r="D92" s="9"/>
      <c r="E92" s="9"/>
      <c r="F92" s="9"/>
      <c r="G92" s="11"/>
    </row>
    <row r="93" spans="1:7" x14ac:dyDescent="0.2">
      <c r="A93" s="12"/>
      <c r="B93" s="14"/>
      <c r="C93" s="14"/>
      <c r="D93" s="13"/>
      <c r="E93" s="13"/>
      <c r="F93" s="13"/>
      <c r="G93" s="15"/>
    </row>
    <row r="94" spans="1:7" x14ac:dyDescent="0.2">
      <c r="A94" s="8"/>
      <c r="B94" s="10"/>
      <c r="C94" s="10"/>
      <c r="D94" s="9"/>
      <c r="E94" s="9"/>
      <c r="F94" s="9"/>
      <c r="G94" s="11"/>
    </row>
    <row r="95" spans="1:7" x14ac:dyDescent="0.2">
      <c r="A95" s="12"/>
      <c r="B95" s="14"/>
      <c r="C95" s="14"/>
      <c r="D95" s="13"/>
      <c r="E95" s="13"/>
      <c r="F95" s="13"/>
      <c r="G95" s="15"/>
    </row>
    <row r="96" spans="1:7" x14ac:dyDescent="0.2">
      <c r="A96" s="8"/>
      <c r="B96" s="10"/>
      <c r="C96" s="10"/>
      <c r="D96" s="9"/>
      <c r="E96" s="9"/>
      <c r="F96" s="9"/>
      <c r="G96" s="11"/>
    </row>
    <row r="97" spans="1:7" x14ac:dyDescent="0.2">
      <c r="A97" s="12"/>
      <c r="B97" s="14"/>
      <c r="C97" s="14"/>
      <c r="D97" s="13"/>
      <c r="E97" s="13"/>
      <c r="F97" s="13"/>
      <c r="G97" s="15"/>
    </row>
    <row r="98" spans="1:7" x14ac:dyDescent="0.2">
      <c r="A98" s="8"/>
      <c r="B98" s="10"/>
      <c r="C98" s="10"/>
      <c r="D98" s="9"/>
      <c r="E98" s="9"/>
      <c r="F98" s="9"/>
      <c r="G98" s="11"/>
    </row>
    <row r="99" spans="1:7" x14ac:dyDescent="0.2">
      <c r="A99" s="12"/>
      <c r="B99" s="14"/>
      <c r="C99" s="14"/>
      <c r="D99" s="13"/>
      <c r="E99" s="13"/>
      <c r="F99" s="13"/>
      <c r="G99" s="15"/>
    </row>
    <row r="100" spans="1:7" x14ac:dyDescent="0.2">
      <c r="A100" s="8"/>
      <c r="B100" s="10"/>
      <c r="C100" s="10"/>
      <c r="D100" s="9"/>
      <c r="E100" s="9"/>
      <c r="F100" s="9"/>
      <c r="G100" s="11"/>
    </row>
    <row r="101" spans="1:7" x14ac:dyDescent="0.2">
      <c r="A101" s="12"/>
      <c r="B101" s="14"/>
      <c r="C101" s="14"/>
      <c r="D101" s="13"/>
      <c r="E101" s="13"/>
      <c r="F101" s="13"/>
      <c r="G101" s="15"/>
    </row>
    <row r="102" spans="1:7" x14ac:dyDescent="0.2">
      <c r="A102" s="8"/>
      <c r="B102" s="10"/>
      <c r="C102" s="10"/>
      <c r="D102" s="9"/>
      <c r="E102" s="9"/>
      <c r="F102" s="9"/>
      <c r="G102" s="11"/>
    </row>
    <row r="103" spans="1:7" x14ac:dyDescent="0.2">
      <c r="A103" s="12"/>
      <c r="B103" s="14"/>
      <c r="C103" s="14"/>
      <c r="D103" s="13"/>
      <c r="E103" s="13"/>
      <c r="F103" s="13"/>
      <c r="G103" s="15"/>
    </row>
    <row r="104" spans="1:7" x14ac:dyDescent="0.2">
      <c r="A104" s="8"/>
      <c r="B104" s="10"/>
      <c r="C104" s="10"/>
      <c r="D104" s="9"/>
      <c r="E104" s="9"/>
      <c r="F104" s="9"/>
      <c r="G104" s="11"/>
    </row>
    <row r="105" spans="1:7" x14ac:dyDescent="0.2">
      <c r="A105" s="12"/>
      <c r="B105" s="14"/>
      <c r="C105" s="14"/>
      <c r="D105" s="13"/>
      <c r="E105" s="13"/>
      <c r="F105" s="13"/>
      <c r="G105" s="15"/>
    </row>
    <row r="106" spans="1:7" x14ac:dyDescent="0.2">
      <c r="A106" s="8"/>
      <c r="B106" s="10"/>
      <c r="C106" s="10"/>
      <c r="D106" s="9"/>
      <c r="E106" s="9"/>
      <c r="F106" s="9"/>
      <c r="G106" s="11"/>
    </row>
    <row r="107" spans="1:7" x14ac:dyDescent="0.2">
      <c r="A107" s="12"/>
      <c r="B107" s="14"/>
      <c r="C107" s="14"/>
      <c r="D107" s="13"/>
      <c r="E107" s="13"/>
      <c r="F107" s="13"/>
      <c r="G107" s="15"/>
    </row>
    <row r="108" spans="1:7" x14ac:dyDescent="0.2">
      <c r="A108" s="8"/>
      <c r="B108" s="10"/>
      <c r="C108" s="10"/>
      <c r="D108" s="9"/>
      <c r="E108" s="9"/>
      <c r="F108" s="9"/>
      <c r="G108" s="11"/>
    </row>
    <row r="109" spans="1:7" x14ac:dyDescent="0.2">
      <c r="A109" s="12"/>
      <c r="B109" s="14"/>
      <c r="C109" s="14"/>
      <c r="D109" s="13"/>
      <c r="E109" s="13"/>
      <c r="F109" s="13"/>
      <c r="G109" s="15"/>
    </row>
    <row r="110" spans="1:7" x14ac:dyDescent="0.2">
      <c r="A110" s="8"/>
      <c r="B110" s="10"/>
      <c r="C110" s="10"/>
      <c r="D110" s="9"/>
      <c r="E110" s="9"/>
      <c r="F110" s="9"/>
      <c r="G110" s="11"/>
    </row>
    <row r="111" spans="1:7" x14ac:dyDescent="0.2">
      <c r="A111" s="12"/>
      <c r="B111" s="14"/>
      <c r="C111" s="14"/>
      <c r="D111" s="13"/>
      <c r="E111" s="13"/>
      <c r="F111" s="13"/>
      <c r="G111" s="15"/>
    </row>
    <row r="112" spans="1:7" x14ac:dyDescent="0.2">
      <c r="A112" s="8"/>
      <c r="B112" s="10"/>
      <c r="C112" s="10"/>
      <c r="D112" s="9"/>
      <c r="E112" s="9"/>
      <c r="F112" s="9"/>
      <c r="G112" s="11"/>
    </row>
    <row r="113" spans="1:7" x14ac:dyDescent="0.2">
      <c r="A113" s="12"/>
      <c r="B113" s="14"/>
      <c r="C113" s="14"/>
      <c r="D113" s="13"/>
      <c r="E113" s="13"/>
      <c r="F113" s="13"/>
      <c r="G113" s="15"/>
    </row>
    <row r="114" spans="1:7" x14ac:dyDescent="0.2">
      <c r="A114" s="8"/>
      <c r="B114" s="10"/>
      <c r="C114" s="10"/>
      <c r="D114" s="9"/>
      <c r="E114" s="9"/>
      <c r="F114" s="9"/>
      <c r="G114" s="11"/>
    </row>
    <row r="115" spans="1:7" x14ac:dyDescent="0.2">
      <c r="A115" s="12"/>
      <c r="B115" s="14"/>
      <c r="C115" s="14"/>
      <c r="D115" s="13"/>
      <c r="E115" s="13"/>
      <c r="F115" s="13"/>
      <c r="G115" s="15"/>
    </row>
    <row r="116" spans="1:7" x14ac:dyDescent="0.2">
      <c r="A116" s="8"/>
      <c r="B116" s="10"/>
      <c r="C116" s="10"/>
      <c r="D116" s="9"/>
      <c r="E116" s="9"/>
      <c r="F116" s="9"/>
      <c r="G116" s="11"/>
    </row>
    <row r="117" spans="1:7" x14ac:dyDescent="0.2">
      <c r="A117" s="12"/>
      <c r="B117" s="14"/>
      <c r="C117" s="14"/>
      <c r="D117" s="13"/>
      <c r="E117" s="13"/>
      <c r="F117" s="13"/>
      <c r="G117" s="15"/>
    </row>
    <row r="118" spans="1:7" x14ac:dyDescent="0.2">
      <c r="A118" s="8"/>
      <c r="B118" s="10"/>
      <c r="C118" s="10"/>
      <c r="D118" s="9"/>
      <c r="E118" s="9"/>
      <c r="F118" s="9"/>
      <c r="G118" s="11"/>
    </row>
    <row r="119" spans="1:7" x14ac:dyDescent="0.2">
      <c r="A119" s="12"/>
      <c r="B119" s="14"/>
      <c r="C119" s="14"/>
      <c r="D119" s="13"/>
      <c r="E119" s="13"/>
      <c r="F119" s="13"/>
      <c r="G119" s="15"/>
    </row>
    <row r="120" spans="1:7" x14ac:dyDescent="0.2">
      <c r="A120" s="8"/>
      <c r="B120" s="10"/>
      <c r="C120" s="10"/>
      <c r="D120" s="9"/>
      <c r="E120" s="9"/>
      <c r="F120" s="9"/>
      <c r="G120" s="11"/>
    </row>
    <row r="121" spans="1:7" x14ac:dyDescent="0.2">
      <c r="A121" s="12"/>
      <c r="B121" s="14"/>
      <c r="C121" s="14"/>
      <c r="D121" s="13"/>
      <c r="E121" s="13"/>
      <c r="F121" s="13"/>
      <c r="G121" s="15"/>
    </row>
    <row r="122" spans="1:7" x14ac:dyDescent="0.2">
      <c r="A122" s="8"/>
      <c r="B122" s="10"/>
      <c r="C122" s="10"/>
      <c r="D122" s="9"/>
      <c r="E122" s="9"/>
      <c r="F122" s="9"/>
      <c r="G122" s="11"/>
    </row>
    <row r="123" spans="1:7" x14ac:dyDescent="0.2">
      <c r="A123" s="12"/>
      <c r="B123" s="14"/>
      <c r="C123" s="14"/>
      <c r="D123" s="13"/>
      <c r="E123" s="13"/>
      <c r="F123" s="13"/>
      <c r="G123" s="15"/>
    </row>
    <row r="124" spans="1:7" x14ac:dyDescent="0.2">
      <c r="A124" s="8"/>
      <c r="B124" s="10"/>
      <c r="C124" s="10"/>
      <c r="D124" s="9"/>
      <c r="E124" s="9"/>
      <c r="F124" s="9"/>
      <c r="G124" s="11"/>
    </row>
    <row r="125" spans="1:7" x14ac:dyDescent="0.2">
      <c r="A125" s="12"/>
      <c r="B125" s="14"/>
      <c r="C125" s="14"/>
      <c r="D125" s="13"/>
      <c r="E125" s="13"/>
      <c r="F125" s="13"/>
      <c r="G125" s="15"/>
    </row>
    <row r="126" spans="1:7" x14ac:dyDescent="0.2">
      <c r="A126" s="8"/>
      <c r="B126" s="10"/>
      <c r="C126" s="10"/>
      <c r="D126" s="9"/>
      <c r="E126" s="9"/>
      <c r="F126" s="9"/>
      <c r="G126" s="11"/>
    </row>
    <row r="127" spans="1:7" x14ac:dyDescent="0.2">
      <c r="A127" s="12"/>
      <c r="B127" s="14"/>
      <c r="C127" s="14"/>
      <c r="D127" s="13"/>
      <c r="E127" s="13"/>
      <c r="F127" s="13"/>
      <c r="G127" s="15"/>
    </row>
    <row r="128" spans="1:7" x14ac:dyDescent="0.2">
      <c r="A128" s="8"/>
      <c r="B128" s="10"/>
      <c r="C128" s="10"/>
      <c r="D128" s="9"/>
      <c r="E128" s="9"/>
      <c r="F128" s="9"/>
      <c r="G128" s="11"/>
    </row>
    <row r="129" spans="1:7" x14ac:dyDescent="0.2">
      <c r="A129" s="12"/>
      <c r="B129" s="14"/>
      <c r="C129" s="14"/>
      <c r="D129" s="13"/>
      <c r="E129" s="13"/>
      <c r="F129" s="13"/>
      <c r="G129" s="15"/>
    </row>
    <row r="130" spans="1:7" x14ac:dyDescent="0.2">
      <c r="A130" s="8"/>
      <c r="B130" s="10"/>
      <c r="C130" s="10"/>
      <c r="D130" s="9"/>
      <c r="E130" s="9"/>
      <c r="F130" s="9"/>
      <c r="G130" s="11"/>
    </row>
    <row r="131" spans="1:7" x14ac:dyDescent="0.2">
      <c r="A131" s="12"/>
      <c r="B131" s="14"/>
      <c r="C131" s="14"/>
      <c r="D131" s="13"/>
      <c r="E131" s="13"/>
      <c r="F131" s="13"/>
      <c r="G131" s="15"/>
    </row>
    <row r="132" spans="1:7" x14ac:dyDescent="0.2">
      <c r="A132" s="8"/>
      <c r="B132" s="10"/>
      <c r="C132" s="10"/>
      <c r="D132" s="9"/>
      <c r="E132" s="9"/>
      <c r="F132" s="9"/>
      <c r="G132" s="11"/>
    </row>
    <row r="133" spans="1:7" x14ac:dyDescent="0.2">
      <c r="A133" s="12"/>
      <c r="B133" s="14"/>
      <c r="C133" s="14"/>
      <c r="D133" s="13"/>
      <c r="E133" s="13"/>
      <c r="F133" s="13"/>
      <c r="G133" s="15"/>
    </row>
    <row r="134" spans="1:7" x14ac:dyDescent="0.2">
      <c r="A134" s="8"/>
      <c r="B134" s="10"/>
      <c r="C134" s="10"/>
      <c r="D134" s="9"/>
      <c r="E134" s="9"/>
      <c r="F134" s="9"/>
      <c r="G134" s="11"/>
    </row>
    <row r="135" spans="1:7" x14ac:dyDescent="0.2">
      <c r="A135" s="12"/>
      <c r="B135" s="14"/>
      <c r="C135" s="14"/>
      <c r="D135" s="13"/>
      <c r="E135" s="13"/>
      <c r="F135" s="13"/>
      <c r="G135" s="15"/>
    </row>
    <row r="136" spans="1:7" x14ac:dyDescent="0.2">
      <c r="A136" s="8"/>
      <c r="B136" s="10"/>
      <c r="C136" s="10"/>
      <c r="D136" s="9"/>
      <c r="E136" s="9"/>
      <c r="F136" s="9"/>
      <c r="G136" s="11"/>
    </row>
    <row r="137" spans="1:7" x14ac:dyDescent="0.2">
      <c r="A137" s="12"/>
      <c r="B137" s="14"/>
      <c r="C137" s="14"/>
      <c r="D137" s="13"/>
      <c r="E137" s="13"/>
      <c r="F137" s="13"/>
      <c r="G137" s="15"/>
    </row>
    <row r="138" spans="1:7" x14ac:dyDescent="0.2">
      <c r="A138" s="8"/>
      <c r="B138" s="10"/>
      <c r="C138" s="10"/>
      <c r="D138" s="9"/>
      <c r="E138" s="9"/>
      <c r="F138" s="9"/>
      <c r="G138" s="11"/>
    </row>
    <row r="139" spans="1:7" x14ac:dyDescent="0.2">
      <c r="A139" s="12"/>
      <c r="B139" s="14"/>
      <c r="C139" s="14"/>
      <c r="D139" s="13"/>
      <c r="E139" s="13"/>
      <c r="F139" s="13"/>
      <c r="G139" s="15"/>
    </row>
    <row r="140" spans="1:7" x14ac:dyDescent="0.2">
      <c r="A140" s="8"/>
      <c r="B140" s="10"/>
      <c r="C140" s="10"/>
      <c r="D140" s="9"/>
      <c r="E140" s="9"/>
      <c r="F140" s="9"/>
      <c r="G140" s="11"/>
    </row>
    <row r="141" spans="1:7" x14ac:dyDescent="0.2">
      <c r="A141" s="12"/>
      <c r="B141" s="14"/>
      <c r="C141" s="14"/>
      <c r="D141" s="13"/>
      <c r="E141" s="13"/>
      <c r="F141" s="13"/>
      <c r="G141" s="15"/>
    </row>
    <row r="142" spans="1:7" x14ac:dyDescent="0.2">
      <c r="A142" s="8"/>
      <c r="B142" s="10"/>
      <c r="C142" s="10"/>
      <c r="D142" s="9"/>
      <c r="E142" s="9"/>
      <c r="F142" s="9"/>
      <c r="G142" s="11"/>
    </row>
    <row r="143" spans="1:7" x14ac:dyDescent="0.2">
      <c r="A143" s="12"/>
      <c r="B143" s="14"/>
      <c r="C143" s="14"/>
      <c r="D143" s="13"/>
      <c r="E143" s="13"/>
      <c r="F143" s="13"/>
      <c r="G143" s="15"/>
    </row>
    <row r="144" spans="1:7" x14ac:dyDescent="0.2">
      <c r="A144" s="8"/>
      <c r="B144" s="10"/>
      <c r="C144" s="10"/>
      <c r="D144" s="9"/>
      <c r="E144" s="9"/>
      <c r="F144" s="9"/>
      <c r="G144" s="11"/>
    </row>
    <row r="145" spans="1:7" x14ac:dyDescent="0.2">
      <c r="A145" s="12"/>
      <c r="B145" s="14"/>
      <c r="C145" s="14"/>
      <c r="D145" s="13"/>
      <c r="E145" s="13"/>
      <c r="F145" s="13"/>
      <c r="G145" s="15"/>
    </row>
    <row r="146" spans="1:7" x14ac:dyDescent="0.2">
      <c r="A146" s="8"/>
      <c r="B146" s="10"/>
      <c r="C146" s="10"/>
      <c r="D146" s="9"/>
      <c r="E146" s="9"/>
      <c r="F146" s="9"/>
      <c r="G146" s="11"/>
    </row>
    <row r="147" spans="1:7" x14ac:dyDescent="0.2">
      <c r="A147" s="12"/>
      <c r="B147" s="14"/>
      <c r="C147" s="14"/>
      <c r="D147" s="13"/>
      <c r="E147" s="13"/>
      <c r="F147" s="13"/>
      <c r="G147" s="15"/>
    </row>
    <row r="148" spans="1:7" x14ac:dyDescent="0.2">
      <c r="A148" s="8"/>
      <c r="B148" s="10"/>
      <c r="C148" s="10"/>
      <c r="D148" s="9"/>
      <c r="E148" s="9"/>
      <c r="F148" s="9"/>
      <c r="G148" s="11"/>
    </row>
    <row r="149" spans="1:7" x14ac:dyDescent="0.2">
      <c r="A149" s="12"/>
      <c r="B149" s="14"/>
      <c r="C149" s="14"/>
      <c r="D149" s="13"/>
      <c r="E149" s="13"/>
      <c r="F149" s="13"/>
      <c r="G149" s="15"/>
    </row>
    <row r="150" spans="1:7" x14ac:dyDescent="0.2">
      <c r="A150" s="8"/>
      <c r="B150" s="10"/>
      <c r="C150" s="10"/>
      <c r="D150" s="9"/>
      <c r="E150" s="9"/>
      <c r="F150" s="9"/>
      <c r="G150" s="11"/>
    </row>
    <row r="151" spans="1:7" x14ac:dyDescent="0.2">
      <c r="A151" s="12"/>
      <c r="B151" s="14"/>
      <c r="C151" s="14"/>
      <c r="D151" s="13"/>
      <c r="E151" s="13"/>
      <c r="F151" s="13"/>
      <c r="G151" s="15"/>
    </row>
    <row r="152" spans="1:7" x14ac:dyDescent="0.2">
      <c r="A152" s="8"/>
      <c r="B152" s="10"/>
      <c r="C152" s="10"/>
      <c r="D152" s="9"/>
      <c r="E152" s="9"/>
      <c r="F152" s="9"/>
      <c r="G152" s="11"/>
    </row>
    <row r="153" spans="1:7" x14ac:dyDescent="0.2">
      <c r="A153" s="12"/>
      <c r="B153" s="14"/>
      <c r="C153" s="14"/>
      <c r="D153" s="13"/>
      <c r="E153" s="13"/>
      <c r="F153" s="13"/>
      <c r="G153" s="15"/>
    </row>
    <row r="154" spans="1:7" x14ac:dyDescent="0.2">
      <c r="A154" s="8"/>
      <c r="B154" s="10"/>
      <c r="C154" s="10"/>
      <c r="D154" s="9"/>
      <c r="E154" s="9"/>
      <c r="F154" s="9"/>
      <c r="G154" s="11"/>
    </row>
    <row r="155" spans="1:7" x14ac:dyDescent="0.2">
      <c r="A155" s="12"/>
      <c r="B155" s="14"/>
      <c r="C155" s="14"/>
      <c r="D155" s="13"/>
      <c r="E155" s="13"/>
      <c r="F155" s="13"/>
      <c r="G155" s="15"/>
    </row>
    <row r="156" spans="1:7" x14ac:dyDescent="0.2">
      <c r="A156" s="8"/>
      <c r="B156" s="10"/>
      <c r="C156" s="10"/>
      <c r="D156" s="9"/>
      <c r="E156" s="9"/>
      <c r="F156" s="9"/>
      <c r="G156" s="11"/>
    </row>
    <row r="157" spans="1:7" x14ac:dyDescent="0.2">
      <c r="A157" s="12"/>
      <c r="B157" s="14"/>
      <c r="C157" s="14"/>
      <c r="D157" s="13"/>
      <c r="E157" s="13"/>
      <c r="F157" s="13"/>
      <c r="G157" s="15"/>
    </row>
    <row r="158" spans="1:7" x14ac:dyDescent="0.2">
      <c r="A158" s="8"/>
      <c r="B158" s="10"/>
      <c r="C158" s="10"/>
      <c r="D158" s="9"/>
      <c r="E158" s="9"/>
      <c r="F158" s="9"/>
      <c r="G158" s="11"/>
    </row>
    <row r="159" spans="1:7" x14ac:dyDescent="0.2">
      <c r="A159" s="12"/>
      <c r="B159" s="14"/>
      <c r="C159" s="14"/>
      <c r="D159" s="13"/>
      <c r="E159" s="13"/>
      <c r="F159" s="13"/>
      <c r="G159" s="15"/>
    </row>
    <row r="160" spans="1:7" x14ac:dyDescent="0.2">
      <c r="A160" s="8"/>
      <c r="B160" s="10"/>
      <c r="C160" s="10"/>
      <c r="D160" s="9"/>
      <c r="E160" s="9"/>
      <c r="F160" s="9"/>
      <c r="G160" s="11"/>
    </row>
    <row r="161" spans="1:7" x14ac:dyDescent="0.2">
      <c r="A161" s="12"/>
      <c r="B161" s="14"/>
      <c r="C161" s="14"/>
      <c r="D161" s="13"/>
      <c r="E161" s="13"/>
      <c r="F161" s="13"/>
      <c r="G161" s="15"/>
    </row>
    <row r="162" spans="1:7" x14ac:dyDescent="0.2">
      <c r="A162" s="8"/>
      <c r="B162" s="10"/>
      <c r="C162" s="10"/>
      <c r="D162" s="9"/>
      <c r="E162" s="9"/>
      <c r="F162" s="9"/>
      <c r="G162" s="11"/>
    </row>
    <row r="163" spans="1:7" x14ac:dyDescent="0.2">
      <c r="A163" s="12"/>
      <c r="B163" s="14"/>
      <c r="C163" s="14"/>
      <c r="D163" s="13"/>
      <c r="E163" s="13"/>
      <c r="F163" s="13"/>
      <c r="G163" s="15"/>
    </row>
    <row r="164" spans="1:7" x14ac:dyDescent="0.2">
      <c r="A164" s="8"/>
      <c r="B164" s="10"/>
      <c r="C164" s="10"/>
      <c r="D164" s="9"/>
      <c r="E164" s="9"/>
      <c r="F164" s="9"/>
      <c r="G164" s="11"/>
    </row>
    <row r="165" spans="1:7" x14ac:dyDescent="0.2">
      <c r="A165" s="12"/>
      <c r="B165" s="14"/>
      <c r="C165" s="14"/>
      <c r="D165" s="13"/>
      <c r="E165" s="13"/>
      <c r="F165" s="13"/>
      <c r="G165" s="15"/>
    </row>
    <row r="166" spans="1:7" x14ac:dyDescent="0.2">
      <c r="A166" s="8"/>
      <c r="B166" s="10"/>
      <c r="C166" s="10"/>
      <c r="D166" s="9"/>
      <c r="E166" s="9"/>
      <c r="F166" s="9"/>
      <c r="G166" s="11"/>
    </row>
    <row r="167" spans="1:7" x14ac:dyDescent="0.2">
      <c r="A167" s="12"/>
      <c r="B167" s="14"/>
      <c r="C167" s="14"/>
      <c r="D167" s="13"/>
      <c r="E167" s="13"/>
      <c r="F167" s="13"/>
      <c r="G167" s="15"/>
    </row>
    <row r="168" spans="1:7" x14ac:dyDescent="0.2">
      <c r="A168" s="8"/>
      <c r="B168" s="10"/>
      <c r="C168" s="10"/>
      <c r="D168" s="9"/>
      <c r="E168" s="9"/>
      <c r="F168" s="9"/>
      <c r="G168" s="11"/>
    </row>
    <row r="169" spans="1:7" x14ac:dyDescent="0.2">
      <c r="A169" s="12"/>
      <c r="B169" s="14"/>
      <c r="C169" s="14"/>
      <c r="D169" s="13"/>
      <c r="E169" s="13"/>
      <c r="F169" s="13"/>
      <c r="G169" s="15"/>
    </row>
    <row r="170" spans="1:7" x14ac:dyDescent="0.2">
      <c r="A170" s="8"/>
      <c r="B170" s="10"/>
      <c r="C170" s="10"/>
      <c r="D170" s="9"/>
      <c r="E170" s="9"/>
      <c r="F170" s="9"/>
      <c r="G170" s="11"/>
    </row>
    <row r="171" spans="1:7" x14ac:dyDescent="0.2">
      <c r="A171" s="12"/>
      <c r="B171" s="14"/>
      <c r="C171" s="14"/>
      <c r="D171" s="13"/>
      <c r="E171" s="13"/>
      <c r="F171" s="13"/>
      <c r="G171" s="15"/>
    </row>
    <row r="172" spans="1:7" x14ac:dyDescent="0.2">
      <c r="A172" s="8"/>
      <c r="B172" s="10"/>
      <c r="C172" s="10"/>
      <c r="D172" s="9"/>
      <c r="E172" s="9"/>
      <c r="F172" s="9"/>
      <c r="G172" s="11"/>
    </row>
    <row r="173" spans="1:7" x14ac:dyDescent="0.2">
      <c r="A173" s="12"/>
      <c r="B173" s="14"/>
      <c r="C173" s="14"/>
      <c r="D173" s="13"/>
      <c r="E173" s="13"/>
      <c r="F173" s="13"/>
      <c r="G173" s="15"/>
    </row>
    <row r="174" spans="1:7" x14ac:dyDescent="0.2">
      <c r="A174" s="8"/>
      <c r="B174" s="10"/>
      <c r="C174" s="10"/>
      <c r="D174" s="9"/>
      <c r="E174" s="9"/>
      <c r="F174" s="9"/>
      <c r="G174" s="11"/>
    </row>
    <row r="175" spans="1:7" x14ac:dyDescent="0.2">
      <c r="A175" s="12"/>
      <c r="B175" s="14"/>
      <c r="C175" s="14"/>
      <c r="D175" s="13"/>
      <c r="E175" s="13"/>
      <c r="F175" s="13"/>
      <c r="G175" s="15"/>
    </row>
    <row r="176" spans="1:7" x14ac:dyDescent="0.2">
      <c r="A176" s="8"/>
      <c r="B176" s="10"/>
      <c r="C176" s="10"/>
      <c r="D176" s="9"/>
      <c r="E176" s="9"/>
      <c r="F176" s="9"/>
      <c r="G176" s="11"/>
    </row>
    <row r="177" spans="1:7" x14ac:dyDescent="0.2">
      <c r="A177" s="12"/>
      <c r="B177" s="14"/>
      <c r="C177" s="14"/>
      <c r="D177" s="13"/>
      <c r="E177" s="13"/>
      <c r="F177" s="13"/>
      <c r="G177" s="15"/>
    </row>
    <row r="178" spans="1:7" x14ac:dyDescent="0.2">
      <c r="A178" s="8"/>
      <c r="B178" s="10"/>
      <c r="C178" s="10"/>
      <c r="D178" s="9"/>
      <c r="E178" s="9"/>
      <c r="F178" s="9"/>
      <c r="G178" s="11"/>
    </row>
    <row r="179" spans="1:7" x14ac:dyDescent="0.2">
      <c r="A179" s="12"/>
      <c r="B179" s="14"/>
      <c r="C179" s="14"/>
      <c r="D179" s="13"/>
      <c r="E179" s="13"/>
      <c r="F179" s="13"/>
      <c r="G179" s="15"/>
    </row>
    <row r="180" spans="1:7" x14ac:dyDescent="0.2">
      <c r="A180" s="8"/>
      <c r="B180" s="10"/>
      <c r="C180" s="10"/>
      <c r="D180" s="9"/>
      <c r="E180" s="9"/>
      <c r="F180" s="9"/>
      <c r="G180" s="11"/>
    </row>
    <row r="181" spans="1:7" x14ac:dyDescent="0.2">
      <c r="A181" s="12"/>
      <c r="B181" s="14"/>
      <c r="C181" s="14"/>
      <c r="D181" s="13"/>
      <c r="E181" s="13"/>
      <c r="F181" s="13"/>
      <c r="G181" s="15"/>
    </row>
    <row r="182" spans="1:7" x14ac:dyDescent="0.2">
      <c r="A182" s="8"/>
      <c r="B182" s="10"/>
      <c r="C182" s="10"/>
      <c r="D182" s="9"/>
      <c r="E182" s="9"/>
      <c r="F182" s="9"/>
      <c r="G182" s="11"/>
    </row>
    <row r="183" spans="1:7" x14ac:dyDescent="0.2">
      <c r="A183" s="12"/>
      <c r="B183" s="14"/>
      <c r="C183" s="14"/>
      <c r="D183" s="13"/>
      <c r="E183" s="13"/>
      <c r="F183" s="13"/>
      <c r="G183" s="15"/>
    </row>
    <row r="184" spans="1:7" x14ac:dyDescent="0.2">
      <c r="A184" s="8"/>
      <c r="B184" s="10"/>
      <c r="C184" s="10"/>
      <c r="D184" s="9"/>
      <c r="E184" s="9"/>
      <c r="F184" s="9"/>
      <c r="G184" s="11"/>
    </row>
    <row r="185" spans="1:7" x14ac:dyDescent="0.2">
      <c r="A185" s="12"/>
      <c r="B185" s="14"/>
      <c r="C185" s="14"/>
      <c r="D185" s="13"/>
      <c r="E185" s="13"/>
      <c r="F185" s="13"/>
      <c r="G185" s="15"/>
    </row>
    <row r="186" spans="1:7" x14ac:dyDescent="0.2">
      <c r="A186" s="8"/>
      <c r="B186" s="10"/>
      <c r="C186" s="10"/>
      <c r="D186" s="9"/>
      <c r="E186" s="9"/>
      <c r="F186" s="9"/>
      <c r="G186" s="11"/>
    </row>
    <row r="187" spans="1:7" x14ac:dyDescent="0.2">
      <c r="A187" s="12"/>
      <c r="B187" s="14"/>
      <c r="C187" s="14"/>
      <c r="D187" s="13"/>
      <c r="E187" s="13"/>
      <c r="F187" s="13"/>
      <c r="G187" s="15"/>
    </row>
    <row r="188" spans="1:7" x14ac:dyDescent="0.2">
      <c r="A188" s="8"/>
      <c r="B188" s="10"/>
      <c r="C188" s="10"/>
      <c r="D188" s="9"/>
      <c r="E188" s="9"/>
      <c r="F188" s="9"/>
      <c r="G188" s="11"/>
    </row>
    <row r="189" spans="1:7" x14ac:dyDescent="0.2">
      <c r="A189" s="12"/>
      <c r="B189" s="14"/>
      <c r="C189" s="14"/>
      <c r="D189" s="13"/>
      <c r="E189" s="13"/>
      <c r="F189" s="13"/>
      <c r="G189" s="15"/>
    </row>
    <row r="190" spans="1:7" x14ac:dyDescent="0.2">
      <c r="A190" s="8"/>
      <c r="B190" s="10"/>
      <c r="C190" s="10"/>
      <c r="D190" s="9"/>
      <c r="E190" s="9"/>
      <c r="F190" s="9"/>
      <c r="G190" s="11"/>
    </row>
    <row r="191" spans="1:7" x14ac:dyDescent="0.2">
      <c r="A191" s="12"/>
      <c r="B191" s="14"/>
      <c r="C191" s="14"/>
      <c r="D191" s="13"/>
      <c r="E191" s="13"/>
      <c r="F191" s="13"/>
      <c r="G191" s="15"/>
    </row>
    <row r="192" spans="1:7" x14ac:dyDescent="0.2">
      <c r="A192" s="8"/>
      <c r="B192" s="10"/>
      <c r="C192" s="10"/>
      <c r="D192" s="9"/>
      <c r="E192" s="9"/>
      <c r="F192" s="9"/>
      <c r="G192" s="11"/>
    </row>
    <row r="193" spans="1:7" x14ac:dyDescent="0.2">
      <c r="A193" s="12"/>
      <c r="B193" s="14"/>
      <c r="C193" s="14"/>
      <c r="D193" s="13"/>
      <c r="E193" s="13"/>
      <c r="F193" s="13"/>
      <c r="G193" s="15"/>
    </row>
    <row r="194" spans="1:7" x14ac:dyDescent="0.2">
      <c r="A194" s="8"/>
      <c r="B194" s="10"/>
      <c r="C194" s="10"/>
      <c r="D194" s="9"/>
      <c r="E194" s="9"/>
      <c r="F194" s="9"/>
      <c r="G194" s="11"/>
    </row>
    <row r="195" spans="1:7" x14ac:dyDescent="0.2">
      <c r="A195" s="12"/>
      <c r="B195" s="14"/>
      <c r="C195" s="14"/>
      <c r="D195" s="13"/>
      <c r="E195" s="13"/>
      <c r="F195" s="13"/>
      <c r="G195" s="15"/>
    </row>
    <row r="196" spans="1:7" x14ac:dyDescent="0.2">
      <c r="A196" s="8"/>
      <c r="B196" s="10"/>
      <c r="C196" s="10"/>
      <c r="D196" s="9"/>
      <c r="E196" s="9"/>
      <c r="F196" s="9"/>
      <c r="G196" s="11"/>
    </row>
    <row r="197" spans="1:7" x14ac:dyDescent="0.2">
      <c r="A197" s="12"/>
      <c r="B197" s="14"/>
      <c r="C197" s="14"/>
      <c r="D197" s="13"/>
      <c r="E197" s="13"/>
      <c r="F197" s="13"/>
      <c r="G197" s="15"/>
    </row>
    <row r="198" spans="1:7" x14ac:dyDescent="0.2">
      <c r="A198" s="8"/>
      <c r="B198" s="10"/>
      <c r="C198" s="10"/>
      <c r="D198" s="9"/>
      <c r="E198" s="9"/>
      <c r="F198" s="9"/>
      <c r="G198" s="11"/>
    </row>
    <row r="199" spans="1:7" x14ac:dyDescent="0.2">
      <c r="A199" s="12"/>
      <c r="B199" s="14"/>
      <c r="C199" s="14"/>
      <c r="D199" s="13"/>
      <c r="E199" s="13"/>
      <c r="F199" s="13"/>
      <c r="G199" s="15"/>
    </row>
    <row r="200" spans="1:7" x14ac:dyDescent="0.2">
      <c r="A200" s="8"/>
      <c r="B200" s="10"/>
      <c r="C200" s="10"/>
      <c r="D200" s="9"/>
      <c r="E200" s="9"/>
      <c r="F200" s="9"/>
      <c r="G200" s="11"/>
    </row>
    <row r="201" spans="1:7" x14ac:dyDescent="0.2">
      <c r="A201" s="12"/>
      <c r="B201" s="14"/>
      <c r="C201" s="14"/>
      <c r="D201" s="13"/>
      <c r="E201" s="13"/>
      <c r="F201" s="13"/>
      <c r="G201" s="15"/>
    </row>
    <row r="202" spans="1:7" x14ac:dyDescent="0.2">
      <c r="A202" s="8"/>
      <c r="B202" s="10"/>
      <c r="C202" s="10"/>
      <c r="D202" s="9"/>
      <c r="E202" s="9"/>
      <c r="F202" s="9"/>
      <c r="G202" s="11"/>
    </row>
    <row r="203" spans="1:7" x14ac:dyDescent="0.2">
      <c r="A203" s="12"/>
      <c r="B203" s="14"/>
      <c r="C203" s="14"/>
      <c r="D203" s="13"/>
      <c r="E203" s="13"/>
      <c r="F203" s="13"/>
      <c r="G203" s="15"/>
    </row>
    <row r="204" spans="1:7" x14ac:dyDescent="0.2">
      <c r="A204" s="8"/>
      <c r="B204" s="10"/>
      <c r="C204" s="10"/>
      <c r="D204" s="9"/>
      <c r="E204" s="9"/>
      <c r="F204" s="9"/>
      <c r="G204" s="11"/>
    </row>
    <row r="205" spans="1:7" x14ac:dyDescent="0.2">
      <c r="A205" s="12"/>
      <c r="B205" s="14"/>
      <c r="C205" s="14"/>
      <c r="D205" s="13"/>
      <c r="E205" s="13"/>
      <c r="F205" s="13"/>
      <c r="G205" s="15"/>
    </row>
    <row r="206" spans="1:7" x14ac:dyDescent="0.2">
      <c r="A206" s="8"/>
      <c r="B206" s="10"/>
      <c r="C206" s="10"/>
      <c r="D206" s="9"/>
      <c r="E206" s="9"/>
      <c r="F206" s="9"/>
      <c r="G206" s="11"/>
    </row>
    <row r="207" spans="1:7" x14ac:dyDescent="0.2">
      <c r="A207" s="12"/>
      <c r="B207" s="14"/>
      <c r="C207" s="14"/>
      <c r="D207" s="13"/>
      <c r="E207" s="13"/>
      <c r="F207" s="13"/>
      <c r="G207" s="15"/>
    </row>
    <row r="208" spans="1:7" x14ac:dyDescent="0.2">
      <c r="A208" s="8"/>
      <c r="B208" s="10"/>
      <c r="C208" s="10"/>
      <c r="D208" s="9"/>
      <c r="E208" s="9"/>
      <c r="F208" s="9"/>
      <c r="G208" s="11"/>
    </row>
    <row r="209" spans="1:7" x14ac:dyDescent="0.2">
      <c r="A209" s="12"/>
      <c r="B209" s="14"/>
      <c r="C209" s="14"/>
      <c r="D209" s="13"/>
      <c r="E209" s="13"/>
      <c r="F209" s="13"/>
      <c r="G209" s="15"/>
    </row>
    <row r="210" spans="1:7" x14ac:dyDescent="0.2">
      <c r="A210" s="8"/>
      <c r="B210" s="10"/>
      <c r="C210" s="10"/>
      <c r="D210" s="9"/>
      <c r="E210" s="9"/>
      <c r="F210" s="9"/>
      <c r="G210" s="11"/>
    </row>
    <row r="211" spans="1:7" x14ac:dyDescent="0.2">
      <c r="A211" s="12"/>
      <c r="B211" s="14"/>
      <c r="C211" s="14"/>
      <c r="D211" s="13"/>
      <c r="E211" s="13"/>
      <c r="F211" s="13"/>
      <c r="G211" s="15"/>
    </row>
    <row r="212" spans="1:7" x14ac:dyDescent="0.2">
      <c r="A212" s="8"/>
      <c r="B212" s="10"/>
      <c r="C212" s="10"/>
      <c r="D212" s="9"/>
      <c r="E212" s="9"/>
      <c r="F212" s="9"/>
      <c r="G212" s="11"/>
    </row>
    <row r="213" spans="1:7" x14ac:dyDescent="0.2">
      <c r="A213" s="12"/>
      <c r="B213" s="14"/>
      <c r="C213" s="14"/>
      <c r="D213" s="13"/>
      <c r="E213" s="13"/>
      <c r="F213" s="13"/>
      <c r="G213" s="15"/>
    </row>
    <row r="214" spans="1:7" x14ac:dyDescent="0.2">
      <c r="A214" s="8"/>
      <c r="B214" s="10"/>
      <c r="C214" s="10"/>
      <c r="D214" s="9"/>
      <c r="E214" s="9"/>
      <c r="F214" s="9"/>
      <c r="G214" s="11"/>
    </row>
    <row r="215" spans="1:7" x14ac:dyDescent="0.2">
      <c r="A215" s="12"/>
      <c r="B215" s="14"/>
      <c r="C215" s="14"/>
      <c r="D215" s="13"/>
      <c r="E215" s="13"/>
      <c r="F215" s="13"/>
      <c r="G215" s="15"/>
    </row>
    <row r="216" spans="1:7" x14ac:dyDescent="0.2">
      <c r="A216" s="8"/>
      <c r="B216" s="10"/>
      <c r="C216" s="10"/>
      <c r="D216" s="9"/>
      <c r="E216" s="9"/>
      <c r="F216" s="9"/>
      <c r="G216" s="11"/>
    </row>
    <row r="217" spans="1:7" x14ac:dyDescent="0.2">
      <c r="A217" s="12"/>
      <c r="B217" s="14"/>
      <c r="C217" s="14"/>
      <c r="D217" s="13"/>
      <c r="E217" s="13"/>
      <c r="F217" s="13"/>
      <c r="G217" s="15"/>
    </row>
    <row r="218" spans="1:7" x14ac:dyDescent="0.2">
      <c r="A218" s="8"/>
      <c r="B218" s="10"/>
      <c r="C218" s="10"/>
      <c r="D218" s="9"/>
      <c r="E218" s="9"/>
      <c r="F218" s="9"/>
      <c r="G218" s="11"/>
    </row>
    <row r="219" spans="1:7" x14ac:dyDescent="0.2">
      <c r="A219" s="12"/>
      <c r="B219" s="14"/>
      <c r="C219" s="14"/>
      <c r="D219" s="13"/>
      <c r="E219" s="13"/>
      <c r="F219" s="13"/>
      <c r="G219" s="15"/>
    </row>
    <row r="220" spans="1:7" x14ac:dyDescent="0.2">
      <c r="A220" s="8"/>
      <c r="B220" s="10"/>
      <c r="C220" s="10"/>
      <c r="D220" s="9"/>
      <c r="E220" s="9"/>
      <c r="F220" s="9"/>
      <c r="G220" s="11"/>
    </row>
    <row r="221" spans="1:7" x14ac:dyDescent="0.2">
      <c r="A221" s="12"/>
      <c r="B221" s="14"/>
      <c r="C221" s="14"/>
      <c r="D221" s="13"/>
      <c r="E221" s="13"/>
      <c r="F221" s="13"/>
      <c r="G221" s="15"/>
    </row>
    <row r="222" spans="1:7" x14ac:dyDescent="0.2">
      <c r="A222" s="8"/>
      <c r="B222" s="10"/>
      <c r="C222" s="10"/>
      <c r="D222" s="9"/>
      <c r="E222" s="9"/>
      <c r="F222" s="9"/>
      <c r="G222" s="11"/>
    </row>
    <row r="223" spans="1:7" x14ac:dyDescent="0.2">
      <c r="A223" s="12"/>
      <c r="B223" s="14"/>
      <c r="C223" s="14"/>
      <c r="D223" s="13"/>
      <c r="E223" s="13"/>
      <c r="F223" s="13"/>
      <c r="G223" s="15"/>
    </row>
    <row r="224" spans="1:7" x14ac:dyDescent="0.2">
      <c r="A224" s="8"/>
      <c r="B224" s="10"/>
      <c r="C224" s="10"/>
      <c r="D224" s="9"/>
      <c r="E224" s="9"/>
      <c r="F224" s="9"/>
      <c r="G224" s="11"/>
    </row>
    <row r="225" spans="1:7" x14ac:dyDescent="0.2">
      <c r="A225" s="12"/>
      <c r="B225" s="14"/>
      <c r="C225" s="14"/>
      <c r="D225" s="13"/>
      <c r="E225" s="13"/>
      <c r="F225" s="13"/>
      <c r="G225" s="15"/>
    </row>
    <row r="226" spans="1:7" x14ac:dyDescent="0.2">
      <c r="A226" s="8"/>
      <c r="B226" s="10"/>
      <c r="C226" s="10"/>
      <c r="D226" s="9"/>
      <c r="E226" s="9"/>
      <c r="F226" s="9"/>
      <c r="G226" s="11"/>
    </row>
    <row r="227" spans="1:7" x14ac:dyDescent="0.2">
      <c r="A227" s="12"/>
      <c r="B227" s="14"/>
      <c r="C227" s="14"/>
      <c r="D227" s="13"/>
      <c r="E227" s="13"/>
      <c r="F227" s="13"/>
      <c r="G227" s="15"/>
    </row>
    <row r="228" spans="1:7" x14ac:dyDescent="0.2">
      <c r="A228" s="8"/>
      <c r="B228" s="10"/>
      <c r="C228" s="10"/>
      <c r="D228" s="9"/>
      <c r="E228" s="9"/>
      <c r="F228" s="9"/>
      <c r="G228" s="11"/>
    </row>
    <row r="229" spans="1:7" x14ac:dyDescent="0.2">
      <c r="A229" s="12"/>
      <c r="B229" s="14"/>
      <c r="C229" s="14"/>
      <c r="D229" s="13"/>
      <c r="E229" s="13"/>
      <c r="F229" s="13"/>
      <c r="G229" s="15"/>
    </row>
    <row r="230" spans="1:7" x14ac:dyDescent="0.2">
      <c r="A230" s="8"/>
      <c r="B230" s="10"/>
      <c r="C230" s="10"/>
      <c r="D230" s="9"/>
      <c r="E230" s="9"/>
      <c r="F230" s="9"/>
      <c r="G230" s="11"/>
    </row>
    <row r="231" spans="1:7" x14ac:dyDescent="0.2">
      <c r="A231" s="12"/>
      <c r="B231" s="14"/>
      <c r="C231" s="14"/>
      <c r="D231" s="13"/>
      <c r="E231" s="13"/>
      <c r="F231" s="13"/>
      <c r="G231" s="15"/>
    </row>
    <row r="232" spans="1:7" x14ac:dyDescent="0.2">
      <c r="A232" s="8"/>
      <c r="B232" s="10"/>
      <c r="C232" s="10"/>
      <c r="D232" s="9"/>
      <c r="E232" s="9"/>
      <c r="F232" s="9"/>
      <c r="G232" s="11"/>
    </row>
    <row r="233" spans="1:7" x14ac:dyDescent="0.2">
      <c r="A233" s="12"/>
      <c r="B233" s="14"/>
      <c r="C233" s="14"/>
      <c r="D233" s="13"/>
      <c r="E233" s="13"/>
      <c r="F233" s="13"/>
      <c r="G233" s="15"/>
    </row>
    <row r="234" spans="1:7" x14ac:dyDescent="0.2">
      <c r="A234" s="8"/>
      <c r="B234" s="10"/>
      <c r="C234" s="10"/>
      <c r="D234" s="9"/>
      <c r="E234" s="9"/>
      <c r="F234" s="9"/>
      <c r="G234" s="11"/>
    </row>
    <row r="235" spans="1:7" x14ac:dyDescent="0.2">
      <c r="A235" s="12"/>
      <c r="B235" s="14"/>
      <c r="C235" s="14"/>
      <c r="D235" s="13"/>
      <c r="E235" s="13"/>
      <c r="F235" s="13"/>
      <c r="G235" s="15"/>
    </row>
    <row r="236" spans="1:7" x14ac:dyDescent="0.2">
      <c r="A236" s="8"/>
      <c r="B236" s="10"/>
      <c r="C236" s="10"/>
      <c r="D236" s="9"/>
      <c r="E236" s="9"/>
      <c r="F236" s="9"/>
      <c r="G236" s="11"/>
    </row>
    <row r="237" spans="1:7" x14ac:dyDescent="0.2">
      <c r="A237" s="12"/>
      <c r="B237" s="14"/>
      <c r="C237" s="14"/>
      <c r="D237" s="13"/>
      <c r="E237" s="13"/>
      <c r="F237" s="13"/>
      <c r="G237" s="15"/>
    </row>
    <row r="238" spans="1:7" x14ac:dyDescent="0.2">
      <c r="A238" s="8"/>
      <c r="B238" s="10"/>
      <c r="C238" s="10"/>
      <c r="D238" s="9"/>
      <c r="E238" s="9"/>
      <c r="F238" s="9"/>
      <c r="G238" s="11"/>
    </row>
    <row r="239" spans="1:7" x14ac:dyDescent="0.2">
      <c r="A239" s="12"/>
      <c r="B239" s="14"/>
      <c r="C239" s="14"/>
      <c r="D239" s="13"/>
      <c r="E239" s="13"/>
      <c r="F239" s="13"/>
      <c r="G239" s="15"/>
    </row>
    <row r="240" spans="1:7" x14ac:dyDescent="0.2">
      <c r="A240" s="8"/>
      <c r="B240" s="10"/>
      <c r="C240" s="10"/>
      <c r="D240" s="9"/>
      <c r="E240" s="9"/>
      <c r="F240" s="9"/>
      <c r="G240" s="11"/>
    </row>
    <row r="241" spans="1:7" x14ac:dyDescent="0.2">
      <c r="A241" s="12"/>
      <c r="B241" s="14"/>
      <c r="C241" s="14"/>
      <c r="D241" s="13"/>
      <c r="E241" s="13"/>
      <c r="F241" s="13"/>
      <c r="G241" s="15"/>
    </row>
    <row r="242" spans="1:7" x14ac:dyDescent="0.2">
      <c r="A242" s="8"/>
      <c r="B242" s="10"/>
      <c r="C242" s="10"/>
      <c r="D242" s="9"/>
      <c r="E242" s="9"/>
      <c r="F242" s="9"/>
      <c r="G242" s="11"/>
    </row>
    <row r="243" spans="1:7" x14ac:dyDescent="0.2">
      <c r="A243" s="12"/>
      <c r="B243" s="14"/>
      <c r="C243" s="14"/>
      <c r="D243" s="13"/>
      <c r="E243" s="13"/>
      <c r="F243" s="13"/>
      <c r="G243" s="15"/>
    </row>
    <row r="244" spans="1:7" x14ac:dyDescent="0.2">
      <c r="A244" s="8"/>
      <c r="B244" s="10"/>
      <c r="C244" s="10"/>
      <c r="D244" s="9"/>
      <c r="E244" s="9"/>
      <c r="F244" s="9"/>
      <c r="G244" s="11"/>
    </row>
    <row r="245" spans="1:7" x14ac:dyDescent="0.2">
      <c r="A245" s="12"/>
      <c r="B245" s="14"/>
      <c r="C245" s="14"/>
      <c r="D245" s="13"/>
      <c r="E245" s="13"/>
      <c r="F245" s="13"/>
      <c r="G245" s="15"/>
    </row>
    <row r="246" spans="1:7" x14ac:dyDescent="0.2">
      <c r="A246" s="8"/>
      <c r="B246" s="10"/>
      <c r="C246" s="10"/>
      <c r="D246" s="9"/>
      <c r="E246" s="9"/>
      <c r="F246" s="9"/>
      <c r="G246" s="11"/>
    </row>
    <row r="247" spans="1:7" x14ac:dyDescent="0.2">
      <c r="A247" s="12"/>
      <c r="B247" s="14"/>
      <c r="C247" s="14"/>
      <c r="D247" s="13"/>
      <c r="E247" s="13"/>
      <c r="F247" s="13"/>
      <c r="G247" s="15"/>
    </row>
    <row r="248" spans="1:7" x14ac:dyDescent="0.2">
      <c r="A248" s="8"/>
      <c r="B248" s="10"/>
      <c r="C248" s="10"/>
      <c r="D248" s="9"/>
      <c r="E248" s="9"/>
      <c r="F248" s="9"/>
      <c r="G248" s="11"/>
    </row>
    <row r="249" spans="1:7" x14ac:dyDescent="0.2">
      <c r="A249" s="12"/>
      <c r="B249" s="14"/>
      <c r="C249" s="14"/>
      <c r="D249" s="13"/>
      <c r="E249" s="13"/>
      <c r="F249" s="13"/>
      <c r="G249" s="15"/>
    </row>
    <row r="250" spans="1:7" x14ac:dyDescent="0.2">
      <c r="A250" s="8"/>
      <c r="B250" s="10"/>
      <c r="C250" s="10"/>
      <c r="D250" s="9"/>
      <c r="E250" s="9"/>
      <c r="F250" s="9"/>
      <c r="G250" s="11"/>
    </row>
    <row r="251" spans="1:7" x14ac:dyDescent="0.2">
      <c r="A251" s="12"/>
      <c r="B251" s="14"/>
      <c r="C251" s="14"/>
      <c r="D251" s="13"/>
      <c r="E251" s="13"/>
      <c r="F251" s="13"/>
      <c r="G251" s="15"/>
    </row>
    <row r="252" spans="1:7" x14ac:dyDescent="0.2">
      <c r="A252" s="8"/>
      <c r="B252" s="10"/>
      <c r="C252" s="10"/>
      <c r="D252" s="9"/>
      <c r="E252" s="9"/>
      <c r="F252" s="9"/>
      <c r="G252" s="11"/>
    </row>
    <row r="253" spans="1:7" x14ac:dyDescent="0.2">
      <c r="A253" s="12"/>
      <c r="B253" s="14"/>
      <c r="C253" s="14"/>
      <c r="D253" s="13"/>
      <c r="E253" s="13"/>
      <c r="F253" s="13"/>
      <c r="G253" s="15"/>
    </row>
    <row r="254" spans="1:7" x14ac:dyDescent="0.2">
      <c r="A254" s="8"/>
      <c r="B254" s="10"/>
      <c r="C254" s="10"/>
      <c r="D254" s="9"/>
      <c r="E254" s="9"/>
      <c r="F254" s="9"/>
      <c r="G254" s="11"/>
    </row>
    <row r="255" spans="1:7" x14ac:dyDescent="0.2">
      <c r="A255" s="12"/>
      <c r="B255" s="14"/>
      <c r="C255" s="14"/>
      <c r="D255" s="13"/>
      <c r="E255" s="13"/>
      <c r="F255" s="13"/>
      <c r="G255" s="15"/>
    </row>
    <row r="256" spans="1:7" x14ac:dyDescent="0.2">
      <c r="A256" s="8"/>
      <c r="B256" s="10"/>
      <c r="C256" s="10"/>
      <c r="D256" s="9"/>
      <c r="E256" s="9"/>
      <c r="F256" s="9"/>
      <c r="G256" s="11"/>
    </row>
    <row r="257" spans="1:7" x14ac:dyDescent="0.2">
      <c r="A257" s="12"/>
      <c r="B257" s="14"/>
      <c r="C257" s="14"/>
      <c r="D257" s="13"/>
      <c r="E257" s="13"/>
      <c r="F257" s="13"/>
      <c r="G257" s="15"/>
    </row>
    <row r="258" spans="1:7" x14ac:dyDescent="0.2">
      <c r="A258" s="8"/>
      <c r="B258" s="10"/>
      <c r="C258" s="10"/>
      <c r="D258" s="9"/>
      <c r="E258" s="9"/>
      <c r="F258" s="9"/>
      <c r="G258" s="11"/>
    </row>
    <row r="259" spans="1:7" x14ac:dyDescent="0.2">
      <c r="A259" s="12"/>
      <c r="B259" s="14"/>
      <c r="C259" s="14"/>
      <c r="D259" s="13"/>
      <c r="E259" s="13"/>
      <c r="F259" s="13"/>
      <c r="G259" s="15"/>
    </row>
    <row r="260" spans="1:7" x14ac:dyDescent="0.2">
      <c r="A260" s="8"/>
      <c r="B260" s="10"/>
      <c r="C260" s="10"/>
      <c r="D260" s="9"/>
      <c r="E260" s="9"/>
      <c r="F260" s="9"/>
      <c r="G260" s="11"/>
    </row>
    <row r="261" spans="1:7" x14ac:dyDescent="0.2">
      <c r="A261" s="12"/>
      <c r="B261" s="14"/>
      <c r="C261" s="14"/>
      <c r="D261" s="13"/>
      <c r="E261" s="13"/>
      <c r="F261" s="13"/>
      <c r="G261" s="15"/>
    </row>
    <row r="262" spans="1:7" x14ac:dyDescent="0.2">
      <c r="A262" s="8"/>
      <c r="B262" s="10"/>
      <c r="C262" s="10"/>
      <c r="D262" s="9"/>
      <c r="E262" s="9"/>
      <c r="F262" s="9"/>
      <c r="G262" s="11"/>
    </row>
    <row r="263" spans="1:7" x14ac:dyDescent="0.2">
      <c r="A263" s="12"/>
      <c r="B263" s="14"/>
      <c r="C263" s="14"/>
      <c r="D263" s="13"/>
      <c r="E263" s="13"/>
      <c r="F263" s="13"/>
      <c r="G263" s="15"/>
    </row>
    <row r="264" spans="1:7" x14ac:dyDescent="0.2">
      <c r="A264" s="8"/>
      <c r="B264" s="10"/>
      <c r="C264" s="10"/>
      <c r="D264" s="9"/>
      <c r="E264" s="9"/>
      <c r="F264" s="9"/>
      <c r="G264" s="11"/>
    </row>
    <row r="265" spans="1:7" x14ac:dyDescent="0.2">
      <c r="A265" s="12"/>
      <c r="B265" s="14"/>
      <c r="C265" s="14"/>
      <c r="D265" s="13"/>
      <c r="E265" s="13"/>
      <c r="F265" s="13"/>
      <c r="G265" s="15"/>
    </row>
    <row r="266" spans="1:7" x14ac:dyDescent="0.2">
      <c r="A266" s="8"/>
      <c r="B266" s="10"/>
      <c r="C266" s="10"/>
      <c r="D266" s="9"/>
      <c r="E266" s="9"/>
      <c r="F266" s="9"/>
      <c r="G266" s="11"/>
    </row>
    <row r="267" spans="1:7" x14ac:dyDescent="0.2">
      <c r="A267" s="12"/>
      <c r="B267" s="14"/>
      <c r="C267" s="14"/>
      <c r="D267" s="13"/>
      <c r="E267" s="13"/>
      <c r="F267" s="13"/>
      <c r="G267" s="15"/>
    </row>
    <row r="268" spans="1:7" x14ac:dyDescent="0.2">
      <c r="A268" s="8"/>
      <c r="B268" s="10"/>
      <c r="C268" s="10"/>
      <c r="D268" s="9"/>
      <c r="E268" s="9"/>
      <c r="F268" s="9"/>
      <c r="G268" s="11"/>
    </row>
    <row r="269" spans="1:7" x14ac:dyDescent="0.2">
      <c r="A269" s="12"/>
      <c r="B269" s="14"/>
      <c r="C269" s="14"/>
      <c r="D269" s="13"/>
      <c r="E269" s="13"/>
      <c r="F269" s="13"/>
      <c r="G269" s="15"/>
    </row>
    <row r="270" spans="1:7" x14ac:dyDescent="0.2">
      <c r="A270" s="8"/>
      <c r="B270" s="10"/>
      <c r="C270" s="10"/>
      <c r="D270" s="9"/>
      <c r="E270" s="9"/>
      <c r="F270" s="9"/>
      <c r="G270" s="11"/>
    </row>
    <row r="271" spans="1:7" x14ac:dyDescent="0.2">
      <c r="A271" s="12"/>
      <c r="B271" s="14"/>
      <c r="C271" s="14"/>
      <c r="D271" s="13"/>
      <c r="E271" s="13"/>
      <c r="F271" s="13"/>
      <c r="G271" s="15"/>
    </row>
    <row r="272" spans="1:7" x14ac:dyDescent="0.2">
      <c r="A272" s="8"/>
      <c r="B272" s="10"/>
      <c r="C272" s="10"/>
      <c r="D272" s="9"/>
      <c r="E272" s="9"/>
      <c r="F272" s="9"/>
      <c r="G272" s="11"/>
    </row>
    <row r="273" spans="1:7" x14ac:dyDescent="0.2">
      <c r="A273" s="12"/>
      <c r="B273" s="14"/>
      <c r="C273" s="14"/>
      <c r="D273" s="13"/>
      <c r="E273" s="13"/>
      <c r="F273" s="13"/>
      <c r="G273" s="15"/>
    </row>
    <row r="274" spans="1:7" x14ac:dyDescent="0.2">
      <c r="A274" s="8"/>
      <c r="B274" s="10"/>
      <c r="C274" s="10"/>
      <c r="D274" s="9"/>
      <c r="E274" s="9"/>
      <c r="F274" s="9"/>
      <c r="G274" s="11"/>
    </row>
    <row r="275" spans="1:7" x14ac:dyDescent="0.2">
      <c r="A275" s="12"/>
      <c r="B275" s="14"/>
      <c r="C275" s="14"/>
      <c r="D275" s="13"/>
      <c r="E275" s="13"/>
      <c r="F275" s="13"/>
      <c r="G275" s="15"/>
    </row>
    <row r="276" spans="1:7" x14ac:dyDescent="0.2">
      <c r="A276" s="8"/>
      <c r="B276" s="10"/>
      <c r="C276" s="10"/>
      <c r="D276" s="9"/>
      <c r="E276" s="9"/>
      <c r="F276" s="9"/>
      <c r="G276" s="11"/>
    </row>
    <row r="277" spans="1:7" x14ac:dyDescent="0.2">
      <c r="A277" s="12"/>
      <c r="B277" s="14"/>
      <c r="C277" s="14"/>
      <c r="D277" s="13"/>
      <c r="E277" s="13"/>
      <c r="F277" s="13"/>
      <c r="G277" s="15"/>
    </row>
    <row r="278" spans="1:7" x14ac:dyDescent="0.2">
      <c r="A278" s="8"/>
      <c r="B278" s="10"/>
      <c r="C278" s="10"/>
      <c r="D278" s="9"/>
      <c r="E278" s="9"/>
      <c r="F278" s="9"/>
      <c r="G278" s="11"/>
    </row>
    <row r="279" spans="1:7" x14ac:dyDescent="0.2">
      <c r="A279" s="12"/>
      <c r="B279" s="14"/>
      <c r="C279" s="14"/>
      <c r="D279" s="13"/>
      <c r="E279" s="13"/>
      <c r="F279" s="13"/>
      <c r="G279" s="15"/>
    </row>
    <row r="280" spans="1:7" x14ac:dyDescent="0.2">
      <c r="A280" s="8"/>
      <c r="B280" s="10"/>
      <c r="C280" s="10"/>
      <c r="D280" s="9"/>
      <c r="E280" s="9"/>
      <c r="F280" s="9"/>
      <c r="G280" s="11"/>
    </row>
    <row r="281" spans="1:7" x14ac:dyDescent="0.2">
      <c r="A281" s="12"/>
      <c r="B281" s="14"/>
      <c r="C281" s="14"/>
      <c r="D281" s="13"/>
      <c r="E281" s="13"/>
      <c r="F281" s="13"/>
      <c r="G281" s="15"/>
    </row>
    <row r="282" spans="1:7" x14ac:dyDescent="0.2">
      <c r="A282" s="8"/>
      <c r="B282" s="10"/>
      <c r="C282" s="10"/>
      <c r="D282" s="9"/>
      <c r="E282" s="9"/>
      <c r="F282" s="9"/>
      <c r="G282" s="11"/>
    </row>
    <row r="283" spans="1:7" x14ac:dyDescent="0.2">
      <c r="A283" s="12"/>
      <c r="B283" s="14"/>
      <c r="C283" s="14"/>
      <c r="D283" s="13"/>
      <c r="E283" s="13"/>
      <c r="F283" s="13"/>
      <c r="G283" s="15"/>
    </row>
    <row r="284" spans="1:7" x14ac:dyDescent="0.2">
      <c r="A284" s="8"/>
      <c r="B284" s="10"/>
      <c r="C284" s="10"/>
      <c r="D284" s="9"/>
      <c r="E284" s="9"/>
      <c r="F284" s="9"/>
      <c r="G284" s="11"/>
    </row>
    <row r="285" spans="1:7" x14ac:dyDescent="0.2">
      <c r="A285" s="12"/>
      <c r="B285" s="14"/>
      <c r="C285" s="14"/>
      <c r="D285" s="13"/>
      <c r="E285" s="13"/>
      <c r="F285" s="13"/>
      <c r="G285" s="15"/>
    </row>
    <row r="286" spans="1:7" x14ac:dyDescent="0.2">
      <c r="A286" s="8"/>
      <c r="B286" s="10"/>
      <c r="C286" s="10"/>
      <c r="D286" s="9"/>
      <c r="E286" s="9"/>
      <c r="F286" s="9"/>
      <c r="G286" s="11"/>
    </row>
    <row r="287" spans="1:7" x14ac:dyDescent="0.2">
      <c r="A287" s="12"/>
      <c r="B287" s="14"/>
      <c r="C287" s="14"/>
      <c r="D287" s="13"/>
      <c r="E287" s="13"/>
      <c r="F287" s="13"/>
      <c r="G287" s="15"/>
    </row>
    <row r="288" spans="1:7" x14ac:dyDescent="0.2">
      <c r="A288" s="8"/>
      <c r="B288" s="10"/>
      <c r="C288" s="10"/>
      <c r="D288" s="9"/>
      <c r="E288" s="9"/>
      <c r="F288" s="9"/>
      <c r="G288" s="11"/>
    </row>
    <row r="289" spans="1:7" x14ac:dyDescent="0.2">
      <c r="A289" s="12"/>
      <c r="B289" s="14"/>
      <c r="C289" s="14"/>
      <c r="D289" s="13"/>
      <c r="E289" s="13"/>
      <c r="F289" s="13"/>
      <c r="G289" s="15"/>
    </row>
    <row r="290" spans="1:7" x14ac:dyDescent="0.2">
      <c r="A290" s="8"/>
      <c r="B290" s="10"/>
      <c r="C290" s="10"/>
      <c r="D290" s="9"/>
      <c r="E290" s="9"/>
      <c r="F290" s="9"/>
      <c r="G290" s="11"/>
    </row>
    <row r="291" spans="1:7" x14ac:dyDescent="0.2">
      <c r="A291" s="12"/>
      <c r="B291" s="14"/>
      <c r="C291" s="14"/>
      <c r="D291" s="13"/>
      <c r="E291" s="13"/>
      <c r="F291" s="13"/>
      <c r="G291" s="15"/>
    </row>
    <row r="292" spans="1:7" x14ac:dyDescent="0.2">
      <c r="A292" s="8"/>
      <c r="B292" s="10"/>
      <c r="C292" s="10"/>
      <c r="D292" s="9"/>
      <c r="E292" s="9"/>
      <c r="F292" s="9"/>
      <c r="G292" s="11"/>
    </row>
    <row r="293" spans="1:7" x14ac:dyDescent="0.2">
      <c r="A293" s="12"/>
      <c r="B293" s="14"/>
      <c r="C293" s="14"/>
      <c r="D293" s="13"/>
      <c r="E293" s="13"/>
      <c r="F293" s="13"/>
      <c r="G293" s="15"/>
    </row>
    <row r="294" spans="1:7" x14ac:dyDescent="0.2">
      <c r="A294" s="8"/>
      <c r="B294" s="10"/>
      <c r="C294" s="10"/>
      <c r="D294" s="9"/>
      <c r="E294" s="9"/>
      <c r="F294" s="9"/>
      <c r="G294" s="11"/>
    </row>
    <row r="295" spans="1:7" x14ac:dyDescent="0.2">
      <c r="A295" s="12"/>
      <c r="B295" s="14"/>
      <c r="C295" s="14"/>
      <c r="D295" s="13"/>
      <c r="E295" s="13"/>
      <c r="F295" s="13"/>
      <c r="G295" s="15"/>
    </row>
    <row r="296" spans="1:7" x14ac:dyDescent="0.2">
      <c r="A296" s="8"/>
      <c r="B296" s="10"/>
      <c r="C296" s="10"/>
      <c r="D296" s="9"/>
      <c r="E296" s="9"/>
      <c r="F296" s="9"/>
      <c r="G296" s="11"/>
    </row>
    <row r="297" spans="1:7" x14ac:dyDescent="0.2">
      <c r="A297" s="12"/>
      <c r="B297" s="14"/>
      <c r="C297" s="14"/>
      <c r="D297" s="13"/>
      <c r="E297" s="13"/>
      <c r="F297" s="13"/>
      <c r="G297" s="15"/>
    </row>
    <row r="298" spans="1:7" x14ac:dyDescent="0.2">
      <c r="A298" s="8"/>
      <c r="B298" s="10"/>
      <c r="C298" s="10"/>
      <c r="D298" s="9"/>
      <c r="E298" s="9"/>
      <c r="F298" s="9"/>
      <c r="G298" s="11"/>
    </row>
    <row r="299" spans="1:7" x14ac:dyDescent="0.2">
      <c r="A299" s="12"/>
      <c r="B299" s="14"/>
      <c r="C299" s="14"/>
      <c r="D299" s="13"/>
      <c r="E299" s="13"/>
      <c r="F299" s="13"/>
      <c r="G299" s="15"/>
    </row>
    <row r="300" spans="1:7" x14ac:dyDescent="0.2">
      <c r="A300" s="8"/>
      <c r="B300" s="10"/>
      <c r="C300" s="10"/>
      <c r="D300" s="9"/>
      <c r="E300" s="9"/>
      <c r="F300" s="9"/>
      <c r="G300" s="11"/>
    </row>
    <row r="301" spans="1:7" x14ac:dyDescent="0.2">
      <c r="A301" s="12"/>
      <c r="B301" s="14"/>
      <c r="C301" s="14"/>
      <c r="D301" s="13"/>
      <c r="E301" s="13"/>
      <c r="F301" s="13"/>
      <c r="G301" s="15"/>
    </row>
    <row r="302" spans="1:7" x14ac:dyDescent="0.2">
      <c r="A302" s="8"/>
      <c r="B302" s="10"/>
      <c r="C302" s="10"/>
      <c r="D302" s="9"/>
      <c r="E302" s="9"/>
      <c r="F302" s="9"/>
      <c r="G302" s="11"/>
    </row>
    <row r="303" spans="1:7" x14ac:dyDescent="0.2">
      <c r="A303" s="12"/>
      <c r="B303" s="14"/>
      <c r="C303" s="14"/>
      <c r="D303" s="13"/>
      <c r="E303" s="13"/>
      <c r="F303" s="13"/>
      <c r="G303" s="15"/>
    </row>
    <row r="304" spans="1:7" x14ac:dyDescent="0.2">
      <c r="A304" s="8"/>
      <c r="B304" s="10"/>
      <c r="C304" s="10"/>
      <c r="D304" s="9"/>
      <c r="E304" s="9"/>
      <c r="F304" s="9"/>
      <c r="G304" s="11"/>
    </row>
    <row r="305" spans="1:7" x14ac:dyDescent="0.2">
      <c r="A305" s="12"/>
      <c r="B305" s="14"/>
      <c r="C305" s="14"/>
      <c r="D305" s="13"/>
      <c r="E305" s="13"/>
      <c r="F305" s="13"/>
      <c r="G305" s="15"/>
    </row>
    <row r="306" spans="1:7" x14ac:dyDescent="0.2">
      <c r="A306" s="8"/>
      <c r="B306" s="10"/>
      <c r="C306" s="10"/>
      <c r="D306" s="9"/>
      <c r="E306" s="9"/>
      <c r="F306" s="9"/>
      <c r="G306" s="11"/>
    </row>
    <row r="307" spans="1:7" x14ac:dyDescent="0.2">
      <c r="A307" s="12"/>
      <c r="B307" s="14"/>
      <c r="C307" s="14"/>
      <c r="D307" s="13"/>
      <c r="E307" s="13"/>
      <c r="F307" s="13"/>
      <c r="G307" s="15"/>
    </row>
    <row r="308" spans="1:7" x14ac:dyDescent="0.2">
      <c r="A308" s="8"/>
      <c r="B308" s="10"/>
      <c r="C308" s="10"/>
      <c r="D308" s="9"/>
      <c r="E308" s="9"/>
      <c r="F308" s="9"/>
      <c r="G308" s="11"/>
    </row>
    <row r="309" spans="1:7" x14ac:dyDescent="0.2">
      <c r="A309" s="12"/>
      <c r="B309" s="14"/>
      <c r="C309" s="14"/>
      <c r="D309" s="13"/>
      <c r="E309" s="13"/>
      <c r="F309" s="13"/>
      <c r="G309" s="15"/>
    </row>
    <row r="310" spans="1:7" x14ac:dyDescent="0.2">
      <c r="A310" s="8"/>
      <c r="B310" s="10"/>
      <c r="C310" s="10"/>
      <c r="D310" s="9"/>
      <c r="E310" s="9"/>
      <c r="F310" s="9"/>
      <c r="G310" s="11"/>
    </row>
    <row r="311" spans="1:7" x14ac:dyDescent="0.2">
      <c r="A311" s="12"/>
      <c r="B311" s="14"/>
      <c r="C311" s="14"/>
      <c r="D311" s="13"/>
      <c r="E311" s="13"/>
      <c r="F311" s="13"/>
      <c r="G311" s="15"/>
    </row>
    <row r="312" spans="1:7" x14ac:dyDescent="0.2">
      <c r="A312" s="8"/>
      <c r="B312" s="10"/>
      <c r="C312" s="10"/>
      <c r="D312" s="9"/>
      <c r="E312" s="9"/>
      <c r="F312" s="9"/>
      <c r="G312" s="11"/>
    </row>
    <row r="313" spans="1:7" x14ac:dyDescent="0.2">
      <c r="A313" s="12"/>
      <c r="B313" s="14"/>
      <c r="C313" s="14"/>
      <c r="D313" s="13"/>
      <c r="E313" s="13"/>
      <c r="F313" s="13"/>
      <c r="G313" s="15"/>
    </row>
    <row r="314" spans="1:7" x14ac:dyDescent="0.2">
      <c r="A314" s="8"/>
      <c r="B314" s="10"/>
      <c r="C314" s="10"/>
      <c r="D314" s="9"/>
      <c r="E314" s="9"/>
      <c r="F314" s="9"/>
      <c r="G314" s="11"/>
    </row>
    <row r="315" spans="1:7" x14ac:dyDescent="0.2">
      <c r="A315" s="12"/>
      <c r="B315" s="14"/>
      <c r="C315" s="14"/>
      <c r="D315" s="13"/>
      <c r="E315" s="13"/>
      <c r="F315" s="13"/>
      <c r="G315" s="15"/>
    </row>
    <row r="316" spans="1:7" x14ac:dyDescent="0.2">
      <c r="A316" s="8"/>
      <c r="B316" s="10"/>
      <c r="C316" s="10"/>
      <c r="D316" s="9"/>
      <c r="E316" s="9"/>
      <c r="F316" s="9"/>
      <c r="G316" s="11"/>
    </row>
    <row r="317" spans="1:7" x14ac:dyDescent="0.2">
      <c r="A317" s="12"/>
      <c r="B317" s="14"/>
      <c r="C317" s="14"/>
      <c r="D317" s="13"/>
      <c r="E317" s="13"/>
      <c r="F317" s="13"/>
      <c r="G317" s="15"/>
    </row>
    <row r="318" spans="1:7" x14ac:dyDescent="0.2">
      <c r="A318" s="8"/>
      <c r="B318" s="10"/>
      <c r="C318" s="10"/>
      <c r="D318" s="9"/>
      <c r="E318" s="9"/>
      <c r="F318" s="9"/>
      <c r="G318" s="11"/>
    </row>
    <row r="319" spans="1:7" x14ac:dyDescent="0.2">
      <c r="A319" s="12"/>
      <c r="B319" s="14"/>
      <c r="C319" s="14"/>
      <c r="D319" s="13"/>
      <c r="E319" s="13"/>
      <c r="F319" s="13"/>
      <c r="G319" s="15"/>
    </row>
    <row r="320" spans="1:7" x14ac:dyDescent="0.2">
      <c r="A320" s="8"/>
      <c r="B320" s="10"/>
      <c r="C320" s="10"/>
      <c r="D320" s="9"/>
      <c r="E320" s="9"/>
      <c r="F320" s="9"/>
      <c r="G320" s="11"/>
    </row>
    <row r="321" spans="1:7" x14ac:dyDescent="0.2">
      <c r="A321" s="12"/>
      <c r="B321" s="14"/>
      <c r="C321" s="14"/>
      <c r="D321" s="13"/>
      <c r="E321" s="13"/>
      <c r="F321" s="13"/>
      <c r="G321" s="15"/>
    </row>
    <row r="322" spans="1:7" x14ac:dyDescent="0.2">
      <c r="A322" s="8"/>
      <c r="B322" s="10"/>
      <c r="C322" s="10"/>
      <c r="D322" s="9"/>
      <c r="E322" s="9"/>
      <c r="F322" s="9"/>
      <c r="G322" s="11"/>
    </row>
    <row r="323" spans="1:7" x14ac:dyDescent="0.2">
      <c r="A323" s="12"/>
      <c r="B323" s="14"/>
      <c r="C323" s="14"/>
      <c r="D323" s="13"/>
      <c r="E323" s="13"/>
      <c r="F323" s="13"/>
      <c r="G323" s="15"/>
    </row>
    <row r="324" spans="1:7" x14ac:dyDescent="0.2">
      <c r="A324" s="8"/>
      <c r="B324" s="10"/>
      <c r="C324" s="10"/>
      <c r="D324" s="9"/>
      <c r="E324" s="9"/>
      <c r="F324" s="9"/>
      <c r="G324" s="11"/>
    </row>
    <row r="325" spans="1:7" x14ac:dyDescent="0.2">
      <c r="A325" s="12"/>
      <c r="B325" s="14"/>
      <c r="C325" s="14"/>
      <c r="D325" s="13"/>
      <c r="E325" s="13"/>
      <c r="F325" s="13"/>
      <c r="G325" s="15"/>
    </row>
    <row r="326" spans="1:7" x14ac:dyDescent="0.2">
      <c r="A326" s="8"/>
      <c r="B326" s="10"/>
      <c r="C326" s="10"/>
      <c r="D326" s="9"/>
      <c r="E326" s="9"/>
      <c r="F326" s="9"/>
      <c r="G326" s="11"/>
    </row>
    <row r="327" spans="1:7" x14ac:dyDescent="0.2">
      <c r="A327" s="12"/>
      <c r="B327" s="14"/>
      <c r="C327" s="14"/>
      <c r="D327" s="13"/>
      <c r="E327" s="13"/>
      <c r="F327" s="13"/>
      <c r="G327" s="15"/>
    </row>
    <row r="328" spans="1:7" x14ac:dyDescent="0.2">
      <c r="A328" s="8"/>
      <c r="B328" s="10"/>
      <c r="C328" s="10"/>
      <c r="D328" s="9"/>
      <c r="E328" s="9"/>
      <c r="F328" s="9"/>
      <c r="G328" s="11"/>
    </row>
    <row r="329" spans="1:7" x14ac:dyDescent="0.2">
      <c r="A329" s="12"/>
      <c r="B329" s="14"/>
      <c r="C329" s="14"/>
      <c r="D329" s="13"/>
      <c r="E329" s="13"/>
      <c r="F329" s="13"/>
      <c r="G329" s="15"/>
    </row>
    <row r="330" spans="1:7" x14ac:dyDescent="0.2">
      <c r="A330" s="8"/>
      <c r="B330" s="10"/>
      <c r="C330" s="10"/>
      <c r="D330" s="9"/>
      <c r="E330" s="9"/>
      <c r="F330" s="9"/>
      <c r="G330" s="11"/>
    </row>
    <row r="331" spans="1:7" x14ac:dyDescent="0.2">
      <c r="A331" s="12"/>
      <c r="B331" s="14"/>
      <c r="C331" s="14"/>
      <c r="D331" s="13"/>
      <c r="E331" s="13"/>
      <c r="F331" s="13"/>
      <c r="G331" s="15"/>
    </row>
    <row r="332" spans="1:7" x14ac:dyDescent="0.2">
      <c r="A332" s="8"/>
      <c r="B332" s="10"/>
      <c r="C332" s="10"/>
      <c r="D332" s="9"/>
      <c r="E332" s="9"/>
      <c r="F332" s="9"/>
      <c r="G332" s="11"/>
    </row>
    <row r="333" spans="1:7" x14ac:dyDescent="0.2">
      <c r="A333" s="12"/>
      <c r="B333" s="14"/>
      <c r="C333" s="14"/>
      <c r="D333" s="13"/>
      <c r="E333" s="13"/>
      <c r="F333" s="13"/>
      <c r="G333" s="15"/>
    </row>
    <row r="334" spans="1:7" x14ac:dyDescent="0.2">
      <c r="A334" s="8"/>
      <c r="B334" s="10"/>
      <c r="C334" s="10"/>
      <c r="D334" s="9"/>
      <c r="E334" s="9"/>
      <c r="F334" s="9"/>
      <c r="G334" s="11"/>
    </row>
    <row r="335" spans="1:7" x14ac:dyDescent="0.2">
      <c r="A335" s="12"/>
      <c r="B335" s="14"/>
      <c r="C335" s="14"/>
      <c r="D335" s="13"/>
      <c r="E335" s="13"/>
      <c r="F335" s="13"/>
      <c r="G335" s="15"/>
    </row>
    <row r="336" spans="1:7" x14ac:dyDescent="0.2">
      <c r="A336" s="8"/>
      <c r="B336" s="10"/>
      <c r="C336" s="10"/>
      <c r="D336" s="9"/>
      <c r="E336" s="9"/>
      <c r="F336" s="9"/>
      <c r="G336" s="11"/>
    </row>
    <row r="337" spans="1:7" x14ac:dyDescent="0.2">
      <c r="A337" s="12"/>
      <c r="B337" s="14"/>
      <c r="C337" s="14"/>
      <c r="D337" s="13"/>
      <c r="E337" s="13"/>
      <c r="F337" s="13"/>
      <c r="G337" s="15"/>
    </row>
    <row r="338" spans="1:7" x14ac:dyDescent="0.2">
      <c r="A338" s="8"/>
      <c r="B338" s="10"/>
      <c r="C338" s="10"/>
      <c r="D338" s="9"/>
      <c r="E338" s="9"/>
      <c r="F338" s="9"/>
      <c r="G338" s="11"/>
    </row>
    <row r="339" spans="1:7" x14ac:dyDescent="0.2">
      <c r="A339" s="12"/>
      <c r="B339" s="14"/>
      <c r="C339" s="14"/>
      <c r="D339" s="13"/>
      <c r="E339" s="13"/>
      <c r="F339" s="13"/>
      <c r="G339" s="15"/>
    </row>
    <row r="340" spans="1:7" x14ac:dyDescent="0.2">
      <c r="A340" s="8"/>
      <c r="B340" s="10"/>
      <c r="C340" s="10"/>
      <c r="D340" s="9"/>
      <c r="E340" s="9"/>
      <c r="F340" s="9"/>
      <c r="G340" s="11"/>
    </row>
    <row r="341" spans="1:7" x14ac:dyDescent="0.2">
      <c r="A341" s="12"/>
      <c r="B341" s="14"/>
      <c r="C341" s="14"/>
      <c r="D341" s="13"/>
      <c r="E341" s="13"/>
      <c r="F341" s="13"/>
      <c r="G341" s="15"/>
    </row>
    <row r="342" spans="1:7" x14ac:dyDescent="0.2">
      <c r="A342" s="8"/>
      <c r="B342" s="10"/>
      <c r="C342" s="10"/>
      <c r="D342" s="9"/>
      <c r="E342" s="9"/>
      <c r="F342" s="9"/>
      <c r="G342" s="11"/>
    </row>
    <row r="343" spans="1:7" x14ac:dyDescent="0.2">
      <c r="A343" s="12"/>
      <c r="B343" s="14"/>
      <c r="C343" s="14"/>
      <c r="D343" s="13"/>
      <c r="E343" s="13"/>
      <c r="F343" s="13"/>
      <c r="G343" s="15"/>
    </row>
    <row r="344" spans="1:7" x14ac:dyDescent="0.2">
      <c r="A344" s="8"/>
      <c r="B344" s="10"/>
      <c r="C344" s="10"/>
      <c r="D344" s="9"/>
      <c r="E344" s="9"/>
      <c r="F344" s="9"/>
      <c r="G344" s="11"/>
    </row>
    <row r="345" spans="1:7" x14ac:dyDescent="0.2">
      <c r="A345" s="12"/>
      <c r="B345" s="14"/>
      <c r="C345" s="14"/>
      <c r="D345" s="13"/>
      <c r="E345" s="13"/>
      <c r="F345" s="13"/>
      <c r="G345" s="15"/>
    </row>
    <row r="346" spans="1:7" x14ac:dyDescent="0.2">
      <c r="A346" s="8"/>
      <c r="B346" s="10"/>
      <c r="C346" s="10"/>
      <c r="D346" s="9"/>
      <c r="E346" s="9"/>
      <c r="F346" s="9"/>
      <c r="G346" s="11"/>
    </row>
    <row r="347" spans="1:7" x14ac:dyDescent="0.2">
      <c r="A347" s="12"/>
      <c r="B347" s="14"/>
      <c r="C347" s="14"/>
      <c r="D347" s="13"/>
      <c r="E347" s="13"/>
      <c r="F347" s="13"/>
      <c r="G347" s="15"/>
    </row>
    <row r="348" spans="1:7" x14ac:dyDescent="0.2">
      <c r="A348" s="8"/>
      <c r="B348" s="10"/>
      <c r="C348" s="10"/>
      <c r="D348" s="9"/>
      <c r="E348" s="9"/>
      <c r="F348" s="9"/>
      <c r="G348" s="11"/>
    </row>
    <row r="349" spans="1:7" x14ac:dyDescent="0.2">
      <c r="A349" s="12"/>
      <c r="B349" s="14"/>
      <c r="C349" s="14"/>
      <c r="D349" s="13"/>
      <c r="E349" s="13"/>
      <c r="F349" s="13"/>
      <c r="G349" s="15"/>
    </row>
    <row r="350" spans="1:7" x14ac:dyDescent="0.2">
      <c r="A350" s="8"/>
      <c r="B350" s="10"/>
      <c r="C350" s="10"/>
      <c r="D350" s="9"/>
      <c r="E350" s="9"/>
      <c r="F350" s="9"/>
      <c r="G350" s="11"/>
    </row>
    <row r="351" spans="1:7" x14ac:dyDescent="0.2">
      <c r="A351" s="12"/>
      <c r="B351" s="14"/>
      <c r="C351" s="14"/>
      <c r="D351" s="13"/>
      <c r="E351" s="13"/>
      <c r="F351" s="13"/>
      <c r="G351" s="15"/>
    </row>
    <row r="352" spans="1:7" x14ac:dyDescent="0.2">
      <c r="A352" s="8"/>
      <c r="B352" s="10"/>
      <c r="C352" s="10"/>
      <c r="D352" s="9"/>
      <c r="E352" s="9"/>
      <c r="F352" s="9"/>
      <c r="G352" s="11"/>
    </row>
    <row r="353" spans="1:7" x14ac:dyDescent="0.2">
      <c r="A353" s="12"/>
      <c r="B353" s="14"/>
      <c r="C353" s="14"/>
      <c r="D353" s="13"/>
      <c r="E353" s="13"/>
      <c r="F353" s="13"/>
      <c r="G353" s="15"/>
    </row>
    <row r="354" spans="1:7" x14ac:dyDescent="0.2">
      <c r="A354" s="8"/>
      <c r="B354" s="10"/>
      <c r="C354" s="10"/>
      <c r="D354" s="9"/>
      <c r="E354" s="9"/>
      <c r="F354" s="9"/>
      <c r="G354" s="11"/>
    </row>
    <row r="355" spans="1:7" x14ac:dyDescent="0.2">
      <c r="A355" s="12"/>
      <c r="B355" s="14"/>
      <c r="C355" s="14"/>
      <c r="D355" s="13"/>
      <c r="E355" s="13"/>
      <c r="F355" s="13"/>
      <c r="G355" s="15"/>
    </row>
    <row r="356" spans="1:7" x14ac:dyDescent="0.2">
      <c r="A356" s="8"/>
      <c r="B356" s="10"/>
      <c r="C356" s="10"/>
      <c r="D356" s="9"/>
      <c r="E356" s="9"/>
      <c r="F356" s="9"/>
      <c r="G356" s="11"/>
    </row>
    <row r="357" spans="1:7" x14ac:dyDescent="0.2">
      <c r="A357" s="12"/>
      <c r="B357" s="14"/>
      <c r="C357" s="14"/>
      <c r="D357" s="13"/>
      <c r="E357" s="13"/>
      <c r="F357" s="13"/>
      <c r="G357" s="15"/>
    </row>
    <row r="358" spans="1:7" x14ac:dyDescent="0.2">
      <c r="A358" s="8"/>
      <c r="B358" s="10"/>
      <c r="C358" s="10"/>
      <c r="D358" s="9"/>
      <c r="E358" s="9"/>
      <c r="F358" s="9"/>
      <c r="G358" s="11"/>
    </row>
    <row r="359" spans="1:7" x14ac:dyDescent="0.2">
      <c r="A359" s="12"/>
      <c r="B359" s="14"/>
      <c r="C359" s="14"/>
      <c r="D359" s="13"/>
      <c r="E359" s="13"/>
      <c r="F359" s="13"/>
      <c r="G359" s="15"/>
    </row>
    <row r="360" spans="1:7" x14ac:dyDescent="0.2">
      <c r="A360" s="8"/>
      <c r="B360" s="10"/>
      <c r="C360" s="10"/>
      <c r="D360" s="9"/>
      <c r="E360" s="9"/>
      <c r="F360" s="9"/>
      <c r="G360" s="11"/>
    </row>
    <row r="361" spans="1:7" x14ac:dyDescent="0.2">
      <c r="A361" s="12"/>
      <c r="B361" s="14"/>
      <c r="C361" s="14"/>
      <c r="D361" s="13"/>
      <c r="E361" s="13"/>
      <c r="F361" s="13"/>
      <c r="G361" s="15"/>
    </row>
    <row r="362" spans="1:7" x14ac:dyDescent="0.2">
      <c r="A362" s="8"/>
      <c r="B362" s="10"/>
      <c r="C362" s="10"/>
      <c r="D362" s="9"/>
      <c r="E362" s="9"/>
      <c r="F362" s="9"/>
      <c r="G362" s="11"/>
    </row>
    <row r="363" spans="1:7" x14ac:dyDescent="0.2">
      <c r="A363" s="12"/>
      <c r="B363" s="14"/>
      <c r="C363" s="14"/>
      <c r="D363" s="13"/>
      <c r="E363" s="13"/>
      <c r="F363" s="13"/>
      <c r="G363" s="15"/>
    </row>
    <row r="364" spans="1:7" x14ac:dyDescent="0.2">
      <c r="A364" s="8"/>
      <c r="B364" s="10"/>
      <c r="C364" s="10"/>
      <c r="D364" s="9"/>
      <c r="E364" s="9"/>
      <c r="F364" s="9"/>
      <c r="G364" s="11"/>
    </row>
    <row r="365" spans="1:7" x14ac:dyDescent="0.2">
      <c r="A365" s="12"/>
      <c r="B365" s="14"/>
      <c r="C365" s="14"/>
      <c r="D365" s="13"/>
      <c r="E365" s="13"/>
      <c r="F365" s="13"/>
      <c r="G365" s="15"/>
    </row>
    <row r="366" spans="1:7" x14ac:dyDescent="0.2">
      <c r="A366" s="8"/>
      <c r="B366" s="10"/>
      <c r="C366" s="10"/>
      <c r="D366" s="9"/>
      <c r="E366" s="9"/>
      <c r="F366" s="9"/>
      <c r="G366" s="11"/>
    </row>
    <row r="367" spans="1:7" x14ac:dyDescent="0.2">
      <c r="A367" s="12"/>
      <c r="B367" s="14"/>
      <c r="C367" s="14"/>
      <c r="D367" s="13"/>
      <c r="E367" s="13"/>
      <c r="F367" s="13"/>
      <c r="G367" s="15"/>
    </row>
    <row r="368" spans="1:7" x14ac:dyDescent="0.2">
      <c r="A368" s="8"/>
      <c r="B368" s="10"/>
      <c r="C368" s="10"/>
      <c r="D368" s="9"/>
      <c r="E368" s="9"/>
      <c r="F368" s="9"/>
      <c r="G368" s="11"/>
    </row>
    <row r="369" spans="1:7" x14ac:dyDescent="0.2">
      <c r="A369" s="12"/>
      <c r="B369" s="14"/>
      <c r="C369" s="14"/>
      <c r="D369" s="13"/>
      <c r="E369" s="13"/>
      <c r="F369" s="13"/>
      <c r="G369" s="15"/>
    </row>
    <row r="370" spans="1:7" x14ac:dyDescent="0.2">
      <c r="A370" s="8"/>
      <c r="B370" s="10"/>
      <c r="C370" s="10"/>
      <c r="D370" s="9"/>
      <c r="E370" s="9"/>
      <c r="F370" s="9"/>
      <c r="G370" s="11"/>
    </row>
    <row r="371" spans="1:7" x14ac:dyDescent="0.2">
      <c r="A371" s="12"/>
      <c r="B371" s="14"/>
      <c r="C371" s="14"/>
      <c r="D371" s="13"/>
      <c r="E371" s="13"/>
      <c r="F371" s="13"/>
      <c r="G371" s="15"/>
    </row>
    <row r="372" spans="1:7" x14ac:dyDescent="0.2">
      <c r="A372" s="8"/>
      <c r="B372" s="10"/>
      <c r="C372" s="10"/>
      <c r="D372" s="9"/>
      <c r="E372" s="9"/>
      <c r="F372" s="9"/>
      <c r="G372" s="11"/>
    </row>
    <row r="373" spans="1:7" x14ac:dyDescent="0.2">
      <c r="A373" s="12"/>
      <c r="B373" s="14"/>
      <c r="C373" s="14"/>
      <c r="D373" s="13"/>
      <c r="E373" s="13"/>
      <c r="F373" s="13"/>
      <c r="G373" s="15"/>
    </row>
    <row r="374" spans="1:7" x14ac:dyDescent="0.2">
      <c r="A374" s="8"/>
      <c r="B374" s="10"/>
      <c r="C374" s="10"/>
      <c r="D374" s="9"/>
      <c r="E374" s="9"/>
      <c r="F374" s="9"/>
      <c r="G374" s="11"/>
    </row>
    <row r="375" spans="1:7" x14ac:dyDescent="0.2">
      <c r="A375" s="12"/>
      <c r="B375" s="14"/>
      <c r="C375" s="14"/>
      <c r="D375" s="13"/>
      <c r="E375" s="13"/>
      <c r="F375" s="13"/>
      <c r="G375" s="15"/>
    </row>
    <row r="376" spans="1:7" x14ac:dyDescent="0.2">
      <c r="A376" s="8"/>
      <c r="B376" s="10"/>
      <c r="C376" s="10"/>
      <c r="D376" s="9"/>
      <c r="E376" s="9"/>
      <c r="F376" s="9"/>
      <c r="G376" s="11"/>
    </row>
    <row r="377" spans="1:7" x14ac:dyDescent="0.2">
      <c r="A377" s="12"/>
      <c r="B377" s="14"/>
      <c r="C377" s="14"/>
      <c r="D377" s="13"/>
      <c r="E377" s="13"/>
      <c r="F377" s="13"/>
      <c r="G377" s="15"/>
    </row>
    <row r="378" spans="1:7" x14ac:dyDescent="0.2">
      <c r="A378" s="8"/>
      <c r="B378" s="10"/>
      <c r="C378" s="10"/>
      <c r="D378" s="9"/>
      <c r="E378" s="9"/>
      <c r="F378" s="9"/>
      <c r="G378" s="11"/>
    </row>
    <row r="379" spans="1:7" x14ac:dyDescent="0.2">
      <c r="A379" s="12"/>
      <c r="B379" s="14"/>
      <c r="C379" s="14"/>
      <c r="D379" s="13"/>
      <c r="E379" s="13"/>
      <c r="F379" s="13"/>
      <c r="G379" s="15"/>
    </row>
    <row r="380" spans="1:7" x14ac:dyDescent="0.2">
      <c r="A380" s="8"/>
      <c r="B380" s="10"/>
      <c r="C380" s="10"/>
      <c r="D380" s="9"/>
      <c r="E380" s="9"/>
      <c r="F380" s="9"/>
      <c r="G380" s="11"/>
    </row>
    <row r="381" spans="1:7" x14ac:dyDescent="0.2">
      <c r="A381" s="12"/>
      <c r="B381" s="14"/>
      <c r="C381" s="14"/>
      <c r="D381" s="13"/>
      <c r="E381" s="13"/>
      <c r="F381" s="13"/>
      <c r="G381" s="15"/>
    </row>
    <row r="382" spans="1:7" x14ac:dyDescent="0.2">
      <c r="A382" s="8"/>
      <c r="B382" s="10"/>
      <c r="C382" s="10"/>
      <c r="D382" s="9"/>
      <c r="E382" s="9"/>
      <c r="F382" s="9"/>
      <c r="G382" s="11"/>
    </row>
    <row r="383" spans="1:7" x14ac:dyDescent="0.2">
      <c r="A383" s="12"/>
      <c r="B383" s="14"/>
      <c r="C383" s="14"/>
      <c r="D383" s="13"/>
      <c r="E383" s="13"/>
      <c r="F383" s="13"/>
      <c r="G383" s="15"/>
    </row>
    <row r="384" spans="1:7" x14ac:dyDescent="0.2">
      <c r="A384" s="8"/>
      <c r="B384" s="10"/>
      <c r="C384" s="10"/>
      <c r="D384" s="9"/>
      <c r="E384" s="9"/>
      <c r="F384" s="9"/>
      <c r="G384" s="11"/>
    </row>
    <row r="385" spans="1:7" x14ac:dyDescent="0.2">
      <c r="A385" s="12"/>
      <c r="B385" s="14"/>
      <c r="C385" s="14"/>
      <c r="D385" s="13"/>
      <c r="E385" s="13"/>
      <c r="F385" s="13"/>
      <c r="G385" s="15"/>
    </row>
    <row r="386" spans="1:7" x14ac:dyDescent="0.2">
      <c r="A386" s="8"/>
      <c r="B386" s="10"/>
      <c r="C386" s="10"/>
      <c r="D386" s="9"/>
      <c r="E386" s="9"/>
      <c r="F386" s="9"/>
      <c r="G386" s="11"/>
    </row>
    <row r="387" spans="1:7" x14ac:dyDescent="0.2">
      <c r="A387" s="12"/>
      <c r="B387" s="14"/>
      <c r="C387" s="14"/>
      <c r="D387" s="13"/>
      <c r="E387" s="13"/>
      <c r="F387" s="13"/>
      <c r="G387" s="15"/>
    </row>
    <row r="388" spans="1:7" x14ac:dyDescent="0.2">
      <c r="A388" s="8"/>
      <c r="B388" s="10"/>
      <c r="C388" s="10"/>
      <c r="D388" s="9"/>
      <c r="E388" s="9"/>
      <c r="F388" s="9"/>
      <c r="G388" s="11"/>
    </row>
    <row r="389" spans="1:7" x14ac:dyDescent="0.2">
      <c r="A389" s="12"/>
      <c r="B389" s="14"/>
      <c r="C389" s="14"/>
      <c r="D389" s="13"/>
      <c r="E389" s="13"/>
      <c r="F389" s="13"/>
      <c r="G389" s="15"/>
    </row>
    <row r="390" spans="1:7" x14ac:dyDescent="0.2">
      <c r="A390" s="8"/>
      <c r="B390" s="10"/>
      <c r="C390" s="10"/>
      <c r="D390" s="9"/>
      <c r="E390" s="9"/>
      <c r="F390" s="9"/>
      <c r="G390" s="11"/>
    </row>
    <row r="391" spans="1:7" x14ac:dyDescent="0.2">
      <c r="A391" s="12"/>
      <c r="B391" s="14"/>
      <c r="C391" s="14"/>
      <c r="D391" s="13"/>
      <c r="E391" s="13"/>
      <c r="F391" s="13"/>
      <c r="G391" s="15"/>
    </row>
    <row r="392" spans="1:7" x14ac:dyDescent="0.2">
      <c r="A392" s="8"/>
      <c r="B392" s="10"/>
      <c r="C392" s="10"/>
      <c r="D392" s="9"/>
      <c r="E392" s="9"/>
      <c r="F392" s="9"/>
      <c r="G392" s="11"/>
    </row>
    <row r="393" spans="1:7" x14ac:dyDescent="0.2">
      <c r="A393" s="12"/>
      <c r="B393" s="14"/>
      <c r="C393" s="14"/>
      <c r="D393" s="13"/>
      <c r="E393" s="13"/>
      <c r="F393" s="13"/>
      <c r="G393" s="15"/>
    </row>
    <row r="394" spans="1:7" x14ac:dyDescent="0.2">
      <c r="A394" s="8"/>
      <c r="B394" s="10"/>
      <c r="C394" s="10"/>
      <c r="D394" s="9"/>
      <c r="E394" s="9"/>
      <c r="F394" s="9"/>
      <c r="G394" s="11"/>
    </row>
    <row r="395" spans="1:7" x14ac:dyDescent="0.2">
      <c r="A395" s="12"/>
      <c r="B395" s="14"/>
      <c r="C395" s="14"/>
      <c r="D395" s="13"/>
      <c r="E395" s="13"/>
      <c r="F395" s="13"/>
      <c r="G395" s="15"/>
    </row>
    <row r="396" spans="1:7" x14ac:dyDescent="0.2">
      <c r="A396" s="8"/>
      <c r="B396" s="10"/>
      <c r="C396" s="10"/>
      <c r="D396" s="9"/>
      <c r="E396" s="9"/>
      <c r="F396" s="9"/>
      <c r="G396" s="11"/>
    </row>
    <row r="397" spans="1:7" x14ac:dyDescent="0.2">
      <c r="A397" s="12"/>
      <c r="B397" s="14"/>
      <c r="C397" s="14"/>
      <c r="D397" s="13"/>
      <c r="E397" s="13"/>
      <c r="F397" s="13"/>
      <c r="G397" s="15"/>
    </row>
    <row r="398" spans="1:7" x14ac:dyDescent="0.2">
      <c r="A398" s="8"/>
      <c r="B398" s="10"/>
      <c r="C398" s="10"/>
      <c r="D398" s="9"/>
      <c r="E398" s="9"/>
      <c r="F398" s="9"/>
      <c r="G398" s="11"/>
    </row>
    <row r="399" spans="1:7" x14ac:dyDescent="0.2">
      <c r="A399" s="12"/>
      <c r="B399" s="14"/>
      <c r="C399" s="14"/>
      <c r="D399" s="13"/>
      <c r="E399" s="13"/>
      <c r="F399" s="13"/>
      <c r="G399" s="15"/>
    </row>
    <row r="400" spans="1:7" x14ac:dyDescent="0.2">
      <c r="A400" s="8"/>
      <c r="B400" s="10"/>
      <c r="C400" s="10"/>
      <c r="D400" s="9"/>
      <c r="E400" s="9"/>
      <c r="F400" s="9"/>
      <c r="G400" s="11"/>
    </row>
    <row r="401" spans="1:7" x14ac:dyDescent="0.2">
      <c r="A401" s="12"/>
      <c r="B401" s="14"/>
      <c r="C401" s="14"/>
      <c r="D401" s="13"/>
      <c r="E401" s="13"/>
      <c r="F401" s="13"/>
      <c r="G401" s="15"/>
    </row>
    <row r="402" spans="1:7" x14ac:dyDescent="0.2">
      <c r="A402" s="8"/>
      <c r="B402" s="10"/>
      <c r="C402" s="10"/>
      <c r="D402" s="9"/>
      <c r="E402" s="9"/>
      <c r="F402" s="9"/>
      <c r="G402" s="11"/>
    </row>
    <row r="403" spans="1:7" x14ac:dyDescent="0.2">
      <c r="A403" s="12"/>
      <c r="B403" s="14"/>
      <c r="C403" s="14"/>
      <c r="D403" s="13"/>
      <c r="E403" s="13"/>
      <c r="F403" s="13"/>
      <c r="G403" s="15"/>
    </row>
    <row r="404" spans="1:7" x14ac:dyDescent="0.2">
      <c r="A404" s="8"/>
      <c r="B404" s="10"/>
      <c r="C404" s="10"/>
      <c r="D404" s="9"/>
      <c r="E404" s="9"/>
      <c r="F404" s="9"/>
      <c r="G404" s="11"/>
    </row>
    <row r="405" spans="1:7" x14ac:dyDescent="0.2">
      <c r="A405" s="12"/>
      <c r="B405" s="14"/>
      <c r="C405" s="14"/>
      <c r="D405" s="13"/>
      <c r="E405" s="13"/>
      <c r="F405" s="13"/>
      <c r="G405" s="15"/>
    </row>
    <row r="406" spans="1:7" x14ac:dyDescent="0.2">
      <c r="A406" s="8"/>
      <c r="B406" s="10"/>
      <c r="C406" s="10"/>
      <c r="D406" s="9"/>
      <c r="E406" s="9"/>
      <c r="F406" s="9"/>
      <c r="G406" s="11"/>
    </row>
    <row r="407" spans="1:7" x14ac:dyDescent="0.2">
      <c r="A407" s="12"/>
      <c r="B407" s="14"/>
      <c r="C407" s="14"/>
      <c r="D407" s="13"/>
      <c r="E407" s="13"/>
      <c r="F407" s="13"/>
      <c r="G407" s="15"/>
    </row>
    <row r="408" spans="1:7" x14ac:dyDescent="0.2">
      <c r="A408" s="8"/>
      <c r="B408" s="10"/>
      <c r="C408" s="10"/>
      <c r="D408" s="9"/>
      <c r="E408" s="9"/>
      <c r="F408" s="9"/>
      <c r="G408" s="11"/>
    </row>
    <row r="409" spans="1:7" x14ac:dyDescent="0.2">
      <c r="A409" s="12"/>
      <c r="B409" s="14"/>
      <c r="C409" s="14"/>
      <c r="D409" s="13"/>
      <c r="E409" s="13"/>
      <c r="F409" s="13"/>
      <c r="G409" s="15"/>
    </row>
    <row r="410" spans="1:7" x14ac:dyDescent="0.2">
      <c r="A410" s="8"/>
      <c r="B410" s="10"/>
      <c r="C410" s="10"/>
      <c r="D410" s="9"/>
      <c r="E410" s="9"/>
      <c r="F410" s="9"/>
      <c r="G410" s="11"/>
    </row>
    <row r="411" spans="1:7" x14ac:dyDescent="0.2">
      <c r="A411" s="12"/>
      <c r="B411" s="14"/>
      <c r="C411" s="14"/>
      <c r="D411" s="13"/>
      <c r="E411" s="13"/>
      <c r="F411" s="13"/>
      <c r="G411" s="15"/>
    </row>
    <row r="412" spans="1:7" x14ac:dyDescent="0.2">
      <c r="A412" s="8"/>
      <c r="B412" s="10"/>
      <c r="C412" s="10"/>
      <c r="D412" s="9"/>
      <c r="E412" s="9"/>
      <c r="F412" s="9"/>
      <c r="G412" s="11"/>
    </row>
    <row r="413" spans="1:7" x14ac:dyDescent="0.2">
      <c r="A413" s="12"/>
      <c r="B413" s="14"/>
      <c r="C413" s="14"/>
      <c r="D413" s="13"/>
      <c r="E413" s="13"/>
      <c r="F413" s="13"/>
      <c r="G413" s="15"/>
    </row>
    <row r="414" spans="1:7" x14ac:dyDescent="0.2">
      <c r="A414" s="8"/>
      <c r="B414" s="10"/>
      <c r="C414" s="10"/>
      <c r="D414" s="9"/>
      <c r="E414" s="9"/>
      <c r="F414" s="9"/>
      <c r="G414" s="11"/>
    </row>
    <row r="415" spans="1:7" x14ac:dyDescent="0.2">
      <c r="A415" s="12"/>
      <c r="B415" s="14"/>
      <c r="C415" s="14"/>
      <c r="D415" s="13"/>
      <c r="E415" s="13"/>
      <c r="F415" s="13"/>
      <c r="G415" s="15"/>
    </row>
    <row r="416" spans="1:7" x14ac:dyDescent="0.2">
      <c r="A416" s="8"/>
      <c r="B416" s="10"/>
      <c r="C416" s="10"/>
      <c r="D416" s="9"/>
      <c r="E416" s="9"/>
      <c r="F416" s="9"/>
      <c r="G416" s="11"/>
    </row>
    <row r="417" spans="1:7" x14ac:dyDescent="0.2">
      <c r="A417" s="12"/>
      <c r="B417" s="14"/>
      <c r="C417" s="14"/>
      <c r="D417" s="13"/>
      <c r="E417" s="13"/>
      <c r="F417" s="13"/>
      <c r="G417" s="15"/>
    </row>
    <row r="418" spans="1:7" x14ac:dyDescent="0.2">
      <c r="A418" s="8"/>
      <c r="B418" s="10"/>
      <c r="C418" s="10"/>
      <c r="D418" s="9"/>
      <c r="E418" s="9"/>
      <c r="F418" s="9"/>
      <c r="G418" s="11"/>
    </row>
    <row r="419" spans="1:7" x14ac:dyDescent="0.2">
      <c r="A419" s="12"/>
      <c r="B419" s="14"/>
      <c r="C419" s="14"/>
      <c r="D419" s="13"/>
      <c r="E419" s="13"/>
      <c r="F419" s="13"/>
      <c r="G419" s="15"/>
    </row>
    <row r="420" spans="1:7" x14ac:dyDescent="0.2">
      <c r="A420" s="8"/>
      <c r="B420" s="10"/>
      <c r="C420" s="10"/>
      <c r="D420" s="9"/>
      <c r="E420" s="9"/>
      <c r="F420" s="9"/>
      <c r="G420" s="11"/>
    </row>
    <row r="421" spans="1:7" x14ac:dyDescent="0.2">
      <c r="A421" s="12"/>
      <c r="B421" s="14"/>
      <c r="C421" s="14"/>
      <c r="D421" s="13"/>
      <c r="E421" s="13"/>
      <c r="F421" s="13"/>
      <c r="G421" s="15"/>
    </row>
    <row r="422" spans="1:7" x14ac:dyDescent="0.2">
      <c r="A422" s="8"/>
      <c r="B422" s="10"/>
      <c r="C422" s="10"/>
      <c r="D422" s="9"/>
      <c r="E422" s="9"/>
      <c r="F422" s="9"/>
      <c r="G422" s="11"/>
    </row>
    <row r="423" spans="1:7" x14ac:dyDescent="0.2">
      <c r="A423" s="12"/>
      <c r="B423" s="14"/>
      <c r="C423" s="14"/>
      <c r="D423" s="13"/>
      <c r="E423" s="13"/>
      <c r="F423" s="13"/>
      <c r="G423" s="15"/>
    </row>
    <row r="424" spans="1:7" x14ac:dyDescent="0.2">
      <c r="A424" s="8"/>
      <c r="B424" s="10"/>
      <c r="C424" s="10"/>
      <c r="D424" s="9"/>
      <c r="E424" s="9"/>
      <c r="F424" s="9"/>
      <c r="G424" s="11"/>
    </row>
    <row r="425" spans="1:7" x14ac:dyDescent="0.2">
      <c r="A425" s="12"/>
      <c r="B425" s="14"/>
      <c r="C425" s="14"/>
      <c r="D425" s="13"/>
      <c r="E425" s="13"/>
      <c r="F425" s="13"/>
      <c r="G425" s="15"/>
    </row>
    <row r="426" spans="1:7" x14ac:dyDescent="0.2">
      <c r="A426" s="8"/>
      <c r="B426" s="10"/>
      <c r="C426" s="10"/>
      <c r="D426" s="9"/>
      <c r="E426" s="9"/>
      <c r="F426" s="9"/>
      <c r="G426" s="11"/>
    </row>
    <row r="427" spans="1:7" x14ac:dyDescent="0.2">
      <c r="A427" s="12"/>
      <c r="B427" s="14"/>
      <c r="C427" s="14"/>
      <c r="D427" s="13"/>
      <c r="E427" s="13"/>
      <c r="F427" s="13"/>
      <c r="G427" s="15"/>
    </row>
    <row r="428" spans="1:7" x14ac:dyDescent="0.2">
      <c r="A428" s="8"/>
      <c r="B428" s="10"/>
      <c r="C428" s="10"/>
      <c r="D428" s="9"/>
      <c r="E428" s="9"/>
      <c r="F428" s="9"/>
      <c r="G428" s="11"/>
    </row>
    <row r="429" spans="1:7" x14ac:dyDescent="0.2">
      <c r="A429" s="12"/>
      <c r="B429" s="14"/>
      <c r="C429" s="14"/>
      <c r="D429" s="13"/>
      <c r="E429" s="13"/>
      <c r="F429" s="13"/>
      <c r="G429" s="15"/>
    </row>
    <row r="430" spans="1:7" x14ac:dyDescent="0.2">
      <c r="A430" s="8"/>
      <c r="B430" s="10"/>
      <c r="C430" s="10"/>
      <c r="D430" s="9"/>
      <c r="E430" s="9"/>
      <c r="F430" s="9"/>
      <c r="G430" s="11"/>
    </row>
    <row r="431" spans="1:7" x14ac:dyDescent="0.2">
      <c r="A431" s="12"/>
      <c r="B431" s="14"/>
      <c r="C431" s="14"/>
      <c r="D431" s="13"/>
      <c r="E431" s="13"/>
      <c r="F431" s="13"/>
      <c r="G431" s="15"/>
    </row>
    <row r="432" spans="1:7" x14ac:dyDescent="0.2">
      <c r="A432" s="8"/>
      <c r="B432" s="10"/>
      <c r="C432" s="10"/>
      <c r="D432" s="9"/>
      <c r="E432" s="9"/>
      <c r="F432" s="9"/>
      <c r="G432" s="11"/>
    </row>
    <row r="433" spans="1:7" x14ac:dyDescent="0.2">
      <c r="A433" s="12"/>
      <c r="B433" s="14"/>
      <c r="C433" s="14"/>
      <c r="D433" s="13"/>
      <c r="E433" s="13"/>
      <c r="F433" s="13"/>
      <c r="G433" s="15"/>
    </row>
    <row r="434" spans="1:7" x14ac:dyDescent="0.2">
      <c r="A434" s="8"/>
      <c r="B434" s="10"/>
      <c r="C434" s="10"/>
      <c r="D434" s="9"/>
      <c r="E434" s="9"/>
      <c r="F434" s="9"/>
      <c r="G434" s="11"/>
    </row>
    <row r="435" spans="1:7" x14ac:dyDescent="0.2">
      <c r="A435" s="12"/>
      <c r="B435" s="14"/>
      <c r="C435" s="14"/>
      <c r="D435" s="13"/>
      <c r="E435" s="13"/>
      <c r="F435" s="13"/>
      <c r="G435" s="15"/>
    </row>
    <row r="436" spans="1:7" x14ac:dyDescent="0.2">
      <c r="A436" s="8"/>
      <c r="B436" s="10"/>
      <c r="C436" s="10"/>
      <c r="D436" s="9"/>
      <c r="E436" s="9"/>
      <c r="F436" s="9"/>
      <c r="G436" s="11"/>
    </row>
    <row r="437" spans="1:7" x14ac:dyDescent="0.2">
      <c r="A437" s="12"/>
      <c r="B437" s="14"/>
      <c r="C437" s="14"/>
      <c r="D437" s="13"/>
      <c r="E437" s="13"/>
      <c r="F437" s="13"/>
      <c r="G437" s="15"/>
    </row>
    <row r="438" spans="1:7" x14ac:dyDescent="0.2">
      <c r="A438" s="8"/>
      <c r="B438" s="10"/>
      <c r="C438" s="10"/>
      <c r="D438" s="9"/>
      <c r="E438" s="9"/>
      <c r="F438" s="9"/>
      <c r="G438" s="11"/>
    </row>
    <row r="439" spans="1:7" x14ac:dyDescent="0.2">
      <c r="A439" s="12"/>
      <c r="B439" s="14"/>
      <c r="C439" s="14"/>
      <c r="D439" s="13"/>
      <c r="E439" s="13"/>
      <c r="F439" s="13"/>
      <c r="G439" s="15"/>
    </row>
    <row r="440" spans="1:7" x14ac:dyDescent="0.2">
      <c r="A440" s="8"/>
      <c r="B440" s="10"/>
      <c r="C440" s="10"/>
      <c r="D440" s="9"/>
      <c r="E440" s="9"/>
      <c r="F440" s="9"/>
      <c r="G440" s="11"/>
    </row>
    <row r="441" spans="1:7" x14ac:dyDescent="0.2">
      <c r="A441" s="12"/>
      <c r="B441" s="14"/>
      <c r="C441" s="14"/>
      <c r="D441" s="13"/>
      <c r="E441" s="13"/>
      <c r="F441" s="13"/>
      <c r="G441" s="15"/>
    </row>
    <row r="442" spans="1:7" x14ac:dyDescent="0.2">
      <c r="A442" s="8"/>
      <c r="B442" s="10"/>
      <c r="C442" s="10"/>
      <c r="D442" s="9"/>
      <c r="E442" s="9"/>
      <c r="F442" s="9"/>
      <c r="G442" s="11"/>
    </row>
    <row r="443" spans="1:7" x14ac:dyDescent="0.2">
      <c r="A443" s="12"/>
      <c r="B443" s="14"/>
      <c r="C443" s="14"/>
      <c r="D443" s="13"/>
      <c r="E443" s="13"/>
      <c r="F443" s="13"/>
      <c r="G443" s="15"/>
    </row>
    <row r="444" spans="1:7" x14ac:dyDescent="0.2">
      <c r="A444" s="8"/>
      <c r="B444" s="10"/>
      <c r="C444" s="10"/>
      <c r="D444" s="9"/>
      <c r="E444" s="9"/>
      <c r="F444" s="9"/>
      <c r="G444" s="11"/>
    </row>
    <row r="445" spans="1:7" x14ac:dyDescent="0.2">
      <c r="A445" s="12"/>
      <c r="B445" s="14"/>
      <c r="C445" s="14"/>
      <c r="D445" s="13"/>
      <c r="E445" s="13"/>
      <c r="F445" s="13"/>
      <c r="G445" s="15"/>
    </row>
    <row r="446" spans="1:7" x14ac:dyDescent="0.2">
      <c r="A446" s="8"/>
      <c r="B446" s="10"/>
      <c r="C446" s="10"/>
      <c r="D446" s="9"/>
      <c r="E446" s="9"/>
      <c r="F446" s="9"/>
      <c r="G446" s="11"/>
    </row>
    <row r="447" spans="1:7" x14ac:dyDescent="0.2">
      <c r="A447" s="12"/>
      <c r="B447" s="14"/>
      <c r="C447" s="14"/>
      <c r="D447" s="13"/>
      <c r="E447" s="13"/>
      <c r="F447" s="13"/>
      <c r="G447" s="15"/>
    </row>
    <row r="448" spans="1:7" x14ac:dyDescent="0.2">
      <c r="A448" s="8"/>
      <c r="B448" s="10"/>
      <c r="C448" s="10"/>
      <c r="D448" s="9"/>
      <c r="E448" s="9"/>
      <c r="F448" s="9"/>
      <c r="G448" s="11"/>
    </row>
    <row r="449" spans="1:7" x14ac:dyDescent="0.2">
      <c r="A449" s="12"/>
      <c r="B449" s="14"/>
      <c r="C449" s="14"/>
      <c r="D449" s="13"/>
      <c r="E449" s="13"/>
      <c r="F449" s="13"/>
      <c r="G449" s="15"/>
    </row>
    <row r="450" spans="1:7" x14ac:dyDescent="0.2">
      <c r="A450" s="8"/>
      <c r="B450" s="10"/>
      <c r="C450" s="10"/>
      <c r="D450" s="9"/>
      <c r="E450" s="9"/>
      <c r="F450" s="9"/>
      <c r="G450" s="11"/>
    </row>
    <row r="451" spans="1:7" x14ac:dyDescent="0.2">
      <c r="A451" s="12"/>
      <c r="B451" s="14"/>
      <c r="C451" s="14"/>
      <c r="D451" s="13"/>
      <c r="E451" s="13"/>
      <c r="F451" s="13"/>
      <c r="G451" s="15"/>
    </row>
    <row r="452" spans="1:7" x14ac:dyDescent="0.2">
      <c r="A452" s="8"/>
      <c r="B452" s="10"/>
      <c r="C452" s="10"/>
      <c r="D452" s="9"/>
      <c r="E452" s="9"/>
      <c r="F452" s="9"/>
      <c r="G452" s="11"/>
    </row>
    <row r="453" spans="1:7" x14ac:dyDescent="0.2">
      <c r="A453" s="12"/>
      <c r="B453" s="14"/>
      <c r="C453" s="14"/>
      <c r="D453" s="13"/>
      <c r="E453" s="13"/>
      <c r="F453" s="13"/>
      <c r="G453" s="15"/>
    </row>
    <row r="454" spans="1:7" x14ac:dyDescent="0.2">
      <c r="A454" s="8"/>
      <c r="B454" s="10"/>
      <c r="C454" s="10"/>
      <c r="D454" s="9"/>
      <c r="E454" s="9"/>
      <c r="F454" s="9"/>
      <c r="G454" s="11"/>
    </row>
    <row r="455" spans="1:7" x14ac:dyDescent="0.2">
      <c r="A455" s="12"/>
      <c r="B455" s="14"/>
      <c r="C455" s="14"/>
      <c r="D455" s="13"/>
      <c r="E455" s="13"/>
      <c r="F455" s="13"/>
      <c r="G455" s="15"/>
    </row>
    <row r="456" spans="1:7" x14ac:dyDescent="0.2">
      <c r="A456" s="8"/>
      <c r="B456" s="10"/>
      <c r="C456" s="10"/>
      <c r="D456" s="9"/>
      <c r="E456" s="9"/>
      <c r="F456" s="9"/>
      <c r="G456" s="11"/>
    </row>
    <row r="457" spans="1:7" x14ac:dyDescent="0.2">
      <c r="A457" s="12"/>
      <c r="B457" s="14"/>
      <c r="C457" s="14"/>
      <c r="D457" s="13"/>
      <c r="E457" s="13"/>
      <c r="F457" s="13"/>
      <c r="G457" s="15"/>
    </row>
    <row r="458" spans="1:7" x14ac:dyDescent="0.2">
      <c r="A458" s="8"/>
      <c r="B458" s="10"/>
      <c r="C458" s="10"/>
      <c r="D458" s="9"/>
      <c r="E458" s="9"/>
      <c r="F458" s="9"/>
      <c r="G458" s="11"/>
    </row>
    <row r="459" spans="1:7" x14ac:dyDescent="0.2">
      <c r="A459" s="12"/>
      <c r="B459" s="14"/>
      <c r="C459" s="14"/>
      <c r="D459" s="13"/>
      <c r="E459" s="13"/>
      <c r="F459" s="13"/>
      <c r="G459" s="15"/>
    </row>
    <row r="460" spans="1:7" x14ac:dyDescent="0.2">
      <c r="A460" s="8"/>
      <c r="B460" s="10"/>
      <c r="C460" s="10"/>
      <c r="D460" s="9"/>
      <c r="E460" s="9"/>
      <c r="F460" s="9"/>
      <c r="G460" s="11"/>
    </row>
    <row r="461" spans="1:7" x14ac:dyDescent="0.2">
      <c r="A461" s="12"/>
      <c r="B461" s="14"/>
      <c r="C461" s="14"/>
      <c r="D461" s="13"/>
      <c r="E461" s="13"/>
      <c r="F461" s="13"/>
      <c r="G461" s="15"/>
    </row>
    <row r="462" spans="1:7" x14ac:dyDescent="0.2">
      <c r="A462" s="8"/>
      <c r="B462" s="10"/>
      <c r="C462" s="10"/>
      <c r="D462" s="9"/>
      <c r="E462" s="9"/>
      <c r="F462" s="9"/>
      <c r="G462" s="11"/>
    </row>
    <row r="463" spans="1:7" x14ac:dyDescent="0.2">
      <c r="A463" s="12"/>
      <c r="B463" s="14"/>
      <c r="C463" s="14"/>
      <c r="D463" s="13"/>
      <c r="E463" s="13"/>
      <c r="F463" s="13"/>
      <c r="G463" s="15"/>
    </row>
    <row r="464" spans="1:7" x14ac:dyDescent="0.2">
      <c r="A464" s="8"/>
      <c r="B464" s="10"/>
      <c r="C464" s="10"/>
      <c r="D464" s="9"/>
      <c r="E464" s="9"/>
      <c r="F464" s="9"/>
      <c r="G464" s="11"/>
    </row>
    <row r="465" spans="1:7" x14ac:dyDescent="0.2">
      <c r="A465" s="12"/>
      <c r="B465" s="14"/>
      <c r="C465" s="14"/>
      <c r="D465" s="13"/>
      <c r="E465" s="13"/>
      <c r="F465" s="13"/>
      <c r="G465" s="15"/>
    </row>
    <row r="466" spans="1:7" x14ac:dyDescent="0.2">
      <c r="A466" s="8"/>
      <c r="B466" s="10"/>
      <c r="C466" s="10"/>
      <c r="D466" s="9"/>
      <c r="E466" s="9"/>
      <c r="F466" s="9"/>
      <c r="G466" s="11"/>
    </row>
    <row r="467" spans="1:7" x14ac:dyDescent="0.2">
      <c r="A467" s="12"/>
      <c r="B467" s="14"/>
      <c r="C467" s="14"/>
      <c r="D467" s="13"/>
      <c r="E467" s="13"/>
      <c r="F467" s="13"/>
      <c r="G467" s="15"/>
    </row>
    <row r="468" spans="1:7" x14ac:dyDescent="0.2">
      <c r="A468" s="8"/>
      <c r="B468" s="10"/>
      <c r="C468" s="10"/>
      <c r="D468" s="9"/>
      <c r="E468" s="9"/>
      <c r="F468" s="9"/>
      <c r="G468" s="11"/>
    </row>
    <row r="469" spans="1:7" x14ac:dyDescent="0.2">
      <c r="A469" s="12"/>
      <c r="B469" s="14"/>
      <c r="C469" s="14"/>
      <c r="D469" s="13"/>
      <c r="E469" s="13"/>
      <c r="F469" s="13"/>
      <c r="G469" s="15"/>
    </row>
    <row r="470" spans="1:7" x14ac:dyDescent="0.2">
      <c r="A470" s="8"/>
      <c r="B470" s="10"/>
      <c r="C470" s="10"/>
      <c r="D470" s="9"/>
      <c r="E470" s="9"/>
      <c r="F470" s="9"/>
      <c r="G470" s="11"/>
    </row>
    <row r="471" spans="1:7" x14ac:dyDescent="0.2">
      <c r="A471" s="12"/>
      <c r="B471" s="14"/>
      <c r="C471" s="14"/>
      <c r="D471" s="13"/>
      <c r="E471" s="13"/>
      <c r="F471" s="13"/>
      <c r="G471" s="15"/>
    </row>
    <row r="472" spans="1:7" x14ac:dyDescent="0.2">
      <c r="A472" s="8"/>
      <c r="B472" s="10"/>
      <c r="C472" s="10"/>
      <c r="D472" s="9"/>
      <c r="E472" s="9"/>
      <c r="F472" s="9"/>
      <c r="G472" s="11"/>
    </row>
    <row r="473" spans="1:7" x14ac:dyDescent="0.2">
      <c r="A473" s="12"/>
      <c r="B473" s="14"/>
      <c r="C473" s="14"/>
      <c r="D473" s="13"/>
      <c r="E473" s="13"/>
      <c r="F473" s="13"/>
      <c r="G473" s="15"/>
    </row>
    <row r="474" spans="1:7" x14ac:dyDescent="0.2">
      <c r="A474" s="8"/>
      <c r="B474" s="10"/>
      <c r="C474" s="10"/>
      <c r="D474" s="9"/>
      <c r="E474" s="9"/>
      <c r="F474" s="9"/>
      <c r="G474" s="11"/>
    </row>
    <row r="475" spans="1:7" x14ac:dyDescent="0.2">
      <c r="A475" s="12"/>
      <c r="B475" s="14"/>
      <c r="C475" s="14"/>
      <c r="D475" s="13"/>
      <c r="E475" s="13"/>
      <c r="F475" s="13"/>
      <c r="G475" s="15"/>
    </row>
    <row r="476" spans="1:7" x14ac:dyDescent="0.2">
      <c r="A476" s="8"/>
      <c r="B476" s="10"/>
      <c r="C476" s="10"/>
      <c r="D476" s="9"/>
      <c r="E476" s="9"/>
      <c r="F476" s="9"/>
      <c r="G476" s="11"/>
    </row>
    <row r="477" spans="1:7" x14ac:dyDescent="0.2">
      <c r="A477" s="12"/>
      <c r="B477" s="14"/>
      <c r="C477" s="14"/>
      <c r="D477" s="13"/>
      <c r="E477" s="13"/>
      <c r="F477" s="13"/>
      <c r="G477" s="15"/>
    </row>
    <row r="478" spans="1:7" x14ac:dyDescent="0.2">
      <c r="A478" s="8"/>
      <c r="B478" s="10"/>
      <c r="C478" s="10"/>
      <c r="D478" s="9"/>
      <c r="E478" s="9"/>
      <c r="F478" s="9"/>
      <c r="G478" s="11"/>
    </row>
    <row r="479" spans="1:7" x14ac:dyDescent="0.2">
      <c r="A479" s="12"/>
      <c r="B479" s="14"/>
      <c r="C479" s="14"/>
      <c r="D479" s="13"/>
      <c r="E479" s="13"/>
      <c r="F479" s="13"/>
      <c r="G479" s="15"/>
    </row>
    <row r="480" spans="1:7" x14ac:dyDescent="0.2">
      <c r="A480" s="8"/>
      <c r="B480" s="10"/>
      <c r="C480" s="10"/>
      <c r="D480" s="9"/>
      <c r="E480" s="9"/>
      <c r="F480" s="9"/>
      <c r="G480" s="11"/>
    </row>
    <row r="481" spans="1:7" x14ac:dyDescent="0.2">
      <c r="A481" s="12"/>
      <c r="B481" s="14"/>
      <c r="C481" s="14"/>
      <c r="D481" s="13"/>
      <c r="E481" s="13"/>
      <c r="F481" s="13"/>
      <c r="G481" s="15"/>
    </row>
    <row r="482" spans="1:7" x14ac:dyDescent="0.2">
      <c r="A482" s="8"/>
      <c r="B482" s="10"/>
      <c r="C482" s="10"/>
      <c r="D482" s="9"/>
      <c r="E482" s="9"/>
      <c r="F482" s="9"/>
      <c r="G482" s="11"/>
    </row>
    <row r="483" spans="1:7" x14ac:dyDescent="0.2">
      <c r="A483" s="12"/>
      <c r="B483" s="14"/>
      <c r="C483" s="14"/>
      <c r="D483" s="13"/>
      <c r="E483" s="13"/>
      <c r="F483" s="13"/>
      <c r="G483" s="15"/>
    </row>
    <row r="484" spans="1:7" x14ac:dyDescent="0.2">
      <c r="A484" s="8"/>
      <c r="B484" s="10"/>
      <c r="C484" s="10"/>
      <c r="D484" s="9"/>
      <c r="E484" s="9"/>
      <c r="F484" s="9"/>
      <c r="G484" s="11"/>
    </row>
    <row r="485" spans="1:7" x14ac:dyDescent="0.2">
      <c r="A485" s="12"/>
      <c r="B485" s="14"/>
      <c r="C485" s="14"/>
      <c r="D485" s="13"/>
      <c r="E485" s="13"/>
      <c r="F485" s="13"/>
      <c r="G485" s="15"/>
    </row>
    <row r="486" spans="1:7" x14ac:dyDescent="0.2">
      <c r="A486" s="8"/>
      <c r="B486" s="10"/>
      <c r="C486" s="10"/>
      <c r="D486" s="9"/>
      <c r="E486" s="9"/>
      <c r="F486" s="9"/>
      <c r="G486" s="11"/>
    </row>
    <row r="487" spans="1:7" x14ac:dyDescent="0.2">
      <c r="A487" s="12"/>
      <c r="B487" s="14"/>
      <c r="C487" s="14"/>
      <c r="D487" s="13"/>
      <c r="E487" s="13"/>
      <c r="F487" s="13"/>
      <c r="G487" s="15"/>
    </row>
    <row r="488" spans="1:7" x14ac:dyDescent="0.2">
      <c r="A488" s="8"/>
      <c r="B488" s="10"/>
      <c r="C488" s="10"/>
      <c r="D488" s="9"/>
      <c r="E488" s="9"/>
      <c r="F488" s="9"/>
      <c r="G488" s="11"/>
    </row>
    <row r="489" spans="1:7" x14ac:dyDescent="0.2">
      <c r="A489" s="12"/>
      <c r="B489" s="14"/>
      <c r="C489" s="14"/>
      <c r="D489" s="13"/>
      <c r="E489" s="13"/>
      <c r="F489" s="13"/>
      <c r="G489" s="15"/>
    </row>
    <row r="490" spans="1:7" x14ac:dyDescent="0.2">
      <c r="A490" s="8"/>
      <c r="B490" s="10"/>
      <c r="C490" s="10"/>
      <c r="D490" s="9"/>
      <c r="E490" s="9"/>
      <c r="F490" s="9"/>
      <c r="G490" s="11"/>
    </row>
    <row r="491" spans="1:7" x14ac:dyDescent="0.2">
      <c r="A491" s="12"/>
      <c r="B491" s="14"/>
      <c r="C491" s="14"/>
      <c r="D491" s="13"/>
      <c r="E491" s="13"/>
      <c r="F491" s="13"/>
      <c r="G491" s="15"/>
    </row>
    <row r="492" spans="1:7" x14ac:dyDescent="0.2">
      <c r="A492" s="8"/>
      <c r="B492" s="10"/>
      <c r="C492" s="10"/>
      <c r="D492" s="9"/>
      <c r="E492" s="9"/>
      <c r="F492" s="9"/>
      <c r="G492" s="11"/>
    </row>
    <row r="493" spans="1:7" x14ac:dyDescent="0.2">
      <c r="A493" s="12"/>
      <c r="B493" s="14"/>
      <c r="C493" s="14"/>
      <c r="D493" s="13"/>
      <c r="E493" s="13"/>
      <c r="F493" s="13"/>
      <c r="G493" s="15"/>
    </row>
    <row r="494" spans="1:7" x14ac:dyDescent="0.2">
      <c r="A494" s="8"/>
      <c r="B494" s="10"/>
      <c r="C494" s="10"/>
      <c r="D494" s="9"/>
      <c r="E494" s="9"/>
      <c r="F494" s="9"/>
      <c r="G494" s="11"/>
    </row>
    <row r="495" spans="1:7" x14ac:dyDescent="0.2">
      <c r="A495" s="12"/>
      <c r="B495" s="14"/>
      <c r="C495" s="14"/>
      <c r="D495" s="13"/>
      <c r="E495" s="13"/>
      <c r="F495" s="13"/>
      <c r="G495" s="15"/>
    </row>
    <row r="496" spans="1:7" x14ac:dyDescent="0.2">
      <c r="A496" s="8"/>
      <c r="B496" s="10"/>
      <c r="C496" s="10"/>
      <c r="D496" s="9"/>
      <c r="E496" s="9"/>
      <c r="F496" s="9"/>
      <c r="G496" s="11"/>
    </row>
    <row r="497" spans="1:7" x14ac:dyDescent="0.2">
      <c r="A497" s="12"/>
      <c r="B497" s="14"/>
      <c r="C497" s="14"/>
      <c r="D497" s="13"/>
      <c r="E497" s="13"/>
      <c r="F497" s="13"/>
      <c r="G497" s="15"/>
    </row>
    <row r="498" spans="1:7" x14ac:dyDescent="0.2">
      <c r="A498" s="8"/>
      <c r="B498" s="10"/>
      <c r="C498" s="10"/>
      <c r="D498" s="9"/>
      <c r="E498" s="9"/>
      <c r="F498" s="9"/>
      <c r="G498" s="11"/>
    </row>
    <row r="499" spans="1:7" x14ac:dyDescent="0.2">
      <c r="A499" s="12"/>
      <c r="B499" s="14"/>
      <c r="C499" s="14"/>
      <c r="D499" s="13"/>
      <c r="E499" s="13"/>
      <c r="F499" s="13"/>
      <c r="G499" s="15"/>
    </row>
    <row r="500" spans="1:7" x14ac:dyDescent="0.2">
      <c r="A500" s="8"/>
      <c r="B500" s="10"/>
      <c r="C500" s="10"/>
      <c r="D500" s="9"/>
      <c r="E500" s="9"/>
      <c r="F500" s="9"/>
      <c r="G500" s="11"/>
    </row>
    <row r="501" spans="1:7" x14ac:dyDescent="0.2">
      <c r="A501" s="12"/>
      <c r="B501" s="14"/>
      <c r="C501" s="14"/>
      <c r="D501" s="13"/>
      <c r="E501" s="13"/>
      <c r="F501" s="13"/>
      <c r="G501" s="15"/>
    </row>
    <row r="502" spans="1:7" x14ac:dyDescent="0.2">
      <c r="A502" s="8"/>
      <c r="B502" s="10"/>
      <c r="C502" s="10"/>
      <c r="D502" s="9"/>
      <c r="E502" s="9"/>
      <c r="F502" s="9"/>
      <c r="G502" s="11"/>
    </row>
    <row r="503" spans="1:7" x14ac:dyDescent="0.2">
      <c r="A503" s="12"/>
      <c r="B503" s="14"/>
      <c r="C503" s="14"/>
      <c r="D503" s="13"/>
      <c r="E503" s="13"/>
      <c r="F503" s="13"/>
      <c r="G503" s="15"/>
    </row>
    <row r="504" spans="1:7" x14ac:dyDescent="0.2">
      <c r="A504" s="8"/>
      <c r="B504" s="10"/>
      <c r="C504" s="10"/>
      <c r="D504" s="9"/>
      <c r="E504" s="9"/>
      <c r="F504" s="9"/>
      <c r="G504" s="11"/>
    </row>
    <row r="505" spans="1:7" x14ac:dyDescent="0.2">
      <c r="A505" s="12"/>
      <c r="B505" s="14"/>
      <c r="C505" s="14"/>
      <c r="D505" s="13"/>
      <c r="E505" s="13"/>
      <c r="F505" s="13"/>
      <c r="G505" s="15"/>
    </row>
    <row r="506" spans="1:7" x14ac:dyDescent="0.2">
      <c r="A506" s="8"/>
      <c r="B506" s="10"/>
      <c r="C506" s="10"/>
      <c r="D506" s="9"/>
      <c r="E506" s="9"/>
      <c r="F506" s="9"/>
      <c r="G506" s="11"/>
    </row>
    <row r="507" spans="1:7" x14ac:dyDescent="0.2">
      <c r="A507" s="12"/>
      <c r="B507" s="14"/>
      <c r="C507" s="14"/>
      <c r="D507" s="13"/>
      <c r="E507" s="13"/>
      <c r="F507" s="13"/>
      <c r="G507" s="15"/>
    </row>
    <row r="508" spans="1:7" x14ac:dyDescent="0.2">
      <c r="A508" s="8"/>
      <c r="B508" s="10"/>
      <c r="C508" s="10"/>
      <c r="D508" s="9"/>
      <c r="E508" s="9"/>
      <c r="F508" s="9"/>
      <c r="G508" s="11"/>
    </row>
    <row r="509" spans="1:7" x14ac:dyDescent="0.2">
      <c r="A509" s="12"/>
      <c r="B509" s="14"/>
      <c r="C509" s="14"/>
      <c r="D509" s="13"/>
      <c r="E509" s="13"/>
      <c r="F509" s="13"/>
      <c r="G509" s="15"/>
    </row>
    <row r="510" spans="1:7" x14ac:dyDescent="0.2">
      <c r="A510" s="8"/>
      <c r="B510" s="10"/>
      <c r="C510" s="10"/>
      <c r="D510" s="9"/>
      <c r="E510" s="9"/>
      <c r="F510" s="9"/>
      <c r="G510" s="11"/>
    </row>
    <row r="511" spans="1:7" x14ac:dyDescent="0.2">
      <c r="A511" s="12"/>
      <c r="B511" s="14"/>
      <c r="C511" s="14"/>
      <c r="D511" s="13"/>
      <c r="E511" s="13"/>
      <c r="F511" s="13"/>
      <c r="G511" s="15"/>
    </row>
    <row r="512" spans="1:7" x14ac:dyDescent="0.2">
      <c r="A512" s="8"/>
      <c r="B512" s="10"/>
      <c r="C512" s="10"/>
      <c r="D512" s="9"/>
      <c r="E512" s="9"/>
      <c r="F512" s="9"/>
      <c r="G512" s="11"/>
    </row>
    <row r="513" spans="1:7" x14ac:dyDescent="0.2">
      <c r="A513" s="12"/>
      <c r="B513" s="14"/>
      <c r="C513" s="14"/>
      <c r="D513" s="13"/>
      <c r="E513" s="13"/>
      <c r="F513" s="13"/>
      <c r="G513" s="15"/>
    </row>
    <row r="514" spans="1:7" x14ac:dyDescent="0.2">
      <c r="A514" s="8"/>
      <c r="B514" s="10"/>
      <c r="C514" s="10"/>
      <c r="D514" s="9"/>
      <c r="E514" s="9"/>
      <c r="F514" s="9"/>
      <c r="G514" s="11"/>
    </row>
    <row r="515" spans="1:7" x14ac:dyDescent="0.2">
      <c r="A515" s="12"/>
      <c r="B515" s="14"/>
      <c r="C515" s="14"/>
      <c r="D515" s="13"/>
      <c r="E515" s="13"/>
      <c r="F515" s="13"/>
      <c r="G515" s="15"/>
    </row>
    <row r="516" spans="1:7" x14ac:dyDescent="0.2">
      <c r="A516" s="8"/>
      <c r="B516" s="10"/>
      <c r="C516" s="10"/>
      <c r="D516" s="9"/>
      <c r="E516" s="9"/>
      <c r="F516" s="9"/>
      <c r="G516" s="11"/>
    </row>
    <row r="517" spans="1:7" x14ac:dyDescent="0.2">
      <c r="A517" s="12"/>
      <c r="B517" s="14"/>
      <c r="C517" s="14"/>
      <c r="D517" s="13"/>
      <c r="E517" s="13"/>
      <c r="F517" s="13"/>
      <c r="G517" s="15"/>
    </row>
    <row r="518" spans="1:7" x14ac:dyDescent="0.2">
      <c r="A518" s="8"/>
      <c r="B518" s="10"/>
      <c r="C518" s="10"/>
      <c r="D518" s="9"/>
      <c r="E518" s="9"/>
      <c r="F518" s="9"/>
      <c r="G518" s="11"/>
    </row>
    <row r="519" spans="1:7" x14ac:dyDescent="0.2">
      <c r="A519" s="12"/>
      <c r="B519" s="14"/>
      <c r="C519" s="14"/>
      <c r="D519" s="13"/>
      <c r="E519" s="13"/>
      <c r="F519" s="13"/>
      <c r="G519" s="15"/>
    </row>
    <row r="520" spans="1:7" x14ac:dyDescent="0.2">
      <c r="A520" s="8"/>
      <c r="B520" s="10"/>
      <c r="C520" s="10"/>
      <c r="D520" s="9"/>
      <c r="E520" s="9"/>
      <c r="F520" s="9"/>
      <c r="G520" s="11"/>
    </row>
    <row r="521" spans="1:7" x14ac:dyDescent="0.2">
      <c r="A521" s="12"/>
      <c r="B521" s="14"/>
      <c r="C521" s="14"/>
      <c r="D521" s="13"/>
      <c r="E521" s="13"/>
      <c r="F521" s="13"/>
      <c r="G521" s="15"/>
    </row>
    <row r="522" spans="1:7" x14ac:dyDescent="0.2">
      <c r="A522" s="8"/>
      <c r="B522" s="10"/>
      <c r="C522" s="10"/>
      <c r="D522" s="9"/>
      <c r="E522" s="9"/>
      <c r="F522" s="9"/>
      <c r="G522" s="11"/>
    </row>
    <row r="523" spans="1:7" x14ac:dyDescent="0.2">
      <c r="A523" s="12"/>
      <c r="B523" s="14"/>
      <c r="C523" s="14"/>
      <c r="D523" s="13"/>
      <c r="E523" s="13"/>
      <c r="F523" s="13"/>
      <c r="G523" s="15"/>
    </row>
    <row r="524" spans="1:7" x14ac:dyDescent="0.2">
      <c r="A524" s="8"/>
      <c r="B524" s="10"/>
      <c r="C524" s="10"/>
      <c r="D524" s="9"/>
      <c r="E524" s="9"/>
      <c r="F524" s="9"/>
      <c r="G524" s="11"/>
    </row>
    <row r="525" spans="1:7" x14ac:dyDescent="0.2">
      <c r="A525" s="12"/>
      <c r="B525" s="14"/>
      <c r="C525" s="14"/>
      <c r="D525" s="13"/>
      <c r="E525" s="13"/>
      <c r="F525" s="13"/>
      <c r="G525" s="15"/>
    </row>
    <row r="526" spans="1:7" x14ac:dyDescent="0.2">
      <c r="A526" s="8"/>
      <c r="B526" s="10"/>
      <c r="C526" s="10"/>
      <c r="D526" s="9"/>
      <c r="E526" s="9"/>
      <c r="F526" s="9"/>
      <c r="G526" s="11"/>
    </row>
    <row r="527" spans="1:7" x14ac:dyDescent="0.2">
      <c r="A527" s="12"/>
      <c r="B527" s="14"/>
      <c r="C527" s="14"/>
      <c r="D527" s="13"/>
      <c r="E527" s="13"/>
      <c r="F527" s="13"/>
      <c r="G527" s="15"/>
    </row>
    <row r="528" spans="1:7" x14ac:dyDescent="0.2">
      <c r="A528" s="8"/>
      <c r="B528" s="10"/>
      <c r="C528" s="10"/>
      <c r="D528" s="9"/>
      <c r="E528" s="9"/>
      <c r="F528" s="9"/>
      <c r="G528" s="11"/>
    </row>
    <row r="529" spans="1:7" x14ac:dyDescent="0.2">
      <c r="A529" s="12"/>
      <c r="B529" s="14"/>
      <c r="C529" s="14"/>
      <c r="D529" s="13"/>
      <c r="E529" s="13"/>
      <c r="F529" s="13"/>
      <c r="G529" s="15"/>
    </row>
    <row r="530" spans="1:7" x14ac:dyDescent="0.2">
      <c r="A530" s="8"/>
      <c r="B530" s="10"/>
      <c r="C530" s="10"/>
      <c r="D530" s="9"/>
      <c r="E530" s="9"/>
      <c r="F530" s="9"/>
      <c r="G530" s="11"/>
    </row>
    <row r="531" spans="1:7" x14ac:dyDescent="0.2">
      <c r="A531" s="12"/>
      <c r="B531" s="14"/>
      <c r="C531" s="14"/>
      <c r="D531" s="13"/>
      <c r="E531" s="13"/>
      <c r="F531" s="13"/>
      <c r="G531" s="15"/>
    </row>
    <row r="532" spans="1:7" x14ac:dyDescent="0.2">
      <c r="A532" s="8"/>
      <c r="B532" s="10"/>
      <c r="C532" s="10"/>
      <c r="D532" s="9"/>
      <c r="E532" s="9"/>
      <c r="F532" s="9"/>
      <c r="G532" s="11"/>
    </row>
    <row r="533" spans="1:7" x14ac:dyDescent="0.2">
      <c r="A533" s="12"/>
      <c r="B533" s="14"/>
      <c r="C533" s="14"/>
      <c r="D533" s="13"/>
      <c r="E533" s="13"/>
      <c r="F533" s="13"/>
      <c r="G533" s="15"/>
    </row>
    <row r="534" spans="1:7" x14ac:dyDescent="0.2">
      <c r="A534" s="8"/>
      <c r="B534" s="10"/>
      <c r="C534" s="10"/>
      <c r="D534" s="9"/>
      <c r="E534" s="9"/>
      <c r="F534" s="9"/>
      <c r="G534" s="11"/>
    </row>
    <row r="535" spans="1:7" x14ac:dyDescent="0.2">
      <c r="A535" s="12"/>
      <c r="B535" s="14"/>
      <c r="C535" s="14"/>
      <c r="D535" s="13"/>
      <c r="E535" s="13"/>
      <c r="F535" s="13"/>
      <c r="G535" s="15"/>
    </row>
    <row r="536" spans="1:7" x14ac:dyDescent="0.2">
      <c r="A536" s="8"/>
      <c r="B536" s="10"/>
      <c r="C536" s="10"/>
      <c r="D536" s="9"/>
      <c r="E536" s="9"/>
      <c r="F536" s="9"/>
      <c r="G536" s="11"/>
    </row>
    <row r="537" spans="1:7" x14ac:dyDescent="0.2">
      <c r="A537" s="12"/>
      <c r="B537" s="14"/>
      <c r="C537" s="14"/>
      <c r="D537" s="13"/>
      <c r="E537" s="13"/>
      <c r="F537" s="13"/>
      <c r="G537" s="15"/>
    </row>
    <row r="538" spans="1:7" x14ac:dyDescent="0.2">
      <c r="A538" s="8"/>
      <c r="B538" s="10"/>
      <c r="C538" s="10"/>
      <c r="D538" s="9"/>
      <c r="E538" s="9"/>
      <c r="F538" s="9"/>
      <c r="G538" s="11"/>
    </row>
    <row r="539" spans="1:7" x14ac:dyDescent="0.2">
      <c r="A539" s="12"/>
      <c r="B539" s="14"/>
      <c r="C539" s="14"/>
      <c r="D539" s="13"/>
      <c r="E539" s="13"/>
      <c r="F539" s="13"/>
      <c r="G539" s="15"/>
    </row>
    <row r="540" spans="1:7" x14ac:dyDescent="0.2">
      <c r="A540" s="8"/>
      <c r="B540" s="10"/>
      <c r="C540" s="10"/>
      <c r="D540" s="9"/>
      <c r="E540" s="9"/>
      <c r="F540" s="9"/>
      <c r="G540" s="11"/>
    </row>
    <row r="541" spans="1:7" x14ac:dyDescent="0.2">
      <c r="A541" s="12"/>
      <c r="B541" s="14"/>
      <c r="C541" s="14"/>
      <c r="D541" s="13"/>
      <c r="E541" s="13"/>
      <c r="F541" s="13"/>
      <c r="G541" s="15"/>
    </row>
    <row r="542" spans="1:7" x14ac:dyDescent="0.2">
      <c r="A542" s="8"/>
      <c r="B542" s="10"/>
      <c r="C542" s="10"/>
      <c r="D542" s="9"/>
      <c r="E542" s="9"/>
      <c r="F542" s="9"/>
      <c r="G542" s="11"/>
    </row>
    <row r="543" spans="1:7" x14ac:dyDescent="0.2">
      <c r="A543" s="12"/>
      <c r="B543" s="14"/>
      <c r="C543" s="14"/>
      <c r="D543" s="13"/>
      <c r="E543" s="13"/>
      <c r="F543" s="13"/>
      <c r="G543" s="15"/>
    </row>
    <row r="544" spans="1:7" x14ac:dyDescent="0.2">
      <c r="A544" s="8"/>
      <c r="B544" s="10"/>
      <c r="C544" s="10"/>
      <c r="D544" s="9"/>
      <c r="E544" s="9"/>
      <c r="F544" s="9"/>
      <c r="G544" s="11"/>
    </row>
    <row r="545" spans="1:7" x14ac:dyDescent="0.2">
      <c r="A545" s="12"/>
      <c r="B545" s="14"/>
      <c r="C545" s="14"/>
      <c r="D545" s="13"/>
      <c r="E545" s="13"/>
      <c r="F545" s="13"/>
      <c r="G545" s="15"/>
    </row>
    <row r="546" spans="1:7" x14ac:dyDescent="0.2">
      <c r="A546" s="8"/>
      <c r="B546" s="10"/>
      <c r="C546" s="10"/>
      <c r="D546" s="9"/>
      <c r="E546" s="9"/>
      <c r="F546" s="9"/>
      <c r="G546" s="11"/>
    </row>
    <row r="547" spans="1:7" x14ac:dyDescent="0.2">
      <c r="A547" s="12"/>
      <c r="B547" s="14"/>
      <c r="C547" s="14"/>
      <c r="D547" s="13"/>
      <c r="E547" s="13"/>
      <c r="F547" s="13"/>
      <c r="G547" s="15"/>
    </row>
    <row r="548" spans="1:7" x14ac:dyDescent="0.2">
      <c r="A548" s="8"/>
      <c r="B548" s="10"/>
      <c r="C548" s="10"/>
      <c r="D548" s="9"/>
      <c r="E548" s="9"/>
      <c r="F548" s="9"/>
      <c r="G548" s="11"/>
    </row>
    <row r="549" spans="1:7" x14ac:dyDescent="0.2">
      <c r="A549" s="12"/>
      <c r="B549" s="14"/>
      <c r="C549" s="14"/>
      <c r="D549" s="13"/>
      <c r="E549" s="13"/>
      <c r="F549" s="13"/>
      <c r="G549" s="15"/>
    </row>
    <row r="550" spans="1:7" x14ac:dyDescent="0.2">
      <c r="A550" s="8"/>
      <c r="B550" s="10"/>
      <c r="C550" s="10"/>
      <c r="D550" s="9"/>
      <c r="E550" s="9"/>
      <c r="F550" s="9"/>
      <c r="G550" s="11"/>
    </row>
    <row r="551" spans="1:7" x14ac:dyDescent="0.2">
      <c r="A551" s="12"/>
      <c r="B551" s="14"/>
      <c r="C551" s="14"/>
      <c r="D551" s="13"/>
      <c r="E551" s="13"/>
      <c r="F551" s="13"/>
      <c r="G551" s="15"/>
    </row>
    <row r="552" spans="1:7" x14ac:dyDescent="0.2">
      <c r="A552" s="8"/>
      <c r="B552" s="10"/>
      <c r="C552" s="10"/>
      <c r="D552" s="9"/>
      <c r="E552" s="9"/>
      <c r="F552" s="9"/>
      <c r="G552" s="11"/>
    </row>
    <row r="553" spans="1:7" x14ac:dyDescent="0.2">
      <c r="A553" s="12"/>
      <c r="B553" s="14"/>
      <c r="C553" s="14"/>
      <c r="D553" s="13"/>
      <c r="E553" s="13"/>
      <c r="F553" s="13"/>
      <c r="G553" s="15"/>
    </row>
    <row r="554" spans="1:7" x14ac:dyDescent="0.2">
      <c r="A554" s="8"/>
      <c r="B554" s="10"/>
      <c r="C554" s="10"/>
      <c r="D554" s="9"/>
      <c r="E554" s="9"/>
      <c r="F554" s="9"/>
      <c r="G554" s="11"/>
    </row>
    <row r="555" spans="1:7" x14ac:dyDescent="0.2">
      <c r="A555" s="12"/>
      <c r="B555" s="14"/>
      <c r="C555" s="14"/>
      <c r="D555" s="13"/>
      <c r="E555" s="13"/>
      <c r="F555" s="13"/>
      <c r="G555" s="15"/>
    </row>
    <row r="556" spans="1:7" x14ac:dyDescent="0.2">
      <c r="A556" s="8"/>
      <c r="B556" s="10"/>
      <c r="C556" s="10"/>
      <c r="D556" s="9"/>
      <c r="E556" s="9"/>
      <c r="F556" s="9"/>
      <c r="G556" s="11"/>
    </row>
    <row r="557" spans="1:7" x14ac:dyDescent="0.2">
      <c r="A557" s="12"/>
      <c r="B557" s="14"/>
      <c r="C557" s="14"/>
      <c r="D557" s="13"/>
      <c r="E557" s="13"/>
      <c r="F557" s="13"/>
      <c r="G557" s="15"/>
    </row>
    <row r="558" spans="1:7" x14ac:dyDescent="0.2">
      <c r="A558" s="8"/>
      <c r="B558" s="10"/>
      <c r="C558" s="10"/>
      <c r="D558" s="9"/>
      <c r="E558" s="9"/>
      <c r="F558" s="9"/>
      <c r="G558" s="11"/>
    </row>
    <row r="559" spans="1:7" x14ac:dyDescent="0.2">
      <c r="A559" s="12"/>
      <c r="B559" s="14"/>
      <c r="C559" s="14"/>
      <c r="D559" s="13"/>
      <c r="E559" s="13"/>
      <c r="F559" s="13"/>
      <c r="G559" s="15"/>
    </row>
    <row r="560" spans="1:7" x14ac:dyDescent="0.2">
      <c r="A560" s="8"/>
      <c r="B560" s="10"/>
      <c r="C560" s="10"/>
      <c r="D560" s="9"/>
      <c r="E560" s="9"/>
      <c r="F560" s="9"/>
      <c r="G560" s="11"/>
    </row>
    <row r="561" spans="1:7" x14ac:dyDescent="0.2">
      <c r="A561" s="12"/>
      <c r="B561" s="14"/>
      <c r="C561" s="14"/>
      <c r="D561" s="13"/>
      <c r="E561" s="13"/>
      <c r="F561" s="13"/>
      <c r="G561" s="15"/>
    </row>
    <row r="562" spans="1:7" x14ac:dyDescent="0.2">
      <c r="A562" s="8"/>
      <c r="B562" s="10"/>
      <c r="C562" s="10"/>
      <c r="D562" s="9"/>
      <c r="E562" s="9"/>
      <c r="F562" s="9"/>
      <c r="G562" s="11"/>
    </row>
    <row r="563" spans="1:7" x14ac:dyDescent="0.2">
      <c r="A563" s="12"/>
      <c r="B563" s="14"/>
      <c r="C563" s="14"/>
      <c r="D563" s="13"/>
      <c r="E563" s="13"/>
      <c r="F563" s="13"/>
      <c r="G563" s="15"/>
    </row>
    <row r="564" spans="1:7" x14ac:dyDescent="0.2">
      <c r="A564" s="8"/>
      <c r="B564" s="10"/>
      <c r="C564" s="10"/>
      <c r="D564" s="9"/>
      <c r="E564" s="9"/>
      <c r="F564" s="9"/>
      <c r="G564" s="11"/>
    </row>
    <row r="565" spans="1:7" x14ac:dyDescent="0.2">
      <c r="A565" s="12"/>
      <c r="B565" s="14"/>
      <c r="C565" s="14"/>
      <c r="D565" s="13"/>
      <c r="E565" s="13"/>
      <c r="F565" s="13"/>
      <c r="G565" s="15"/>
    </row>
    <row r="566" spans="1:7" x14ac:dyDescent="0.2">
      <c r="A566" s="8"/>
      <c r="B566" s="10"/>
      <c r="C566" s="10"/>
      <c r="D566" s="9"/>
      <c r="E566" s="9"/>
      <c r="F566" s="9"/>
      <c r="G566" s="11"/>
    </row>
    <row r="567" spans="1:7" x14ac:dyDescent="0.2">
      <c r="A567" s="12"/>
      <c r="B567" s="14"/>
      <c r="C567" s="14"/>
      <c r="D567" s="13"/>
      <c r="E567" s="13"/>
      <c r="F567" s="13"/>
      <c r="G567" s="15"/>
    </row>
    <row r="568" spans="1:7" x14ac:dyDescent="0.2">
      <c r="A568" s="8"/>
      <c r="B568" s="10"/>
      <c r="C568" s="10"/>
      <c r="D568" s="9"/>
      <c r="E568" s="9"/>
      <c r="F568" s="9"/>
      <c r="G568" s="11"/>
    </row>
    <row r="569" spans="1:7" x14ac:dyDescent="0.2">
      <c r="A569" s="12"/>
      <c r="B569" s="14"/>
      <c r="C569" s="14"/>
      <c r="D569" s="13"/>
      <c r="E569" s="13"/>
      <c r="F569" s="13"/>
      <c r="G569" s="15"/>
    </row>
    <row r="570" spans="1:7" x14ac:dyDescent="0.2">
      <c r="A570" s="8"/>
      <c r="B570" s="10"/>
      <c r="C570" s="10"/>
      <c r="D570" s="9"/>
      <c r="E570" s="9"/>
      <c r="F570" s="9"/>
      <c r="G570" s="11"/>
    </row>
    <row r="571" spans="1:7" x14ac:dyDescent="0.2">
      <c r="A571" s="12"/>
      <c r="B571" s="14"/>
      <c r="C571" s="14"/>
      <c r="D571" s="13"/>
      <c r="E571" s="13"/>
      <c r="F571" s="13"/>
      <c r="G571" s="15"/>
    </row>
    <row r="572" spans="1:7" x14ac:dyDescent="0.2">
      <c r="A572" s="8"/>
      <c r="B572" s="10"/>
      <c r="C572" s="10"/>
      <c r="D572" s="9"/>
      <c r="E572" s="9"/>
      <c r="F572" s="9"/>
      <c r="G572" s="11"/>
    </row>
    <row r="573" spans="1:7" x14ac:dyDescent="0.2">
      <c r="A573" s="12"/>
      <c r="B573" s="14"/>
      <c r="C573" s="14"/>
      <c r="D573" s="13"/>
      <c r="E573" s="13"/>
      <c r="F573" s="13"/>
      <c r="G573" s="15"/>
    </row>
    <row r="574" spans="1:7" x14ac:dyDescent="0.2">
      <c r="A574" s="8"/>
      <c r="B574" s="10"/>
      <c r="C574" s="10"/>
      <c r="D574" s="9"/>
      <c r="E574" s="9"/>
      <c r="F574" s="9"/>
      <c r="G574" s="11"/>
    </row>
    <row r="575" spans="1:7" x14ac:dyDescent="0.2">
      <c r="A575" s="12"/>
      <c r="B575" s="14"/>
      <c r="C575" s="14"/>
      <c r="D575" s="13"/>
      <c r="E575" s="13"/>
      <c r="F575" s="13"/>
      <c r="G575" s="15"/>
    </row>
    <row r="576" spans="1:7" x14ac:dyDescent="0.2">
      <c r="A576" s="8"/>
      <c r="B576" s="10"/>
      <c r="C576" s="10"/>
      <c r="D576" s="9"/>
      <c r="E576" s="9"/>
      <c r="F576" s="9"/>
      <c r="G576" s="11"/>
    </row>
    <row r="577" spans="1:7" x14ac:dyDescent="0.2">
      <c r="A577" s="12"/>
      <c r="B577" s="14"/>
      <c r="C577" s="14"/>
      <c r="D577" s="13"/>
      <c r="E577" s="13"/>
      <c r="F577" s="13"/>
      <c r="G577" s="15"/>
    </row>
    <row r="578" spans="1:7" x14ac:dyDescent="0.2">
      <c r="A578" s="8"/>
      <c r="B578" s="10"/>
      <c r="C578" s="10"/>
      <c r="D578" s="9"/>
      <c r="E578" s="9"/>
      <c r="F578" s="9"/>
      <c r="G578" s="11"/>
    </row>
    <row r="579" spans="1:7" x14ac:dyDescent="0.2">
      <c r="A579" s="12"/>
      <c r="B579" s="14"/>
      <c r="C579" s="14"/>
      <c r="D579" s="13"/>
      <c r="E579" s="13"/>
      <c r="F579" s="13"/>
      <c r="G579" s="15"/>
    </row>
    <row r="580" spans="1:7" x14ac:dyDescent="0.2">
      <c r="A580" s="8"/>
      <c r="B580" s="10"/>
      <c r="C580" s="10"/>
      <c r="D580" s="9"/>
      <c r="E580" s="9"/>
      <c r="F580" s="9"/>
      <c r="G580" s="11"/>
    </row>
    <row r="581" spans="1:7" x14ac:dyDescent="0.2">
      <c r="A581" s="12"/>
      <c r="B581" s="14"/>
      <c r="C581" s="14"/>
      <c r="D581" s="13"/>
      <c r="E581" s="13"/>
      <c r="F581" s="13"/>
      <c r="G581" s="15"/>
    </row>
    <row r="582" spans="1:7" x14ac:dyDescent="0.2">
      <c r="A582" s="8"/>
      <c r="B582" s="10"/>
      <c r="C582" s="10"/>
      <c r="D582" s="9"/>
      <c r="E582" s="9"/>
      <c r="F582" s="9"/>
      <c r="G582" s="11"/>
    </row>
    <row r="583" spans="1:7" x14ac:dyDescent="0.2">
      <c r="A583" s="12"/>
      <c r="B583" s="14"/>
      <c r="C583" s="14"/>
      <c r="D583" s="13"/>
      <c r="E583" s="13"/>
      <c r="F583" s="13"/>
      <c r="G583" s="15"/>
    </row>
    <row r="584" spans="1:7" x14ac:dyDescent="0.2">
      <c r="A584" s="8"/>
      <c r="B584" s="10"/>
      <c r="C584" s="10"/>
      <c r="D584" s="9"/>
      <c r="E584" s="9"/>
      <c r="F584" s="9"/>
      <c r="G584" s="11"/>
    </row>
    <row r="585" spans="1:7" x14ac:dyDescent="0.2">
      <c r="A585" s="12"/>
      <c r="B585" s="14"/>
      <c r="C585" s="14"/>
      <c r="D585" s="13"/>
      <c r="E585" s="13"/>
      <c r="F585" s="13"/>
      <c r="G585" s="15"/>
    </row>
    <row r="586" spans="1:7" x14ac:dyDescent="0.2">
      <c r="A586" s="8"/>
      <c r="B586" s="10"/>
      <c r="C586" s="10"/>
      <c r="D586" s="9"/>
      <c r="E586" s="9"/>
      <c r="F586" s="9"/>
      <c r="G586" s="11"/>
    </row>
    <row r="587" spans="1:7" x14ac:dyDescent="0.2">
      <c r="A587" s="12"/>
      <c r="B587" s="14"/>
      <c r="C587" s="14"/>
      <c r="D587" s="13"/>
      <c r="E587" s="13"/>
      <c r="F587" s="13"/>
      <c r="G587" s="15"/>
    </row>
    <row r="588" spans="1:7" x14ac:dyDescent="0.2">
      <c r="A588" s="8"/>
      <c r="B588" s="10"/>
      <c r="C588" s="10"/>
      <c r="D588" s="9"/>
      <c r="E588" s="9"/>
      <c r="F588" s="9"/>
      <c r="G588" s="11"/>
    </row>
    <row r="589" spans="1:7" x14ac:dyDescent="0.2">
      <c r="A589" s="12"/>
      <c r="B589" s="14"/>
      <c r="C589" s="14"/>
      <c r="D589" s="13"/>
      <c r="E589" s="13"/>
      <c r="F589" s="13"/>
      <c r="G589" s="15"/>
    </row>
    <row r="590" spans="1:7" x14ac:dyDescent="0.2">
      <c r="A590" s="8"/>
      <c r="B590" s="10"/>
      <c r="C590" s="10"/>
      <c r="D590" s="9"/>
      <c r="E590" s="9"/>
      <c r="F590" s="9"/>
      <c r="G590" s="11"/>
    </row>
    <row r="591" spans="1:7" x14ac:dyDescent="0.2">
      <c r="A591" s="12"/>
      <c r="B591" s="14"/>
      <c r="C591" s="14"/>
      <c r="D591" s="13"/>
      <c r="E591" s="13"/>
      <c r="F591" s="13"/>
      <c r="G591" s="15"/>
    </row>
    <row r="592" spans="1:7" x14ac:dyDescent="0.2">
      <c r="A592" s="8"/>
      <c r="B592" s="10"/>
      <c r="C592" s="10"/>
      <c r="D592" s="9"/>
      <c r="E592" s="9"/>
      <c r="F592" s="9"/>
      <c r="G592" s="11"/>
    </row>
    <row r="593" spans="1:7" x14ac:dyDescent="0.2">
      <c r="A593" s="12"/>
      <c r="B593" s="14"/>
      <c r="C593" s="14"/>
      <c r="D593" s="13"/>
      <c r="E593" s="13"/>
      <c r="F593" s="13"/>
      <c r="G593" s="15"/>
    </row>
    <row r="594" spans="1:7" x14ac:dyDescent="0.2">
      <c r="A594" s="8"/>
      <c r="B594" s="10"/>
      <c r="C594" s="10"/>
      <c r="D594" s="9"/>
      <c r="E594" s="9"/>
      <c r="F594" s="9"/>
      <c r="G594" s="11"/>
    </row>
    <row r="595" spans="1:7" x14ac:dyDescent="0.2">
      <c r="A595" s="12"/>
      <c r="B595" s="14"/>
      <c r="C595" s="14"/>
      <c r="D595" s="13"/>
      <c r="E595" s="13"/>
      <c r="F595" s="13"/>
      <c r="G595" s="15"/>
    </row>
    <row r="596" spans="1:7" x14ac:dyDescent="0.2">
      <c r="A596" s="8"/>
      <c r="B596" s="10"/>
      <c r="C596" s="10"/>
      <c r="D596" s="9"/>
      <c r="E596" s="9"/>
      <c r="F596" s="9"/>
      <c r="G596" s="11"/>
    </row>
    <row r="597" spans="1:7" x14ac:dyDescent="0.2">
      <c r="A597" s="12"/>
      <c r="B597" s="14"/>
      <c r="C597" s="14"/>
      <c r="D597" s="13"/>
      <c r="E597" s="13"/>
      <c r="F597" s="13"/>
      <c r="G597" s="15"/>
    </row>
    <row r="598" spans="1:7" x14ac:dyDescent="0.2">
      <c r="A598" s="8"/>
      <c r="B598" s="10"/>
      <c r="C598" s="10"/>
      <c r="D598" s="9"/>
      <c r="E598" s="9"/>
      <c r="F598" s="9"/>
      <c r="G598" s="11"/>
    </row>
    <row r="599" spans="1:7" x14ac:dyDescent="0.2">
      <c r="A599" s="12"/>
      <c r="B599" s="14"/>
      <c r="C599" s="14"/>
      <c r="D599" s="13"/>
      <c r="E599" s="13"/>
      <c r="F599" s="13"/>
      <c r="G599" s="15"/>
    </row>
    <row r="600" spans="1:7" x14ac:dyDescent="0.2">
      <c r="A600" s="8"/>
      <c r="B600" s="10"/>
      <c r="C600" s="10"/>
      <c r="D600" s="9"/>
      <c r="E600" s="9"/>
      <c r="F600" s="9"/>
      <c r="G600" s="11"/>
    </row>
    <row r="601" spans="1:7" x14ac:dyDescent="0.2">
      <c r="A601" s="12"/>
      <c r="B601" s="14"/>
      <c r="C601" s="14"/>
      <c r="D601" s="13"/>
      <c r="E601" s="13"/>
      <c r="F601" s="13"/>
      <c r="G601" s="15"/>
    </row>
    <row r="602" spans="1:7" x14ac:dyDescent="0.2">
      <c r="A602" s="8"/>
      <c r="B602" s="10"/>
      <c r="C602" s="10"/>
      <c r="D602" s="9"/>
      <c r="E602" s="9"/>
      <c r="F602" s="9"/>
      <c r="G602" s="11"/>
    </row>
    <row r="603" spans="1:7" x14ac:dyDescent="0.2">
      <c r="A603" s="12"/>
      <c r="B603" s="14"/>
      <c r="C603" s="14"/>
      <c r="D603" s="13"/>
      <c r="E603" s="13"/>
      <c r="F603" s="13"/>
      <c r="G603" s="15"/>
    </row>
    <row r="604" spans="1:7" x14ac:dyDescent="0.2">
      <c r="A604" s="8"/>
      <c r="B604" s="10"/>
      <c r="C604" s="10"/>
      <c r="D604" s="9"/>
      <c r="E604" s="9"/>
      <c r="F604" s="9"/>
      <c r="G604" s="11"/>
    </row>
    <row r="605" spans="1:7" x14ac:dyDescent="0.2">
      <c r="A605" s="12"/>
      <c r="B605" s="14"/>
      <c r="C605" s="14"/>
      <c r="D605" s="13"/>
      <c r="E605" s="13"/>
      <c r="F605" s="13"/>
      <c r="G605" s="15"/>
    </row>
    <row r="606" spans="1:7" x14ac:dyDescent="0.2">
      <c r="A606" s="8"/>
      <c r="B606" s="10"/>
      <c r="C606" s="10"/>
      <c r="D606" s="9"/>
      <c r="E606" s="9"/>
      <c r="F606" s="9"/>
      <c r="G606" s="11"/>
    </row>
    <row r="607" spans="1:7" x14ac:dyDescent="0.2">
      <c r="A607" s="12"/>
      <c r="B607" s="14"/>
      <c r="C607" s="14"/>
      <c r="D607" s="13"/>
      <c r="E607" s="13"/>
      <c r="F607" s="13"/>
      <c r="G607" s="15"/>
    </row>
    <row r="608" spans="1:7" x14ac:dyDescent="0.2">
      <c r="A608" s="8"/>
      <c r="B608" s="10"/>
      <c r="C608" s="10"/>
      <c r="D608" s="9"/>
      <c r="E608" s="9"/>
      <c r="F608" s="9"/>
      <c r="G608" s="11"/>
    </row>
    <row r="609" spans="1:7" x14ac:dyDescent="0.2">
      <c r="A609" s="12"/>
      <c r="B609" s="14"/>
      <c r="C609" s="14"/>
      <c r="D609" s="13"/>
      <c r="E609" s="13"/>
      <c r="F609" s="13"/>
      <c r="G609" s="15"/>
    </row>
    <row r="610" spans="1:7" x14ac:dyDescent="0.2">
      <c r="A610" s="8"/>
      <c r="B610" s="10"/>
      <c r="C610" s="10"/>
      <c r="D610" s="9"/>
      <c r="E610" s="9"/>
      <c r="F610" s="9"/>
      <c r="G610" s="11"/>
    </row>
    <row r="611" spans="1:7" x14ac:dyDescent="0.2">
      <c r="A611" s="12"/>
      <c r="B611" s="14"/>
      <c r="C611" s="14"/>
      <c r="D611" s="13"/>
      <c r="E611" s="13"/>
      <c r="F611" s="13"/>
      <c r="G611" s="15"/>
    </row>
    <row r="612" spans="1:7" x14ac:dyDescent="0.2">
      <c r="A612" s="8"/>
      <c r="B612" s="10"/>
      <c r="C612" s="10"/>
      <c r="D612" s="9"/>
      <c r="E612" s="9"/>
      <c r="F612" s="9"/>
      <c r="G612" s="11"/>
    </row>
    <row r="613" spans="1:7" x14ac:dyDescent="0.2">
      <c r="A613" s="12"/>
      <c r="B613" s="14"/>
      <c r="C613" s="14"/>
      <c r="D613" s="13"/>
      <c r="E613" s="13"/>
      <c r="F613" s="13"/>
      <c r="G613" s="15"/>
    </row>
    <row r="614" spans="1:7" x14ac:dyDescent="0.2">
      <c r="A614" s="8"/>
      <c r="B614" s="10"/>
      <c r="C614" s="10"/>
      <c r="D614" s="9"/>
      <c r="E614" s="9"/>
      <c r="F614" s="9"/>
      <c r="G614" s="11"/>
    </row>
    <row r="615" spans="1:7" x14ac:dyDescent="0.2">
      <c r="A615" s="12"/>
      <c r="B615" s="14"/>
      <c r="C615" s="14"/>
      <c r="D615" s="13"/>
      <c r="E615" s="13"/>
      <c r="F615" s="13"/>
      <c r="G615" s="15"/>
    </row>
    <row r="616" spans="1:7" x14ac:dyDescent="0.2">
      <c r="A616" s="8"/>
      <c r="B616" s="10"/>
      <c r="C616" s="10"/>
      <c r="D616" s="9"/>
      <c r="E616" s="9"/>
      <c r="F616" s="9"/>
      <c r="G616" s="11"/>
    </row>
    <row r="617" spans="1:7" x14ac:dyDescent="0.2">
      <c r="A617" s="12"/>
      <c r="B617" s="14"/>
      <c r="C617" s="14"/>
      <c r="D617" s="13"/>
      <c r="E617" s="13"/>
      <c r="F617" s="13"/>
      <c r="G617" s="15"/>
    </row>
    <row r="618" spans="1:7" x14ac:dyDescent="0.2">
      <c r="A618" s="8"/>
      <c r="B618" s="10"/>
      <c r="C618" s="10"/>
      <c r="D618" s="9"/>
      <c r="E618" s="9"/>
      <c r="F618" s="9"/>
      <c r="G618" s="11"/>
    </row>
    <row r="619" spans="1:7" x14ac:dyDescent="0.2">
      <c r="A619" s="12"/>
      <c r="B619" s="14"/>
      <c r="C619" s="14"/>
      <c r="D619" s="13"/>
      <c r="E619" s="13"/>
      <c r="F619" s="13"/>
      <c r="G619" s="15"/>
    </row>
    <row r="620" spans="1:7" x14ac:dyDescent="0.2">
      <c r="A620" s="8"/>
      <c r="B620" s="10"/>
      <c r="C620" s="10"/>
      <c r="D620" s="9"/>
      <c r="E620" s="9"/>
      <c r="F620" s="9"/>
      <c r="G620" s="11"/>
    </row>
    <row r="621" spans="1:7" x14ac:dyDescent="0.2">
      <c r="A621" s="12"/>
      <c r="B621" s="14"/>
      <c r="C621" s="14"/>
      <c r="D621" s="13"/>
      <c r="E621" s="13"/>
      <c r="F621" s="13"/>
      <c r="G621" s="15"/>
    </row>
    <row r="622" spans="1:7" x14ac:dyDescent="0.2">
      <c r="A622" s="8"/>
      <c r="B622" s="10"/>
      <c r="C622" s="10"/>
      <c r="D622" s="9"/>
      <c r="E622" s="9"/>
      <c r="F622" s="9"/>
      <c r="G622" s="11"/>
    </row>
    <row r="623" spans="1:7" x14ac:dyDescent="0.2">
      <c r="A623" s="12"/>
      <c r="B623" s="14"/>
      <c r="C623" s="14"/>
      <c r="D623" s="13"/>
      <c r="E623" s="13"/>
      <c r="F623" s="13"/>
      <c r="G623" s="15"/>
    </row>
    <row r="624" spans="1:7" x14ac:dyDescent="0.2">
      <c r="A624" s="8"/>
      <c r="B624" s="10"/>
      <c r="C624" s="10"/>
      <c r="D624" s="9"/>
      <c r="E624" s="9"/>
      <c r="F624" s="9"/>
      <c r="G624" s="11"/>
    </row>
    <row r="625" spans="1:7" x14ac:dyDescent="0.2">
      <c r="A625" s="12"/>
      <c r="B625" s="14"/>
      <c r="C625" s="14"/>
      <c r="D625" s="13"/>
      <c r="E625" s="13"/>
      <c r="F625" s="13"/>
      <c r="G625" s="15"/>
    </row>
    <row r="626" spans="1:7" x14ac:dyDescent="0.2">
      <c r="A626" s="8"/>
      <c r="B626" s="10"/>
      <c r="C626" s="10"/>
      <c r="D626" s="9"/>
      <c r="E626" s="9"/>
      <c r="F626" s="9"/>
      <c r="G626" s="11"/>
    </row>
    <row r="627" spans="1:7" x14ac:dyDescent="0.2">
      <c r="A627" s="12"/>
      <c r="B627" s="14"/>
      <c r="C627" s="14"/>
      <c r="D627" s="13"/>
      <c r="E627" s="13"/>
      <c r="F627" s="13"/>
      <c r="G627" s="15"/>
    </row>
    <row r="628" spans="1:7" x14ac:dyDescent="0.2">
      <c r="A628" s="8"/>
      <c r="B628" s="10"/>
      <c r="C628" s="10"/>
      <c r="D628" s="9"/>
      <c r="E628" s="9"/>
      <c r="F628" s="9"/>
      <c r="G628" s="11"/>
    </row>
    <row r="629" spans="1:7" x14ac:dyDescent="0.2">
      <c r="A629" s="12"/>
      <c r="B629" s="14"/>
      <c r="C629" s="14"/>
      <c r="D629" s="13"/>
      <c r="E629" s="13"/>
      <c r="F629" s="13"/>
      <c r="G629" s="15"/>
    </row>
    <row r="630" spans="1:7" x14ac:dyDescent="0.2">
      <c r="A630" s="8"/>
      <c r="B630" s="10"/>
      <c r="C630" s="10"/>
      <c r="D630" s="9"/>
      <c r="E630" s="9"/>
      <c r="F630" s="9"/>
      <c r="G630" s="11"/>
    </row>
    <row r="631" spans="1:7" x14ac:dyDescent="0.2">
      <c r="A631" s="12"/>
      <c r="B631" s="14"/>
      <c r="C631" s="14"/>
      <c r="D631" s="13"/>
      <c r="E631" s="13"/>
      <c r="F631" s="13"/>
      <c r="G631" s="15"/>
    </row>
    <row r="632" spans="1:7" x14ac:dyDescent="0.2">
      <c r="A632" s="8"/>
      <c r="B632" s="10"/>
      <c r="C632" s="10"/>
      <c r="D632" s="9"/>
      <c r="E632" s="9"/>
      <c r="F632" s="9"/>
      <c r="G632" s="11"/>
    </row>
    <row r="633" spans="1:7" x14ac:dyDescent="0.2">
      <c r="A633" s="12"/>
      <c r="B633" s="14"/>
      <c r="C633" s="14"/>
      <c r="D633" s="13"/>
      <c r="E633" s="13"/>
      <c r="F633" s="13"/>
      <c r="G633" s="15"/>
    </row>
    <row r="634" spans="1:7" x14ac:dyDescent="0.2">
      <c r="A634" s="8"/>
      <c r="B634" s="10"/>
      <c r="C634" s="10"/>
      <c r="D634" s="9"/>
      <c r="E634" s="9"/>
      <c r="F634" s="9"/>
      <c r="G634" s="11"/>
    </row>
    <row r="635" spans="1:7" x14ac:dyDescent="0.2">
      <c r="A635" s="12"/>
      <c r="B635" s="14"/>
      <c r="C635" s="14"/>
      <c r="D635" s="13"/>
      <c r="E635" s="13"/>
      <c r="F635" s="13"/>
      <c r="G635" s="15"/>
    </row>
    <row r="636" spans="1:7" x14ac:dyDescent="0.2">
      <c r="A636" s="8"/>
      <c r="B636" s="10"/>
      <c r="C636" s="10"/>
      <c r="D636" s="9"/>
      <c r="E636" s="9"/>
      <c r="F636" s="9"/>
      <c r="G636" s="11"/>
    </row>
    <row r="637" spans="1:7" x14ac:dyDescent="0.2">
      <c r="A637" s="12"/>
      <c r="B637" s="14"/>
      <c r="C637" s="14"/>
      <c r="D637" s="13"/>
      <c r="E637" s="13"/>
      <c r="F637" s="13"/>
      <c r="G637" s="15"/>
    </row>
    <row r="638" spans="1:7" x14ac:dyDescent="0.2">
      <c r="A638" s="8"/>
      <c r="B638" s="10"/>
      <c r="C638" s="10"/>
      <c r="D638" s="9"/>
      <c r="E638" s="9"/>
      <c r="F638" s="9"/>
      <c r="G638" s="11"/>
    </row>
    <row r="639" spans="1:7" x14ac:dyDescent="0.2">
      <c r="A639" s="12"/>
      <c r="B639" s="14"/>
      <c r="C639" s="14"/>
      <c r="D639" s="13"/>
      <c r="E639" s="13"/>
      <c r="F639" s="13"/>
      <c r="G639" s="15"/>
    </row>
    <row r="640" spans="1:7" x14ac:dyDescent="0.2">
      <c r="A640" s="8"/>
      <c r="B640" s="10"/>
      <c r="C640" s="10"/>
      <c r="D640" s="9"/>
      <c r="E640" s="9"/>
      <c r="F640" s="9"/>
      <c r="G640" s="11"/>
    </row>
    <row r="641" spans="1:7" x14ac:dyDescent="0.2">
      <c r="A641" s="12"/>
      <c r="B641" s="14"/>
      <c r="C641" s="14"/>
      <c r="D641" s="13"/>
      <c r="E641" s="13"/>
      <c r="F641" s="13"/>
      <c r="G641" s="15"/>
    </row>
    <row r="642" spans="1:7" x14ac:dyDescent="0.2">
      <c r="A642" s="8"/>
      <c r="B642" s="10"/>
      <c r="C642" s="10"/>
      <c r="D642" s="9"/>
      <c r="E642" s="9"/>
      <c r="F642" s="9"/>
      <c r="G642" s="11"/>
    </row>
    <row r="643" spans="1:7" x14ac:dyDescent="0.2">
      <c r="A643" s="12"/>
      <c r="B643" s="14"/>
      <c r="C643" s="14"/>
      <c r="D643" s="13"/>
      <c r="E643" s="13"/>
      <c r="F643" s="13"/>
      <c r="G643" s="15"/>
    </row>
    <row r="644" spans="1:7" x14ac:dyDescent="0.2">
      <c r="A644" s="8"/>
      <c r="B644" s="10"/>
      <c r="C644" s="10"/>
      <c r="D644" s="9"/>
      <c r="E644" s="9"/>
      <c r="F644" s="9"/>
      <c r="G644" s="11"/>
    </row>
    <row r="645" spans="1:7" x14ac:dyDescent="0.2">
      <c r="A645" s="12"/>
      <c r="B645" s="14"/>
      <c r="C645" s="14"/>
      <c r="D645" s="13"/>
      <c r="E645" s="13"/>
      <c r="F645" s="13"/>
      <c r="G645" s="15"/>
    </row>
    <row r="646" spans="1:7" x14ac:dyDescent="0.2">
      <c r="A646" s="8"/>
      <c r="B646" s="10"/>
      <c r="C646" s="10"/>
      <c r="D646" s="9"/>
      <c r="E646" s="9"/>
      <c r="F646" s="9"/>
      <c r="G646" s="11"/>
    </row>
    <row r="647" spans="1:7" x14ac:dyDescent="0.2">
      <c r="A647" s="12"/>
      <c r="B647" s="14"/>
      <c r="C647" s="14"/>
      <c r="D647" s="13"/>
      <c r="E647" s="13"/>
      <c r="F647" s="13"/>
      <c r="G647" s="15"/>
    </row>
    <row r="648" spans="1:7" x14ac:dyDescent="0.2">
      <c r="A648" s="8"/>
      <c r="B648" s="10"/>
      <c r="C648" s="10"/>
      <c r="D648" s="9"/>
      <c r="E648" s="9"/>
      <c r="F648" s="9"/>
      <c r="G648" s="11"/>
    </row>
    <row r="649" spans="1:7" x14ac:dyDescent="0.2">
      <c r="A649" s="12"/>
      <c r="B649" s="14"/>
      <c r="C649" s="14"/>
      <c r="D649" s="13"/>
      <c r="E649" s="13"/>
      <c r="F649" s="13"/>
      <c r="G649" s="15"/>
    </row>
    <row r="650" spans="1:7" x14ac:dyDescent="0.2">
      <c r="A650" s="8"/>
      <c r="B650" s="10"/>
      <c r="C650" s="10"/>
      <c r="D650" s="9"/>
      <c r="E650" s="9"/>
      <c r="F650" s="9"/>
      <c r="G650" s="11"/>
    </row>
    <row r="651" spans="1:7" x14ac:dyDescent="0.2">
      <c r="A651" s="12"/>
      <c r="B651" s="14"/>
      <c r="C651" s="14"/>
      <c r="D651" s="13"/>
      <c r="E651" s="13"/>
      <c r="F651" s="13"/>
      <c r="G651" s="15"/>
    </row>
    <row r="652" spans="1:7" x14ac:dyDescent="0.2">
      <c r="A652" s="8"/>
      <c r="B652" s="10"/>
      <c r="C652" s="10"/>
      <c r="D652" s="9"/>
      <c r="E652" s="9"/>
      <c r="F652" s="9"/>
      <c r="G652" s="11"/>
    </row>
    <row r="653" spans="1:7" x14ac:dyDescent="0.2">
      <c r="A653" s="12"/>
      <c r="B653" s="14"/>
      <c r="C653" s="14"/>
      <c r="D653" s="13"/>
      <c r="E653" s="13"/>
      <c r="F653" s="13"/>
      <c r="G653" s="15"/>
    </row>
    <row r="654" spans="1:7" x14ac:dyDescent="0.2">
      <c r="A654" s="8"/>
      <c r="B654" s="10"/>
      <c r="C654" s="10"/>
      <c r="D654" s="9"/>
      <c r="E654" s="9"/>
      <c r="F654" s="9"/>
      <c r="G654" s="11"/>
    </row>
    <row r="655" spans="1:7" x14ac:dyDescent="0.2">
      <c r="A655" s="12"/>
      <c r="B655" s="14"/>
      <c r="C655" s="14"/>
      <c r="D655" s="13"/>
      <c r="E655" s="13"/>
      <c r="F655" s="13"/>
      <c r="G655" s="15"/>
    </row>
    <row r="656" spans="1:7" x14ac:dyDescent="0.2">
      <c r="A656" s="8"/>
      <c r="B656" s="10"/>
      <c r="C656" s="10"/>
      <c r="D656" s="9"/>
      <c r="E656" s="9"/>
      <c r="F656" s="9"/>
      <c r="G656" s="11"/>
    </row>
    <row r="657" spans="1:7" x14ac:dyDescent="0.2">
      <c r="A657" s="12"/>
      <c r="B657" s="14"/>
      <c r="C657" s="14"/>
      <c r="D657" s="13"/>
      <c r="E657" s="13"/>
      <c r="F657" s="13"/>
      <c r="G657" s="15"/>
    </row>
    <row r="658" spans="1:7" x14ac:dyDescent="0.2">
      <c r="A658" s="8"/>
      <c r="B658" s="10"/>
      <c r="C658" s="10"/>
      <c r="D658" s="9"/>
      <c r="E658" s="9"/>
      <c r="F658" s="9"/>
      <c r="G658" s="11"/>
    </row>
    <row r="659" spans="1:7" x14ac:dyDescent="0.2">
      <c r="A659" s="12"/>
      <c r="B659" s="14"/>
      <c r="C659" s="14"/>
      <c r="D659" s="13"/>
      <c r="E659" s="13"/>
      <c r="F659" s="13"/>
      <c r="G659" s="15"/>
    </row>
    <row r="660" spans="1:7" x14ac:dyDescent="0.2">
      <c r="A660" s="8"/>
      <c r="B660" s="10"/>
      <c r="C660" s="10"/>
      <c r="D660" s="9"/>
      <c r="E660" s="9"/>
      <c r="F660" s="9"/>
      <c r="G660" s="11"/>
    </row>
    <row r="661" spans="1:7" x14ac:dyDescent="0.2">
      <c r="A661" s="12"/>
      <c r="B661" s="14"/>
      <c r="C661" s="14"/>
      <c r="D661" s="13"/>
      <c r="E661" s="13"/>
      <c r="F661" s="13"/>
      <c r="G661" s="15"/>
    </row>
    <row r="662" spans="1:7" x14ac:dyDescent="0.2">
      <c r="A662" s="8"/>
      <c r="B662" s="10"/>
      <c r="C662" s="10"/>
      <c r="D662" s="9"/>
      <c r="E662" s="9"/>
      <c r="F662" s="9"/>
      <c r="G662" s="11"/>
    </row>
    <row r="663" spans="1:7" x14ac:dyDescent="0.2">
      <c r="A663" s="12"/>
      <c r="B663" s="14"/>
      <c r="C663" s="14"/>
      <c r="D663" s="13"/>
      <c r="E663" s="13"/>
      <c r="F663" s="13"/>
      <c r="G663" s="15"/>
    </row>
    <row r="664" spans="1:7" x14ac:dyDescent="0.2">
      <c r="A664" s="8"/>
      <c r="B664" s="10"/>
      <c r="C664" s="10"/>
      <c r="D664" s="9"/>
      <c r="E664" s="9"/>
      <c r="F664" s="9"/>
      <c r="G664" s="11"/>
    </row>
    <row r="665" spans="1:7" x14ac:dyDescent="0.2">
      <c r="A665" s="12"/>
      <c r="B665" s="14"/>
      <c r="C665" s="14"/>
      <c r="D665" s="13"/>
      <c r="E665" s="13"/>
      <c r="F665" s="13"/>
      <c r="G665" s="15"/>
    </row>
    <row r="666" spans="1:7" x14ac:dyDescent="0.2">
      <c r="A666" s="8"/>
      <c r="B666" s="10"/>
      <c r="C666" s="10"/>
      <c r="D666" s="9"/>
      <c r="E666" s="9"/>
      <c r="F666" s="9"/>
      <c r="G666" s="11"/>
    </row>
    <row r="667" spans="1:7" x14ac:dyDescent="0.2">
      <c r="A667" s="12"/>
      <c r="B667" s="14"/>
      <c r="C667" s="14"/>
      <c r="D667" s="13"/>
      <c r="E667" s="13"/>
      <c r="F667" s="13"/>
      <c r="G667" s="15"/>
    </row>
    <row r="668" spans="1:7" x14ac:dyDescent="0.2">
      <c r="A668" s="8"/>
      <c r="B668" s="10"/>
      <c r="C668" s="10"/>
      <c r="D668" s="9"/>
      <c r="E668" s="9"/>
      <c r="F668" s="9"/>
      <c r="G668" s="11"/>
    </row>
    <row r="669" spans="1:7" x14ac:dyDescent="0.2">
      <c r="A669" s="12"/>
      <c r="B669" s="14"/>
      <c r="C669" s="14"/>
      <c r="D669" s="13"/>
      <c r="E669" s="13"/>
      <c r="F669" s="13"/>
      <c r="G669" s="15"/>
    </row>
    <row r="670" spans="1:7" x14ac:dyDescent="0.2">
      <c r="A670" s="8"/>
      <c r="B670" s="10"/>
      <c r="C670" s="10"/>
      <c r="D670" s="9"/>
      <c r="E670" s="9"/>
      <c r="F670" s="9"/>
      <c r="G670" s="11"/>
    </row>
    <row r="671" spans="1:7" x14ac:dyDescent="0.2">
      <c r="A671" s="12"/>
      <c r="B671" s="14"/>
      <c r="C671" s="14"/>
      <c r="D671" s="13"/>
      <c r="E671" s="13"/>
      <c r="F671" s="13"/>
      <c r="G671" s="15"/>
    </row>
    <row r="672" spans="1:7" x14ac:dyDescent="0.2">
      <c r="A672" s="8"/>
      <c r="B672" s="10"/>
      <c r="C672" s="10"/>
      <c r="D672" s="9"/>
      <c r="E672" s="9"/>
      <c r="F672" s="9"/>
      <c r="G672" s="11"/>
    </row>
    <row r="673" spans="1:7" x14ac:dyDescent="0.2">
      <c r="A673" s="12"/>
      <c r="B673" s="14"/>
      <c r="C673" s="14"/>
      <c r="D673" s="13"/>
      <c r="E673" s="13"/>
      <c r="F673" s="13"/>
      <c r="G673" s="15"/>
    </row>
    <row r="674" spans="1:7" x14ac:dyDescent="0.2">
      <c r="A674" s="8"/>
      <c r="B674" s="10"/>
      <c r="C674" s="10"/>
      <c r="D674" s="9"/>
      <c r="E674" s="9"/>
      <c r="F674" s="9"/>
      <c r="G674" s="11"/>
    </row>
    <row r="675" spans="1:7" x14ac:dyDescent="0.2">
      <c r="A675" s="12"/>
      <c r="B675" s="14"/>
      <c r="C675" s="14"/>
      <c r="D675" s="13"/>
      <c r="E675" s="13"/>
      <c r="F675" s="13"/>
      <c r="G675" s="15"/>
    </row>
    <row r="676" spans="1:7" x14ac:dyDescent="0.2">
      <c r="A676" s="8"/>
      <c r="B676" s="10"/>
      <c r="C676" s="10"/>
      <c r="D676" s="9"/>
      <c r="E676" s="9"/>
      <c r="F676" s="9"/>
      <c r="G676" s="11"/>
    </row>
    <row r="677" spans="1:7" x14ac:dyDescent="0.2">
      <c r="A677" s="12"/>
      <c r="B677" s="14"/>
      <c r="C677" s="14"/>
      <c r="D677" s="13"/>
      <c r="E677" s="13"/>
      <c r="F677" s="13"/>
      <c r="G677" s="15"/>
    </row>
    <row r="678" spans="1:7" x14ac:dyDescent="0.2">
      <c r="A678" s="8"/>
      <c r="B678" s="10"/>
      <c r="C678" s="10"/>
      <c r="D678" s="9"/>
      <c r="E678" s="9"/>
      <c r="F678" s="9"/>
      <c r="G678" s="11"/>
    </row>
    <row r="679" spans="1:7" x14ac:dyDescent="0.2">
      <c r="A679" s="12"/>
      <c r="B679" s="14"/>
      <c r="C679" s="14"/>
      <c r="D679" s="13"/>
      <c r="E679" s="13"/>
      <c r="F679" s="13"/>
      <c r="G679" s="15"/>
    </row>
    <row r="680" spans="1:7" x14ac:dyDescent="0.2">
      <c r="A680" s="8"/>
      <c r="B680" s="10"/>
      <c r="C680" s="10"/>
      <c r="D680" s="9"/>
      <c r="E680" s="9"/>
      <c r="F680" s="9"/>
      <c r="G680" s="11"/>
    </row>
    <row r="681" spans="1:7" x14ac:dyDescent="0.2">
      <c r="A681" s="12"/>
      <c r="B681" s="14"/>
      <c r="C681" s="14"/>
      <c r="D681" s="13"/>
      <c r="E681" s="13"/>
      <c r="F681" s="13"/>
      <c r="G681" s="15"/>
    </row>
    <row r="682" spans="1:7" x14ac:dyDescent="0.2">
      <c r="A682" s="8"/>
      <c r="B682" s="10"/>
      <c r="C682" s="10"/>
      <c r="D682" s="9"/>
      <c r="E682" s="9"/>
      <c r="F682" s="9"/>
      <c r="G682" s="11"/>
    </row>
    <row r="683" spans="1:7" x14ac:dyDescent="0.2">
      <c r="A683" s="12"/>
      <c r="B683" s="14"/>
      <c r="C683" s="14"/>
      <c r="D683" s="13"/>
      <c r="E683" s="13"/>
      <c r="F683" s="13"/>
      <c r="G683" s="15"/>
    </row>
    <row r="684" spans="1:7" x14ac:dyDescent="0.2">
      <c r="A684" s="8"/>
      <c r="B684" s="10"/>
      <c r="C684" s="10"/>
      <c r="D684" s="9"/>
      <c r="E684" s="9"/>
      <c r="F684" s="9"/>
      <c r="G684" s="11"/>
    </row>
    <row r="685" spans="1:7" x14ac:dyDescent="0.2">
      <c r="A685" s="12"/>
      <c r="B685" s="14"/>
      <c r="C685" s="14"/>
      <c r="D685" s="13"/>
      <c r="E685" s="13"/>
      <c r="F685" s="13"/>
      <c r="G685" s="15"/>
    </row>
    <row r="686" spans="1:7" x14ac:dyDescent="0.2">
      <c r="A686" s="8"/>
      <c r="B686" s="10"/>
      <c r="C686" s="10"/>
      <c r="D686" s="9"/>
      <c r="E686" s="9"/>
      <c r="F686" s="9"/>
      <c r="G686" s="11"/>
    </row>
    <row r="687" spans="1:7" x14ac:dyDescent="0.2">
      <c r="A687" s="12"/>
      <c r="B687" s="14"/>
      <c r="C687" s="14"/>
      <c r="D687" s="13"/>
      <c r="E687" s="13"/>
      <c r="F687" s="13"/>
      <c r="G687" s="15"/>
    </row>
    <row r="688" spans="1:7" x14ac:dyDescent="0.2">
      <c r="A688" s="8"/>
      <c r="B688" s="10"/>
      <c r="C688" s="10"/>
      <c r="D688" s="9"/>
      <c r="E688" s="9"/>
      <c r="F688" s="9"/>
      <c r="G688" s="11"/>
    </row>
    <row r="689" spans="1:7" x14ac:dyDescent="0.2">
      <c r="A689" s="12"/>
      <c r="B689" s="14"/>
      <c r="C689" s="14"/>
      <c r="D689" s="13"/>
      <c r="E689" s="13"/>
      <c r="F689" s="13"/>
      <c r="G689" s="15"/>
    </row>
    <row r="690" spans="1:7" x14ac:dyDescent="0.2">
      <c r="A690" s="8"/>
      <c r="B690" s="10"/>
      <c r="C690" s="10"/>
      <c r="D690" s="9"/>
      <c r="E690" s="9"/>
      <c r="F690" s="9"/>
      <c r="G690" s="11"/>
    </row>
    <row r="691" spans="1:7" x14ac:dyDescent="0.2">
      <c r="A691" s="12"/>
      <c r="B691" s="14"/>
      <c r="C691" s="14"/>
      <c r="D691" s="13"/>
      <c r="E691" s="13"/>
      <c r="F691" s="13"/>
      <c r="G691" s="15"/>
    </row>
    <row r="692" spans="1:7" x14ac:dyDescent="0.2">
      <c r="A692" s="8"/>
      <c r="B692" s="10"/>
      <c r="C692" s="10"/>
      <c r="D692" s="9"/>
      <c r="E692" s="9"/>
      <c r="F692" s="9"/>
      <c r="G692" s="11"/>
    </row>
    <row r="693" spans="1:7" x14ac:dyDescent="0.2">
      <c r="A693" s="12"/>
      <c r="B693" s="14"/>
      <c r="C693" s="14"/>
      <c r="D693" s="13"/>
      <c r="E693" s="13"/>
      <c r="F693" s="13"/>
      <c r="G693" s="15"/>
    </row>
    <row r="694" spans="1:7" x14ac:dyDescent="0.2">
      <c r="A694" s="8"/>
      <c r="B694" s="10"/>
      <c r="C694" s="10"/>
      <c r="D694" s="9"/>
      <c r="E694" s="9"/>
      <c r="F694" s="9"/>
      <c r="G694" s="11"/>
    </row>
    <row r="695" spans="1:7" x14ac:dyDescent="0.2">
      <c r="A695" s="12"/>
      <c r="B695" s="14"/>
      <c r="C695" s="14"/>
      <c r="D695" s="13"/>
      <c r="E695" s="13"/>
      <c r="F695" s="13"/>
      <c r="G695" s="15"/>
    </row>
    <row r="696" spans="1:7" x14ac:dyDescent="0.2">
      <c r="A696" s="8"/>
      <c r="B696" s="10"/>
      <c r="C696" s="10"/>
      <c r="D696" s="9"/>
      <c r="E696" s="9"/>
      <c r="F696" s="9"/>
      <c r="G696" s="11"/>
    </row>
    <row r="697" spans="1:7" x14ac:dyDescent="0.2">
      <c r="A697" s="12"/>
      <c r="B697" s="14"/>
      <c r="C697" s="14"/>
      <c r="D697" s="13"/>
      <c r="E697" s="13"/>
      <c r="F697" s="13"/>
      <c r="G697" s="15"/>
    </row>
    <row r="698" spans="1:7" x14ac:dyDescent="0.2">
      <c r="A698" s="8"/>
      <c r="B698" s="10"/>
      <c r="C698" s="10"/>
      <c r="D698" s="9"/>
      <c r="E698" s="9"/>
      <c r="F698" s="9"/>
      <c r="G698" s="11"/>
    </row>
    <row r="699" spans="1:7" x14ac:dyDescent="0.2">
      <c r="A699" s="12"/>
      <c r="B699" s="14"/>
      <c r="C699" s="14"/>
      <c r="D699" s="13"/>
      <c r="E699" s="13"/>
      <c r="F699" s="13"/>
      <c r="G699" s="15"/>
    </row>
    <row r="700" spans="1:7" x14ac:dyDescent="0.2">
      <c r="A700" s="8"/>
      <c r="B700" s="10"/>
      <c r="C700" s="10"/>
      <c r="D700" s="9"/>
      <c r="E700" s="9"/>
      <c r="F700" s="9"/>
      <c r="G700" s="11"/>
    </row>
    <row r="701" spans="1:7" x14ac:dyDescent="0.2">
      <c r="A701" s="12"/>
      <c r="B701" s="14"/>
      <c r="C701" s="14"/>
      <c r="D701" s="13"/>
      <c r="E701" s="13"/>
      <c r="F701" s="13"/>
      <c r="G701" s="15"/>
    </row>
    <row r="702" spans="1:7" x14ac:dyDescent="0.2">
      <c r="A702" s="8"/>
      <c r="B702" s="10"/>
      <c r="C702" s="10"/>
      <c r="D702" s="9"/>
      <c r="E702" s="9"/>
      <c r="F702" s="9"/>
      <c r="G702" s="11"/>
    </row>
    <row r="703" spans="1:7" x14ac:dyDescent="0.2">
      <c r="A703" s="12"/>
      <c r="B703" s="14"/>
      <c r="C703" s="14"/>
      <c r="D703" s="13"/>
      <c r="E703" s="13"/>
      <c r="F703" s="13"/>
      <c r="G703" s="15"/>
    </row>
    <row r="704" spans="1:7" x14ac:dyDescent="0.2">
      <c r="A704" s="8"/>
      <c r="B704" s="10"/>
      <c r="C704" s="10"/>
      <c r="D704" s="9"/>
      <c r="E704" s="9"/>
      <c r="F704" s="9"/>
      <c r="G704" s="11"/>
    </row>
    <row r="705" spans="1:7" x14ac:dyDescent="0.2">
      <c r="A705" s="12"/>
      <c r="B705" s="14"/>
      <c r="C705" s="14"/>
      <c r="D705" s="13"/>
      <c r="E705" s="13"/>
      <c r="F705" s="13"/>
      <c r="G705" s="15"/>
    </row>
    <row r="706" spans="1:7" x14ac:dyDescent="0.2">
      <c r="A706" s="8"/>
      <c r="B706" s="10"/>
      <c r="C706" s="10"/>
      <c r="D706" s="9"/>
      <c r="E706" s="9"/>
      <c r="F706" s="9"/>
      <c r="G706" s="11"/>
    </row>
    <row r="707" spans="1:7" x14ac:dyDescent="0.2">
      <c r="A707" s="12"/>
      <c r="B707" s="14"/>
      <c r="C707" s="14"/>
      <c r="D707" s="13"/>
      <c r="E707" s="13"/>
      <c r="F707" s="13"/>
      <c r="G707" s="15"/>
    </row>
    <row r="708" spans="1:7" x14ac:dyDescent="0.2">
      <c r="A708" s="8"/>
      <c r="B708" s="10"/>
      <c r="C708" s="10"/>
      <c r="D708" s="9"/>
      <c r="E708" s="9"/>
      <c r="F708" s="9"/>
      <c r="G708" s="11"/>
    </row>
    <row r="709" spans="1:7" x14ac:dyDescent="0.2">
      <c r="A709" s="12"/>
      <c r="B709" s="14"/>
      <c r="C709" s="14"/>
      <c r="D709" s="13"/>
      <c r="E709" s="13"/>
      <c r="F709" s="13"/>
      <c r="G709" s="15"/>
    </row>
    <row r="710" spans="1:7" x14ac:dyDescent="0.2">
      <c r="A710" s="8"/>
      <c r="B710" s="10"/>
      <c r="C710" s="10"/>
      <c r="D710" s="9"/>
      <c r="E710" s="9"/>
      <c r="F710" s="9"/>
      <c r="G710" s="11"/>
    </row>
    <row r="711" spans="1:7" x14ac:dyDescent="0.2">
      <c r="A711" s="12"/>
      <c r="B711" s="14"/>
      <c r="C711" s="14"/>
      <c r="D711" s="13"/>
      <c r="E711" s="13"/>
      <c r="F711" s="13"/>
      <c r="G711" s="15"/>
    </row>
    <row r="712" spans="1:7" x14ac:dyDescent="0.2">
      <c r="A712" s="8"/>
      <c r="B712" s="10"/>
      <c r="C712" s="10"/>
      <c r="D712" s="9"/>
      <c r="E712" s="9"/>
      <c r="F712" s="9"/>
      <c r="G712" s="11"/>
    </row>
    <row r="713" spans="1:7" x14ac:dyDescent="0.2">
      <c r="A713" s="12"/>
      <c r="B713" s="14"/>
      <c r="C713" s="14"/>
      <c r="D713" s="13"/>
      <c r="E713" s="13"/>
      <c r="F713" s="13"/>
      <c r="G713" s="15"/>
    </row>
    <row r="714" spans="1:7" x14ac:dyDescent="0.2">
      <c r="A714" s="8"/>
      <c r="B714" s="10"/>
      <c r="C714" s="10"/>
      <c r="D714" s="9"/>
      <c r="E714" s="9"/>
      <c r="F714" s="9"/>
      <c r="G714" s="11"/>
    </row>
    <row r="715" spans="1:7" x14ac:dyDescent="0.2">
      <c r="A715" s="12"/>
      <c r="B715" s="14"/>
      <c r="C715" s="14"/>
      <c r="D715" s="13"/>
      <c r="E715" s="13"/>
      <c r="F715" s="13"/>
      <c r="G715" s="15"/>
    </row>
    <row r="716" spans="1:7" x14ac:dyDescent="0.2">
      <c r="A716" s="8"/>
      <c r="B716" s="10"/>
      <c r="C716" s="10"/>
      <c r="D716" s="9"/>
      <c r="E716" s="9"/>
      <c r="F716" s="9"/>
      <c r="G716" s="11"/>
    </row>
    <row r="717" spans="1:7" x14ac:dyDescent="0.2">
      <c r="A717" s="12"/>
      <c r="B717" s="14"/>
      <c r="C717" s="14"/>
      <c r="D717" s="13"/>
      <c r="E717" s="13"/>
      <c r="F717" s="13"/>
      <c r="G717" s="15"/>
    </row>
    <row r="718" spans="1:7" x14ac:dyDescent="0.2">
      <c r="A718" s="8"/>
      <c r="B718" s="10"/>
      <c r="C718" s="10"/>
      <c r="D718" s="9"/>
      <c r="E718" s="9"/>
      <c r="F718" s="9"/>
      <c r="G718" s="11"/>
    </row>
    <row r="719" spans="1:7" x14ac:dyDescent="0.2">
      <c r="A719" s="12"/>
      <c r="B719" s="14"/>
      <c r="C719" s="14"/>
      <c r="D719" s="13"/>
      <c r="E719" s="13"/>
      <c r="F719" s="13"/>
      <c r="G719" s="15"/>
    </row>
    <row r="720" spans="1:7" x14ac:dyDescent="0.2">
      <c r="A720" s="8"/>
      <c r="B720" s="10"/>
      <c r="C720" s="10"/>
      <c r="D720" s="9"/>
      <c r="E720" s="9"/>
      <c r="F720" s="9"/>
      <c r="G720" s="11"/>
    </row>
    <row r="721" spans="1:7" x14ac:dyDescent="0.2">
      <c r="A721" s="12"/>
      <c r="B721" s="14"/>
      <c r="C721" s="14"/>
      <c r="D721" s="13"/>
      <c r="E721" s="13"/>
      <c r="F721" s="13"/>
      <c r="G721" s="15"/>
    </row>
    <row r="722" spans="1:7" x14ac:dyDescent="0.2">
      <c r="A722" s="8"/>
      <c r="B722" s="10"/>
      <c r="C722" s="10"/>
      <c r="D722" s="9"/>
      <c r="E722" s="9"/>
      <c r="F722" s="9"/>
      <c r="G722" s="11"/>
    </row>
    <row r="723" spans="1:7" x14ac:dyDescent="0.2">
      <c r="A723" s="12"/>
      <c r="B723" s="14"/>
      <c r="C723" s="14"/>
      <c r="D723" s="13"/>
      <c r="E723" s="13"/>
      <c r="F723" s="13"/>
      <c r="G723" s="15"/>
    </row>
    <row r="724" spans="1:7" x14ac:dyDescent="0.2">
      <c r="A724" s="8"/>
      <c r="B724" s="10"/>
      <c r="C724" s="10"/>
      <c r="D724" s="9"/>
      <c r="E724" s="9"/>
      <c r="F724" s="9"/>
      <c r="G724" s="11"/>
    </row>
    <row r="725" spans="1:7" x14ac:dyDescent="0.2">
      <c r="A725" s="12"/>
      <c r="B725" s="14"/>
      <c r="C725" s="14"/>
      <c r="D725" s="13"/>
      <c r="E725" s="13"/>
      <c r="F725" s="13"/>
      <c r="G725" s="15"/>
    </row>
    <row r="726" spans="1:7" x14ac:dyDescent="0.2">
      <c r="A726" s="8"/>
      <c r="B726" s="10"/>
      <c r="C726" s="10"/>
      <c r="D726" s="9"/>
      <c r="E726" s="9"/>
      <c r="F726" s="9"/>
      <c r="G726" s="11"/>
    </row>
    <row r="727" spans="1:7" x14ac:dyDescent="0.2">
      <c r="A727" s="12"/>
      <c r="B727" s="14"/>
      <c r="C727" s="14"/>
      <c r="D727" s="13"/>
      <c r="E727" s="13"/>
      <c r="F727" s="13"/>
      <c r="G727" s="15"/>
    </row>
    <row r="728" spans="1:7" x14ac:dyDescent="0.2">
      <c r="A728" s="8"/>
      <c r="B728" s="10"/>
      <c r="C728" s="10"/>
      <c r="D728" s="9"/>
      <c r="E728" s="9"/>
      <c r="F728" s="9"/>
      <c r="G728" s="11"/>
    </row>
    <row r="729" spans="1:7" x14ac:dyDescent="0.2">
      <c r="A729" s="12"/>
      <c r="B729" s="14"/>
      <c r="C729" s="14"/>
      <c r="D729" s="13"/>
      <c r="E729" s="13"/>
      <c r="F729" s="13"/>
      <c r="G729" s="15"/>
    </row>
    <row r="730" spans="1:7" x14ac:dyDescent="0.2">
      <c r="A730" s="8"/>
      <c r="B730" s="10"/>
      <c r="C730" s="10"/>
      <c r="D730" s="9"/>
      <c r="E730" s="9"/>
      <c r="F730" s="9"/>
      <c r="G730" s="11"/>
    </row>
    <row r="731" spans="1:7" x14ac:dyDescent="0.2">
      <c r="A731" s="12"/>
      <c r="B731" s="14"/>
      <c r="C731" s="14"/>
      <c r="D731" s="13"/>
      <c r="E731" s="13"/>
      <c r="F731" s="13"/>
      <c r="G731" s="15"/>
    </row>
    <row r="732" spans="1:7" x14ac:dyDescent="0.2">
      <c r="A732" s="8"/>
      <c r="B732" s="10"/>
      <c r="C732" s="10"/>
      <c r="D732" s="9"/>
      <c r="E732" s="9"/>
      <c r="F732" s="9"/>
      <c r="G732" s="11"/>
    </row>
    <row r="733" spans="1:7" x14ac:dyDescent="0.2">
      <c r="A733" s="12"/>
      <c r="B733" s="14"/>
      <c r="C733" s="14"/>
      <c r="D733" s="13"/>
      <c r="E733" s="13"/>
      <c r="F733" s="13"/>
      <c r="G733" s="15"/>
    </row>
    <row r="734" spans="1:7" x14ac:dyDescent="0.2">
      <c r="A734" s="8"/>
      <c r="B734" s="10"/>
      <c r="C734" s="10"/>
      <c r="D734" s="9"/>
      <c r="E734" s="9"/>
      <c r="F734" s="9"/>
      <c r="G734" s="11"/>
    </row>
    <row r="735" spans="1:7" x14ac:dyDescent="0.2">
      <c r="A735" s="12"/>
      <c r="B735" s="14"/>
      <c r="C735" s="14"/>
      <c r="D735" s="13"/>
      <c r="E735" s="13"/>
      <c r="F735" s="13"/>
      <c r="G735" s="15"/>
    </row>
    <row r="736" spans="1:7" x14ac:dyDescent="0.2">
      <c r="A736" s="8"/>
      <c r="B736" s="10"/>
      <c r="C736" s="10"/>
      <c r="D736" s="9"/>
      <c r="E736" s="9"/>
      <c r="F736" s="9"/>
      <c r="G736" s="11"/>
    </row>
    <row r="737" spans="1:7" x14ac:dyDescent="0.2">
      <c r="A737" s="12"/>
      <c r="B737" s="14"/>
      <c r="C737" s="14"/>
      <c r="D737" s="13"/>
      <c r="E737" s="13"/>
      <c r="F737" s="13"/>
      <c r="G737" s="15"/>
    </row>
    <row r="738" spans="1:7" x14ac:dyDescent="0.2">
      <c r="A738" s="8"/>
      <c r="B738" s="10"/>
      <c r="C738" s="10"/>
      <c r="D738" s="9"/>
      <c r="E738" s="9"/>
      <c r="F738" s="9"/>
      <c r="G738" s="11"/>
    </row>
    <row r="739" spans="1:7" x14ac:dyDescent="0.2">
      <c r="A739" s="12"/>
      <c r="B739" s="14"/>
      <c r="C739" s="14"/>
      <c r="D739" s="13"/>
      <c r="E739" s="13"/>
      <c r="F739" s="13"/>
      <c r="G739" s="15"/>
    </row>
    <row r="740" spans="1:7" x14ac:dyDescent="0.2">
      <c r="A740" s="8"/>
      <c r="B740" s="10"/>
      <c r="C740" s="10"/>
      <c r="D740" s="9"/>
      <c r="E740" s="9"/>
      <c r="F740" s="9"/>
      <c r="G740" s="11"/>
    </row>
    <row r="741" spans="1:7" x14ac:dyDescent="0.2">
      <c r="A741" s="12"/>
      <c r="B741" s="14"/>
      <c r="C741" s="14"/>
      <c r="D741" s="13"/>
      <c r="E741" s="13"/>
      <c r="F741" s="13"/>
      <c r="G741" s="15"/>
    </row>
    <row r="742" spans="1:7" x14ac:dyDescent="0.2">
      <c r="A742" s="8"/>
      <c r="B742" s="10"/>
      <c r="C742" s="10"/>
      <c r="D742" s="9"/>
      <c r="E742" s="9"/>
      <c r="F742" s="9"/>
      <c r="G742" s="11"/>
    </row>
    <row r="743" spans="1:7" x14ac:dyDescent="0.2">
      <c r="A743" s="12"/>
      <c r="B743" s="14"/>
      <c r="C743" s="14"/>
      <c r="D743" s="13"/>
      <c r="E743" s="13"/>
      <c r="F743" s="13"/>
      <c r="G743" s="15"/>
    </row>
    <row r="744" spans="1:7" x14ac:dyDescent="0.2">
      <c r="A744" s="8"/>
      <c r="B744" s="10"/>
      <c r="C744" s="10"/>
      <c r="D744" s="9"/>
      <c r="E744" s="9"/>
      <c r="F744" s="9"/>
      <c r="G744" s="11"/>
    </row>
    <row r="745" spans="1:7" x14ac:dyDescent="0.2">
      <c r="A745" s="12"/>
      <c r="B745" s="14"/>
      <c r="C745" s="14"/>
      <c r="D745" s="13"/>
      <c r="E745" s="13"/>
      <c r="F745" s="13"/>
      <c r="G745" s="15"/>
    </row>
    <row r="746" spans="1:7" x14ac:dyDescent="0.2">
      <c r="A746" s="8"/>
      <c r="B746" s="10"/>
      <c r="C746" s="10"/>
      <c r="D746" s="9"/>
      <c r="E746" s="9"/>
      <c r="F746" s="9"/>
      <c r="G746" s="11"/>
    </row>
    <row r="747" spans="1:7" x14ac:dyDescent="0.2">
      <c r="A747" s="12"/>
      <c r="B747" s="14"/>
      <c r="C747" s="14"/>
      <c r="D747" s="13"/>
      <c r="E747" s="13"/>
      <c r="F747" s="13"/>
      <c r="G747" s="15"/>
    </row>
    <row r="748" spans="1:7" x14ac:dyDescent="0.2">
      <c r="A748" s="8"/>
      <c r="B748" s="10"/>
      <c r="C748" s="10"/>
      <c r="D748" s="9"/>
      <c r="E748" s="9"/>
      <c r="F748" s="9"/>
      <c r="G748" s="11"/>
    </row>
    <row r="749" spans="1:7" x14ac:dyDescent="0.2">
      <c r="A749" s="12"/>
      <c r="B749" s="14"/>
      <c r="C749" s="14"/>
      <c r="D749" s="13"/>
      <c r="E749" s="13"/>
      <c r="F749" s="13"/>
      <c r="G749" s="15"/>
    </row>
    <row r="750" spans="1:7" x14ac:dyDescent="0.2">
      <c r="A750" s="8"/>
      <c r="B750" s="10"/>
      <c r="C750" s="10"/>
      <c r="D750" s="9"/>
      <c r="E750" s="9"/>
      <c r="F750" s="9"/>
      <c r="G750" s="11"/>
    </row>
    <row r="751" spans="1:7" x14ac:dyDescent="0.2">
      <c r="A751" s="12"/>
      <c r="B751" s="14"/>
      <c r="C751" s="14"/>
      <c r="D751" s="13"/>
      <c r="E751" s="13"/>
      <c r="F751" s="13"/>
      <c r="G751" s="15"/>
    </row>
    <row r="752" spans="1:7" x14ac:dyDescent="0.2">
      <c r="A752" s="8"/>
      <c r="B752" s="10"/>
      <c r="C752" s="10"/>
      <c r="D752" s="9"/>
      <c r="E752" s="9"/>
      <c r="F752" s="9"/>
      <c r="G752" s="11"/>
    </row>
    <row r="753" spans="1:7" x14ac:dyDescent="0.2">
      <c r="A753" s="12"/>
      <c r="B753" s="14"/>
      <c r="C753" s="14"/>
      <c r="D753" s="13"/>
      <c r="E753" s="13"/>
      <c r="F753" s="13"/>
      <c r="G753" s="15"/>
    </row>
    <row r="754" spans="1:7" x14ac:dyDescent="0.2">
      <c r="A754" s="8"/>
      <c r="B754" s="10"/>
      <c r="C754" s="10"/>
      <c r="D754" s="9"/>
      <c r="E754" s="9"/>
      <c r="F754" s="9"/>
      <c r="G754" s="11"/>
    </row>
    <row r="755" spans="1:7" x14ac:dyDescent="0.2">
      <c r="A755" s="12"/>
      <c r="B755" s="14"/>
      <c r="C755" s="14"/>
      <c r="D755" s="13"/>
      <c r="E755" s="13"/>
      <c r="F755" s="13"/>
      <c r="G755" s="15"/>
    </row>
    <row r="756" spans="1:7" x14ac:dyDescent="0.2">
      <c r="A756" s="8"/>
      <c r="B756" s="10"/>
      <c r="C756" s="10"/>
      <c r="D756" s="9"/>
      <c r="E756" s="9"/>
      <c r="F756" s="9"/>
      <c r="G756" s="11"/>
    </row>
    <row r="757" spans="1:7" x14ac:dyDescent="0.2">
      <c r="A757" s="12"/>
      <c r="B757" s="14"/>
      <c r="C757" s="14"/>
      <c r="D757" s="13"/>
      <c r="E757" s="13"/>
      <c r="F757" s="13"/>
      <c r="G757" s="15"/>
    </row>
    <row r="758" spans="1:7" x14ac:dyDescent="0.2">
      <c r="A758" s="8"/>
      <c r="B758" s="10"/>
      <c r="C758" s="10"/>
      <c r="D758" s="9"/>
      <c r="E758" s="9"/>
      <c r="F758" s="9"/>
      <c r="G758" s="11"/>
    </row>
    <row r="759" spans="1:7" x14ac:dyDescent="0.2">
      <c r="A759" s="12"/>
      <c r="B759" s="14"/>
      <c r="C759" s="14"/>
      <c r="D759" s="13"/>
      <c r="E759" s="13"/>
      <c r="F759" s="13"/>
      <c r="G759" s="15"/>
    </row>
    <row r="760" spans="1:7" x14ac:dyDescent="0.2">
      <c r="A760" s="8"/>
      <c r="B760" s="10"/>
      <c r="C760" s="10"/>
      <c r="D760" s="9"/>
      <c r="E760" s="9"/>
      <c r="F760" s="9"/>
      <c r="G760" s="11"/>
    </row>
    <row r="761" spans="1:7" x14ac:dyDescent="0.2">
      <c r="A761" s="12"/>
      <c r="B761" s="14"/>
      <c r="C761" s="14"/>
      <c r="D761" s="13"/>
      <c r="E761" s="13"/>
      <c r="F761" s="13"/>
      <c r="G761" s="15"/>
    </row>
    <row r="762" spans="1:7" x14ac:dyDescent="0.2">
      <c r="A762" s="8"/>
      <c r="B762" s="10"/>
      <c r="C762" s="10"/>
      <c r="D762" s="9"/>
      <c r="E762" s="9"/>
      <c r="F762" s="9"/>
      <c r="G762" s="11"/>
    </row>
    <row r="763" spans="1:7" x14ac:dyDescent="0.2">
      <c r="A763" s="12"/>
      <c r="B763" s="14"/>
      <c r="C763" s="14"/>
      <c r="D763" s="13"/>
      <c r="E763" s="13"/>
      <c r="F763" s="13"/>
      <c r="G763" s="15"/>
    </row>
    <row r="764" spans="1:7" x14ac:dyDescent="0.2">
      <c r="A764" s="8"/>
      <c r="B764" s="10"/>
      <c r="C764" s="10"/>
      <c r="D764" s="9"/>
      <c r="E764" s="9"/>
      <c r="F764" s="9"/>
      <c r="G764" s="11"/>
    </row>
    <row r="765" spans="1:7" x14ac:dyDescent="0.2">
      <c r="A765" s="12"/>
      <c r="B765" s="14"/>
      <c r="C765" s="14"/>
      <c r="D765" s="13"/>
      <c r="E765" s="13"/>
      <c r="F765" s="13"/>
      <c r="G765" s="15"/>
    </row>
    <row r="766" spans="1:7" x14ac:dyDescent="0.2">
      <c r="A766" s="8"/>
      <c r="B766" s="10"/>
      <c r="C766" s="10"/>
      <c r="D766" s="9"/>
      <c r="E766" s="9"/>
      <c r="F766" s="9"/>
      <c r="G766" s="11"/>
    </row>
    <row r="767" spans="1:7" x14ac:dyDescent="0.2">
      <c r="A767" s="12"/>
      <c r="B767" s="14"/>
      <c r="C767" s="14"/>
      <c r="D767" s="13"/>
      <c r="E767" s="13"/>
      <c r="F767" s="13"/>
      <c r="G767" s="15"/>
    </row>
    <row r="768" spans="1:7" x14ac:dyDescent="0.2">
      <c r="A768" s="8"/>
      <c r="B768" s="10"/>
      <c r="C768" s="10"/>
      <c r="D768" s="9"/>
      <c r="E768" s="9"/>
      <c r="F768" s="9"/>
      <c r="G768" s="11"/>
    </row>
    <row r="769" spans="1:7" x14ac:dyDescent="0.2">
      <c r="A769" s="12"/>
      <c r="B769" s="14"/>
      <c r="C769" s="14"/>
      <c r="D769" s="13"/>
      <c r="E769" s="13"/>
      <c r="F769" s="13"/>
      <c r="G769" s="15"/>
    </row>
    <row r="770" spans="1:7" x14ac:dyDescent="0.2">
      <c r="A770" s="8"/>
      <c r="B770" s="10"/>
      <c r="C770" s="10"/>
      <c r="D770" s="9"/>
      <c r="E770" s="9"/>
      <c r="F770" s="9"/>
      <c r="G770" s="11"/>
    </row>
    <row r="771" spans="1:7" x14ac:dyDescent="0.2">
      <c r="A771" s="12"/>
      <c r="B771" s="14"/>
      <c r="C771" s="14"/>
      <c r="D771" s="13"/>
      <c r="E771" s="13"/>
      <c r="F771" s="13"/>
      <c r="G771" s="15"/>
    </row>
    <row r="772" spans="1:7" x14ac:dyDescent="0.2">
      <c r="A772" s="8"/>
      <c r="B772" s="10"/>
      <c r="C772" s="10"/>
      <c r="D772" s="9"/>
      <c r="E772" s="9"/>
      <c r="F772" s="9"/>
      <c r="G772" s="11"/>
    </row>
    <row r="773" spans="1:7" x14ac:dyDescent="0.2">
      <c r="A773" s="12"/>
      <c r="B773" s="14"/>
      <c r="C773" s="14"/>
      <c r="D773" s="13"/>
      <c r="E773" s="13"/>
      <c r="F773" s="13"/>
      <c r="G773" s="15"/>
    </row>
    <row r="774" spans="1:7" x14ac:dyDescent="0.2">
      <c r="A774" s="8"/>
      <c r="B774" s="10"/>
      <c r="C774" s="10"/>
      <c r="D774" s="9"/>
      <c r="E774" s="9"/>
      <c r="F774" s="9"/>
      <c r="G774" s="11"/>
    </row>
    <row r="775" spans="1:7" x14ac:dyDescent="0.2">
      <c r="A775" s="12"/>
      <c r="B775" s="14"/>
      <c r="C775" s="14"/>
      <c r="D775" s="13"/>
      <c r="E775" s="13"/>
      <c r="F775" s="13"/>
      <c r="G775" s="15"/>
    </row>
    <row r="776" spans="1:7" x14ac:dyDescent="0.2">
      <c r="A776" s="8"/>
      <c r="B776" s="10"/>
      <c r="C776" s="10"/>
      <c r="D776" s="9"/>
      <c r="E776" s="9"/>
      <c r="F776" s="9"/>
      <c r="G776" s="11"/>
    </row>
    <row r="777" spans="1:7" x14ac:dyDescent="0.2">
      <c r="A777" s="12"/>
      <c r="B777" s="14"/>
      <c r="C777" s="14"/>
      <c r="D777" s="13"/>
      <c r="E777" s="13"/>
      <c r="F777" s="13"/>
      <c r="G777" s="15"/>
    </row>
    <row r="778" spans="1:7" x14ac:dyDescent="0.2">
      <c r="A778" s="8"/>
      <c r="B778" s="10"/>
      <c r="C778" s="10"/>
      <c r="D778" s="9"/>
      <c r="E778" s="9"/>
      <c r="F778" s="9"/>
      <c r="G778" s="11"/>
    </row>
    <row r="779" spans="1:7" x14ac:dyDescent="0.2">
      <c r="A779" s="12"/>
      <c r="B779" s="14"/>
      <c r="C779" s="14"/>
      <c r="D779" s="13"/>
      <c r="E779" s="13"/>
      <c r="F779" s="13"/>
      <c r="G779" s="15"/>
    </row>
    <row r="780" spans="1:7" x14ac:dyDescent="0.2">
      <c r="A780" s="8"/>
      <c r="B780" s="10"/>
      <c r="C780" s="10"/>
      <c r="D780" s="9"/>
      <c r="E780" s="9"/>
      <c r="F780" s="9"/>
      <c r="G780" s="11"/>
    </row>
    <row r="781" spans="1:7" x14ac:dyDescent="0.2">
      <c r="A781" s="12"/>
      <c r="B781" s="14"/>
      <c r="C781" s="14"/>
      <c r="D781" s="13"/>
      <c r="E781" s="13"/>
      <c r="F781" s="13"/>
      <c r="G781" s="15"/>
    </row>
    <row r="782" spans="1:7" x14ac:dyDescent="0.2">
      <c r="A782" s="8"/>
      <c r="B782" s="10"/>
      <c r="C782" s="10"/>
      <c r="D782" s="9"/>
      <c r="E782" s="9"/>
      <c r="F782" s="9"/>
      <c r="G782" s="11"/>
    </row>
    <row r="783" spans="1:7" x14ac:dyDescent="0.2">
      <c r="A783" s="12"/>
      <c r="B783" s="14"/>
      <c r="C783" s="14"/>
      <c r="D783" s="13"/>
      <c r="E783" s="13"/>
      <c r="F783" s="13"/>
      <c r="G783" s="15"/>
    </row>
    <row r="784" spans="1:7" x14ac:dyDescent="0.2">
      <c r="A784" s="8"/>
      <c r="B784" s="10"/>
      <c r="C784" s="10"/>
      <c r="D784" s="9"/>
      <c r="E784" s="9"/>
      <c r="F784" s="9"/>
      <c r="G784" s="11"/>
    </row>
    <row r="785" spans="1:7" x14ac:dyDescent="0.2">
      <c r="A785" s="12"/>
      <c r="B785" s="14"/>
      <c r="C785" s="14"/>
      <c r="D785" s="13"/>
      <c r="E785" s="13"/>
      <c r="F785" s="13"/>
      <c r="G785" s="15"/>
    </row>
    <row r="786" spans="1:7" x14ac:dyDescent="0.2">
      <c r="A786" s="8"/>
      <c r="B786" s="10"/>
      <c r="C786" s="10"/>
      <c r="D786" s="9"/>
      <c r="E786" s="9"/>
      <c r="F786" s="9"/>
      <c r="G786" s="11"/>
    </row>
    <row r="787" spans="1:7" x14ac:dyDescent="0.2">
      <c r="A787" s="12"/>
      <c r="B787" s="14"/>
      <c r="C787" s="14"/>
      <c r="D787" s="13"/>
      <c r="E787" s="13"/>
      <c r="F787" s="13"/>
      <c r="G787" s="15"/>
    </row>
    <row r="788" spans="1:7" x14ac:dyDescent="0.2">
      <c r="A788" s="8"/>
      <c r="B788" s="10"/>
      <c r="C788" s="10"/>
      <c r="D788" s="9"/>
      <c r="E788" s="9"/>
      <c r="F788" s="9"/>
      <c r="G788" s="11"/>
    </row>
    <row r="789" spans="1:7" x14ac:dyDescent="0.2">
      <c r="A789" s="12"/>
      <c r="B789" s="14"/>
      <c r="C789" s="14"/>
      <c r="D789" s="13"/>
      <c r="E789" s="13"/>
      <c r="F789" s="13"/>
      <c r="G789" s="15"/>
    </row>
    <row r="790" spans="1:7" x14ac:dyDescent="0.2">
      <c r="A790" s="8"/>
      <c r="B790" s="10"/>
      <c r="C790" s="10"/>
      <c r="D790" s="9"/>
      <c r="E790" s="9"/>
      <c r="F790" s="9"/>
      <c r="G790" s="11"/>
    </row>
    <row r="791" spans="1:7" x14ac:dyDescent="0.2">
      <c r="A791" s="12"/>
      <c r="B791" s="14"/>
      <c r="C791" s="14"/>
      <c r="D791" s="13"/>
      <c r="E791" s="13"/>
      <c r="F791" s="13"/>
      <c r="G791" s="15"/>
    </row>
    <row r="792" spans="1:7" x14ac:dyDescent="0.2">
      <c r="A792" s="8"/>
      <c r="B792" s="10"/>
      <c r="C792" s="10"/>
      <c r="D792" s="9"/>
      <c r="E792" s="9"/>
      <c r="F792" s="9"/>
      <c r="G792" s="11"/>
    </row>
    <row r="793" spans="1:7" x14ac:dyDescent="0.2">
      <c r="A793" s="12"/>
      <c r="B793" s="14"/>
      <c r="C793" s="14"/>
      <c r="D793" s="13"/>
      <c r="E793" s="13"/>
      <c r="F793" s="13"/>
      <c r="G793" s="15"/>
    </row>
    <row r="794" spans="1:7" x14ac:dyDescent="0.2">
      <c r="A794" s="8"/>
      <c r="B794" s="10"/>
      <c r="C794" s="10"/>
      <c r="D794" s="9"/>
      <c r="E794" s="9"/>
      <c r="F794" s="9"/>
      <c r="G794" s="11"/>
    </row>
    <row r="795" spans="1:7" x14ac:dyDescent="0.2">
      <c r="A795" s="12"/>
      <c r="B795" s="14"/>
      <c r="C795" s="14"/>
      <c r="D795" s="13"/>
      <c r="E795" s="13"/>
      <c r="F795" s="13"/>
      <c r="G795" s="15"/>
    </row>
    <row r="796" spans="1:7" x14ac:dyDescent="0.2">
      <c r="A796" s="8"/>
      <c r="B796" s="10"/>
      <c r="C796" s="10"/>
      <c r="D796" s="9"/>
      <c r="E796" s="9"/>
      <c r="F796" s="9"/>
      <c r="G796" s="11"/>
    </row>
    <row r="797" spans="1:7" x14ac:dyDescent="0.2">
      <c r="A797" s="12"/>
      <c r="B797" s="14"/>
      <c r="C797" s="14"/>
      <c r="D797" s="13"/>
      <c r="E797" s="13"/>
      <c r="F797" s="13"/>
      <c r="G797" s="15"/>
    </row>
    <row r="798" spans="1:7" x14ac:dyDescent="0.2">
      <c r="A798" s="8"/>
      <c r="B798" s="10"/>
      <c r="C798" s="10"/>
      <c r="D798" s="9"/>
      <c r="E798" s="9"/>
      <c r="F798" s="9"/>
      <c r="G798" s="11"/>
    </row>
    <row r="799" spans="1:7" x14ac:dyDescent="0.2">
      <c r="A799" s="12"/>
      <c r="B799" s="14"/>
      <c r="C799" s="14"/>
      <c r="D799" s="13"/>
      <c r="E799" s="13"/>
      <c r="F799" s="13"/>
      <c r="G799" s="15"/>
    </row>
    <row r="800" spans="1:7" x14ac:dyDescent="0.2">
      <c r="A800" s="8"/>
      <c r="B800" s="10"/>
      <c r="C800" s="10"/>
      <c r="D800" s="9"/>
      <c r="E800" s="9"/>
      <c r="F800" s="9"/>
      <c r="G800" s="11"/>
    </row>
    <row r="801" spans="1:7" x14ac:dyDescent="0.2">
      <c r="A801" s="12"/>
      <c r="B801" s="14"/>
      <c r="C801" s="14"/>
      <c r="D801" s="13"/>
      <c r="E801" s="13"/>
      <c r="F801" s="13"/>
      <c r="G801" s="15"/>
    </row>
    <row r="802" spans="1:7" x14ac:dyDescent="0.2">
      <c r="A802" s="8"/>
      <c r="B802" s="10"/>
      <c r="C802" s="10"/>
      <c r="D802" s="9"/>
      <c r="E802" s="9"/>
      <c r="F802" s="9"/>
      <c r="G802" s="11"/>
    </row>
    <row r="803" spans="1:7" x14ac:dyDescent="0.2">
      <c r="A803" s="12"/>
      <c r="B803" s="14"/>
      <c r="C803" s="14"/>
      <c r="D803" s="13"/>
      <c r="E803" s="13"/>
      <c r="F803" s="13"/>
      <c r="G803" s="15"/>
    </row>
    <row r="804" spans="1:7" x14ac:dyDescent="0.2">
      <c r="A804" s="8"/>
      <c r="B804" s="10"/>
      <c r="C804" s="10"/>
      <c r="D804" s="9"/>
      <c r="E804" s="9"/>
      <c r="F804" s="9"/>
      <c r="G804" s="11"/>
    </row>
    <row r="805" spans="1:7" x14ac:dyDescent="0.2">
      <c r="A805" s="12"/>
      <c r="B805" s="14"/>
      <c r="C805" s="14"/>
      <c r="D805" s="13"/>
      <c r="E805" s="13"/>
      <c r="F805" s="13"/>
      <c r="G805" s="15"/>
    </row>
    <row r="806" spans="1:7" x14ac:dyDescent="0.2">
      <c r="A806" s="8"/>
      <c r="B806" s="10"/>
      <c r="C806" s="10"/>
      <c r="D806" s="9"/>
      <c r="E806" s="9"/>
      <c r="F806" s="9"/>
      <c r="G806" s="11"/>
    </row>
    <row r="807" spans="1:7" x14ac:dyDescent="0.2">
      <c r="A807" s="12"/>
      <c r="B807" s="14"/>
      <c r="C807" s="14"/>
      <c r="D807" s="13"/>
      <c r="E807" s="13"/>
      <c r="F807" s="13"/>
      <c r="G807" s="15"/>
    </row>
    <row r="808" spans="1:7" x14ac:dyDescent="0.2">
      <c r="A808" s="8"/>
      <c r="B808" s="10"/>
      <c r="C808" s="10"/>
      <c r="D808" s="9"/>
      <c r="E808" s="9"/>
      <c r="F808" s="9"/>
      <c r="G808" s="11"/>
    </row>
    <row r="809" spans="1:7" x14ac:dyDescent="0.2">
      <c r="A809" s="12"/>
      <c r="B809" s="14"/>
      <c r="C809" s="14"/>
      <c r="D809" s="13"/>
      <c r="E809" s="13"/>
      <c r="F809" s="13"/>
      <c r="G809" s="15"/>
    </row>
    <row r="810" spans="1:7" x14ac:dyDescent="0.2">
      <c r="A810" s="8"/>
      <c r="B810" s="10"/>
      <c r="C810" s="10"/>
      <c r="D810" s="9"/>
      <c r="E810" s="9"/>
      <c r="F810" s="9"/>
      <c r="G810" s="11"/>
    </row>
    <row r="811" spans="1:7" x14ac:dyDescent="0.2">
      <c r="A811" s="12"/>
      <c r="B811" s="14"/>
      <c r="C811" s="14"/>
      <c r="D811" s="13"/>
      <c r="E811" s="13"/>
      <c r="F811" s="13"/>
      <c r="G811" s="15"/>
    </row>
    <row r="812" spans="1:7" x14ac:dyDescent="0.2">
      <c r="A812" s="8"/>
      <c r="B812" s="10"/>
      <c r="C812" s="10"/>
      <c r="D812" s="9"/>
      <c r="E812" s="9"/>
      <c r="F812" s="9"/>
      <c r="G812" s="11"/>
    </row>
    <row r="813" spans="1:7" x14ac:dyDescent="0.2">
      <c r="A813" s="12"/>
      <c r="B813" s="14"/>
      <c r="C813" s="14"/>
      <c r="D813" s="13"/>
      <c r="E813" s="13"/>
      <c r="F813" s="13"/>
      <c r="G813" s="15"/>
    </row>
    <row r="814" spans="1:7" x14ac:dyDescent="0.2">
      <c r="A814" s="8"/>
      <c r="B814" s="10"/>
      <c r="C814" s="10"/>
      <c r="D814" s="9"/>
      <c r="E814" s="9"/>
      <c r="F814" s="9"/>
      <c r="G814" s="11"/>
    </row>
    <row r="815" spans="1:7" x14ac:dyDescent="0.2">
      <c r="A815" s="12"/>
      <c r="B815" s="14"/>
      <c r="C815" s="14"/>
      <c r="D815" s="13"/>
      <c r="E815" s="13"/>
      <c r="F815" s="13"/>
      <c r="G815" s="15"/>
    </row>
    <row r="816" spans="1:7" x14ac:dyDescent="0.2">
      <c r="A816" s="8"/>
      <c r="B816" s="10"/>
      <c r="C816" s="10"/>
      <c r="D816" s="9"/>
      <c r="E816" s="9"/>
      <c r="F816" s="9"/>
      <c r="G816" s="11"/>
    </row>
    <row r="817" spans="1:7" x14ac:dyDescent="0.2">
      <c r="A817" s="12"/>
      <c r="B817" s="14"/>
      <c r="C817" s="14"/>
      <c r="D817" s="13"/>
      <c r="E817" s="13"/>
      <c r="F817" s="13"/>
      <c r="G817" s="15"/>
    </row>
    <row r="818" spans="1:7" x14ac:dyDescent="0.2">
      <c r="A818" s="8"/>
      <c r="B818" s="10"/>
      <c r="C818" s="10"/>
      <c r="D818" s="9"/>
      <c r="E818" s="9"/>
      <c r="F818" s="9"/>
      <c r="G818" s="11"/>
    </row>
    <row r="819" spans="1:7" x14ac:dyDescent="0.2">
      <c r="A819" s="12"/>
      <c r="B819" s="14"/>
      <c r="C819" s="14"/>
      <c r="D819" s="13"/>
      <c r="E819" s="13"/>
      <c r="F819" s="13"/>
      <c r="G819" s="15"/>
    </row>
    <row r="820" spans="1:7" x14ac:dyDescent="0.2">
      <c r="A820" s="8"/>
      <c r="B820" s="10"/>
      <c r="C820" s="10"/>
      <c r="D820" s="9"/>
      <c r="E820" s="9"/>
      <c r="F820" s="9"/>
      <c r="G820" s="11"/>
    </row>
    <row r="821" spans="1:7" x14ac:dyDescent="0.2">
      <c r="A821" s="12"/>
      <c r="B821" s="14"/>
      <c r="C821" s="14"/>
      <c r="D821" s="13"/>
      <c r="E821" s="13"/>
      <c r="F821" s="13"/>
      <c r="G821" s="15"/>
    </row>
    <row r="822" spans="1:7" x14ac:dyDescent="0.2">
      <c r="A822" s="8"/>
      <c r="B822" s="10"/>
      <c r="C822" s="10"/>
      <c r="D822" s="9"/>
      <c r="E822" s="9"/>
      <c r="F822" s="9"/>
      <c r="G822" s="11"/>
    </row>
    <row r="823" spans="1:7" x14ac:dyDescent="0.2">
      <c r="A823" s="12"/>
      <c r="B823" s="14"/>
      <c r="C823" s="14"/>
      <c r="D823" s="13"/>
      <c r="E823" s="13"/>
      <c r="F823" s="13"/>
      <c r="G823" s="15"/>
    </row>
    <row r="824" spans="1:7" x14ac:dyDescent="0.2">
      <c r="A824" s="8"/>
      <c r="B824" s="10"/>
      <c r="C824" s="10"/>
      <c r="D824" s="9"/>
      <c r="E824" s="9"/>
      <c r="F824" s="9"/>
      <c r="G824" s="11"/>
    </row>
    <row r="825" spans="1:7" x14ac:dyDescent="0.2">
      <c r="A825" s="12"/>
      <c r="B825" s="14"/>
      <c r="C825" s="14"/>
      <c r="D825" s="13"/>
      <c r="E825" s="13"/>
      <c r="F825" s="13"/>
      <c r="G825" s="15"/>
    </row>
    <row r="826" spans="1:7" x14ac:dyDescent="0.2">
      <c r="A826" s="8"/>
      <c r="B826" s="10"/>
      <c r="C826" s="10"/>
      <c r="D826" s="9"/>
      <c r="E826" s="9"/>
      <c r="F826" s="9"/>
      <c r="G826" s="11"/>
    </row>
    <row r="827" spans="1:7" x14ac:dyDescent="0.2">
      <c r="A827" s="12"/>
      <c r="B827" s="14"/>
      <c r="C827" s="14"/>
      <c r="D827" s="13"/>
      <c r="E827" s="13"/>
      <c r="F827" s="13"/>
      <c r="G827" s="15"/>
    </row>
    <row r="828" spans="1:7" x14ac:dyDescent="0.2">
      <c r="A828" s="8"/>
      <c r="B828" s="10"/>
      <c r="C828" s="10"/>
      <c r="D828" s="9"/>
      <c r="E828" s="9"/>
      <c r="F828" s="9"/>
      <c r="G828" s="11"/>
    </row>
    <row r="829" spans="1:7" x14ac:dyDescent="0.2">
      <c r="A829" s="12"/>
      <c r="B829" s="14"/>
      <c r="C829" s="14"/>
      <c r="D829" s="13"/>
      <c r="E829" s="13"/>
      <c r="F829" s="13"/>
      <c r="G829" s="15"/>
    </row>
    <row r="830" spans="1:7" x14ac:dyDescent="0.2">
      <c r="A830" s="8"/>
      <c r="B830" s="10"/>
      <c r="C830" s="10"/>
      <c r="D830" s="9"/>
      <c r="E830" s="9"/>
      <c r="F830" s="9"/>
      <c r="G830" s="11"/>
    </row>
    <row r="831" spans="1:7" x14ac:dyDescent="0.2">
      <c r="A831" s="12"/>
      <c r="B831" s="14"/>
      <c r="C831" s="14"/>
      <c r="D831" s="13"/>
      <c r="E831" s="13"/>
      <c r="F831" s="13"/>
      <c r="G831" s="15"/>
    </row>
    <row r="832" spans="1:7" x14ac:dyDescent="0.2">
      <c r="A832" s="8"/>
      <c r="B832" s="10"/>
      <c r="C832" s="10"/>
      <c r="D832" s="9"/>
      <c r="E832" s="9"/>
      <c r="F832" s="9"/>
      <c r="G832" s="11"/>
    </row>
    <row r="833" spans="1:7" x14ac:dyDescent="0.2">
      <c r="A833" s="12"/>
      <c r="B833" s="14"/>
      <c r="C833" s="14"/>
      <c r="D833" s="13"/>
      <c r="E833" s="13"/>
      <c r="F833" s="13"/>
      <c r="G833" s="15"/>
    </row>
    <row r="834" spans="1:7" x14ac:dyDescent="0.2">
      <c r="A834" s="8"/>
      <c r="B834" s="10"/>
      <c r="C834" s="10"/>
      <c r="D834" s="9"/>
      <c r="E834" s="9"/>
      <c r="F834" s="9"/>
      <c r="G834" s="11"/>
    </row>
    <row r="835" spans="1:7" x14ac:dyDescent="0.2">
      <c r="A835" s="12"/>
      <c r="B835" s="14"/>
      <c r="C835" s="14"/>
      <c r="D835" s="13"/>
      <c r="E835" s="13"/>
      <c r="F835" s="13"/>
      <c r="G835" s="15"/>
    </row>
    <row r="836" spans="1:7" x14ac:dyDescent="0.2">
      <c r="A836" s="8"/>
      <c r="B836" s="10"/>
      <c r="C836" s="10"/>
      <c r="D836" s="9"/>
      <c r="E836" s="9"/>
      <c r="F836" s="9"/>
      <c r="G836" s="11"/>
    </row>
    <row r="837" spans="1:7" x14ac:dyDescent="0.2">
      <c r="A837" s="12"/>
      <c r="B837" s="14"/>
      <c r="C837" s="14"/>
      <c r="D837" s="13"/>
      <c r="E837" s="13"/>
      <c r="F837" s="13"/>
      <c r="G837" s="15"/>
    </row>
    <row r="838" spans="1:7" x14ac:dyDescent="0.2">
      <c r="A838" s="8"/>
      <c r="B838" s="10"/>
      <c r="C838" s="10"/>
      <c r="D838" s="9"/>
      <c r="E838" s="9"/>
      <c r="F838" s="9"/>
      <c r="G838" s="11"/>
    </row>
    <row r="839" spans="1:7" x14ac:dyDescent="0.2">
      <c r="A839" s="12"/>
      <c r="B839" s="14"/>
      <c r="C839" s="14"/>
      <c r="D839" s="13"/>
      <c r="E839" s="13"/>
      <c r="F839" s="13"/>
      <c r="G839" s="15"/>
    </row>
    <row r="840" spans="1:7" x14ac:dyDescent="0.2">
      <c r="A840" s="8"/>
      <c r="B840" s="10"/>
      <c r="C840" s="10"/>
      <c r="D840" s="9"/>
      <c r="E840" s="9"/>
      <c r="F840" s="9"/>
      <c r="G840" s="11"/>
    </row>
    <row r="841" spans="1:7" x14ac:dyDescent="0.2">
      <c r="A841" s="12"/>
      <c r="B841" s="14"/>
      <c r="C841" s="14"/>
      <c r="D841" s="13"/>
      <c r="E841" s="13"/>
      <c r="F841" s="13"/>
      <c r="G841" s="15"/>
    </row>
    <row r="842" spans="1:7" x14ac:dyDescent="0.2">
      <c r="A842" s="8"/>
      <c r="B842" s="10"/>
      <c r="C842" s="10"/>
      <c r="D842" s="9"/>
      <c r="E842" s="9"/>
      <c r="F842" s="9"/>
      <c r="G842" s="11"/>
    </row>
    <row r="843" spans="1:7" x14ac:dyDescent="0.2">
      <c r="A843" s="12"/>
      <c r="B843" s="14"/>
      <c r="C843" s="14"/>
      <c r="D843" s="13"/>
      <c r="E843" s="13"/>
      <c r="F843" s="13"/>
      <c r="G843" s="15"/>
    </row>
    <row r="844" spans="1:7" x14ac:dyDescent="0.2">
      <c r="A844" s="8"/>
      <c r="B844" s="10"/>
      <c r="C844" s="10"/>
      <c r="D844" s="9"/>
      <c r="E844" s="9"/>
      <c r="F844" s="9"/>
      <c r="G844" s="11"/>
    </row>
    <row r="845" spans="1:7" x14ac:dyDescent="0.2">
      <c r="A845" s="12"/>
      <c r="B845" s="14"/>
      <c r="C845" s="14"/>
      <c r="D845" s="13"/>
      <c r="E845" s="13"/>
      <c r="F845" s="13"/>
      <c r="G845" s="15"/>
    </row>
    <row r="846" spans="1:7" x14ac:dyDescent="0.2">
      <c r="A846" s="8"/>
      <c r="B846" s="10"/>
      <c r="C846" s="10"/>
      <c r="D846" s="9"/>
      <c r="E846" s="9"/>
      <c r="F846" s="9"/>
      <c r="G846" s="11"/>
    </row>
    <row r="847" spans="1:7" x14ac:dyDescent="0.2">
      <c r="A847" s="12"/>
      <c r="B847" s="14"/>
      <c r="C847" s="14"/>
      <c r="D847" s="13"/>
      <c r="E847" s="13"/>
      <c r="F847" s="13"/>
      <c r="G847" s="15"/>
    </row>
    <row r="848" spans="1:7" x14ac:dyDescent="0.2">
      <c r="A848" s="8"/>
      <c r="B848" s="10"/>
      <c r="C848" s="10"/>
      <c r="D848" s="9"/>
      <c r="E848" s="9"/>
      <c r="F848" s="9"/>
      <c r="G848" s="11"/>
    </row>
    <row r="849" spans="1:7" x14ac:dyDescent="0.2">
      <c r="A849" s="12"/>
      <c r="B849" s="14"/>
      <c r="C849" s="14"/>
      <c r="D849" s="13"/>
      <c r="E849" s="13"/>
      <c r="F849" s="13"/>
      <c r="G849" s="15"/>
    </row>
    <row r="850" spans="1:7" x14ac:dyDescent="0.2">
      <c r="A850" s="8"/>
      <c r="B850" s="10"/>
      <c r="C850" s="10"/>
      <c r="D850" s="9"/>
      <c r="E850" s="9"/>
      <c r="F850" s="9"/>
      <c r="G850" s="11"/>
    </row>
    <row r="851" spans="1:7" x14ac:dyDescent="0.2">
      <c r="A851" s="12"/>
      <c r="B851" s="14"/>
      <c r="C851" s="14"/>
      <c r="D851" s="13"/>
      <c r="E851" s="13"/>
      <c r="F851" s="13"/>
      <c r="G851" s="15"/>
    </row>
    <row r="852" spans="1:7" x14ac:dyDescent="0.2">
      <c r="A852" s="8"/>
      <c r="B852" s="10"/>
      <c r="C852" s="10"/>
      <c r="D852" s="9"/>
      <c r="E852" s="9"/>
      <c r="F852" s="9"/>
      <c r="G852" s="11"/>
    </row>
    <row r="853" spans="1:7" x14ac:dyDescent="0.2">
      <c r="A853" s="12"/>
      <c r="B853" s="14"/>
      <c r="C853" s="14"/>
      <c r="D853" s="13"/>
      <c r="E853" s="13"/>
      <c r="F853" s="13"/>
      <c r="G853" s="15"/>
    </row>
    <row r="854" spans="1:7" x14ac:dyDescent="0.2">
      <c r="A854" s="8"/>
      <c r="B854" s="10"/>
      <c r="C854" s="10"/>
      <c r="D854" s="9"/>
      <c r="E854" s="9"/>
      <c r="F854" s="9"/>
      <c r="G854" s="11"/>
    </row>
    <row r="855" spans="1:7" x14ac:dyDescent="0.2">
      <c r="A855" s="12"/>
      <c r="B855" s="14"/>
      <c r="C855" s="14"/>
      <c r="D855" s="13"/>
      <c r="E855" s="13"/>
      <c r="F855" s="13"/>
      <c r="G855" s="15"/>
    </row>
    <row r="856" spans="1:7" x14ac:dyDescent="0.2">
      <c r="A856" s="8"/>
      <c r="B856" s="10"/>
      <c r="C856" s="10"/>
      <c r="D856" s="9"/>
      <c r="E856" s="9"/>
      <c r="F856" s="9"/>
      <c r="G856" s="11"/>
    </row>
    <row r="857" spans="1:7" x14ac:dyDescent="0.2">
      <c r="A857" s="12"/>
      <c r="B857" s="14"/>
      <c r="C857" s="14"/>
      <c r="D857" s="13"/>
      <c r="E857" s="13"/>
      <c r="F857" s="13"/>
      <c r="G857" s="15"/>
    </row>
    <row r="858" spans="1:7" x14ac:dyDescent="0.2">
      <c r="A858" s="8"/>
      <c r="B858" s="10"/>
      <c r="C858" s="10"/>
      <c r="D858" s="9"/>
      <c r="E858" s="9"/>
      <c r="F858" s="9"/>
      <c r="G858" s="11"/>
    </row>
    <row r="859" spans="1:7" x14ac:dyDescent="0.2">
      <c r="A859" s="12"/>
      <c r="B859" s="14"/>
      <c r="C859" s="14"/>
      <c r="D859" s="13"/>
      <c r="E859" s="13"/>
      <c r="F859" s="13"/>
      <c r="G859" s="15"/>
    </row>
    <row r="860" spans="1:7" x14ac:dyDescent="0.2">
      <c r="A860" s="8"/>
      <c r="B860" s="10"/>
      <c r="C860" s="10"/>
      <c r="D860" s="9"/>
      <c r="E860" s="9"/>
      <c r="F860" s="9"/>
      <c r="G860" s="11"/>
    </row>
    <row r="861" spans="1:7" x14ac:dyDescent="0.2">
      <c r="A861" s="12"/>
      <c r="B861" s="14"/>
      <c r="C861" s="14"/>
      <c r="D861" s="13"/>
      <c r="E861" s="13"/>
      <c r="F861" s="13"/>
      <c r="G861" s="15"/>
    </row>
    <row r="862" spans="1:7" x14ac:dyDescent="0.2">
      <c r="A862" s="8"/>
      <c r="B862" s="10"/>
      <c r="C862" s="10"/>
      <c r="D862" s="9"/>
      <c r="E862" s="9"/>
      <c r="F862" s="9"/>
      <c r="G862" s="11"/>
    </row>
    <row r="863" spans="1:7" x14ac:dyDescent="0.2">
      <c r="A863" s="12"/>
      <c r="B863" s="14"/>
      <c r="C863" s="14"/>
      <c r="D863" s="13"/>
      <c r="E863" s="13"/>
      <c r="F863" s="13"/>
      <c r="G863" s="15"/>
    </row>
    <row r="864" spans="1:7" x14ac:dyDescent="0.2">
      <c r="A864" s="8"/>
      <c r="B864" s="10"/>
      <c r="C864" s="10"/>
      <c r="D864" s="9"/>
      <c r="E864" s="9"/>
      <c r="F864" s="9"/>
      <c r="G864" s="11"/>
    </row>
    <row r="865" spans="1:7" x14ac:dyDescent="0.2">
      <c r="A865" s="12"/>
      <c r="B865" s="14"/>
      <c r="C865" s="14"/>
      <c r="D865" s="13"/>
      <c r="E865" s="13"/>
      <c r="F865" s="13"/>
      <c r="G865" s="15"/>
    </row>
    <row r="866" spans="1:7" x14ac:dyDescent="0.2">
      <c r="A866" s="8"/>
      <c r="B866" s="10"/>
      <c r="C866" s="10"/>
      <c r="D866" s="9"/>
      <c r="E866" s="9"/>
      <c r="F866" s="9"/>
      <c r="G866" s="11"/>
    </row>
    <row r="867" spans="1:7" x14ac:dyDescent="0.2">
      <c r="A867" s="12"/>
      <c r="B867" s="14"/>
      <c r="C867" s="14"/>
      <c r="D867" s="13"/>
      <c r="E867" s="13"/>
      <c r="F867" s="13"/>
      <c r="G867" s="15"/>
    </row>
    <row r="868" spans="1:7" x14ac:dyDescent="0.2">
      <c r="A868" s="8"/>
      <c r="B868" s="10"/>
      <c r="C868" s="10"/>
      <c r="D868" s="9"/>
      <c r="E868" s="9"/>
      <c r="F868" s="9"/>
      <c r="G868" s="11"/>
    </row>
    <row r="869" spans="1:7" x14ac:dyDescent="0.2">
      <c r="A869" s="12"/>
      <c r="B869" s="14"/>
      <c r="C869" s="14"/>
      <c r="D869" s="13"/>
      <c r="E869" s="13"/>
      <c r="F869" s="13"/>
      <c r="G869" s="15"/>
    </row>
    <row r="870" spans="1:7" x14ac:dyDescent="0.2">
      <c r="A870" s="8"/>
      <c r="B870" s="10"/>
      <c r="C870" s="10"/>
      <c r="D870" s="9"/>
      <c r="E870" s="9"/>
      <c r="F870" s="9"/>
      <c r="G870" s="11"/>
    </row>
    <row r="871" spans="1:7" x14ac:dyDescent="0.2">
      <c r="A871" s="12"/>
      <c r="B871" s="14"/>
      <c r="C871" s="14"/>
      <c r="D871" s="13"/>
      <c r="E871" s="13"/>
      <c r="F871" s="13"/>
      <c r="G871" s="15"/>
    </row>
    <row r="872" spans="1:7" x14ac:dyDescent="0.2">
      <c r="A872" s="8"/>
      <c r="B872" s="10"/>
      <c r="C872" s="10"/>
      <c r="D872" s="9"/>
      <c r="E872" s="9"/>
      <c r="F872" s="9"/>
      <c r="G872" s="11"/>
    </row>
    <row r="873" spans="1:7" x14ac:dyDescent="0.2">
      <c r="A873" s="12"/>
      <c r="B873" s="14"/>
      <c r="C873" s="14"/>
      <c r="D873" s="13"/>
      <c r="E873" s="13"/>
      <c r="F873" s="13"/>
      <c r="G873" s="15"/>
    </row>
    <row r="874" spans="1:7" x14ac:dyDescent="0.2">
      <c r="A874" s="8"/>
      <c r="B874" s="10"/>
      <c r="C874" s="10"/>
      <c r="D874" s="9"/>
      <c r="E874" s="9"/>
      <c r="F874" s="9"/>
      <c r="G874" s="11"/>
    </row>
    <row r="875" spans="1:7" x14ac:dyDescent="0.2">
      <c r="A875" s="12"/>
      <c r="B875" s="14"/>
      <c r="C875" s="14"/>
      <c r="D875" s="13"/>
      <c r="E875" s="13"/>
      <c r="F875" s="13"/>
      <c r="G875" s="15"/>
    </row>
    <row r="876" spans="1:7" x14ac:dyDescent="0.2">
      <c r="A876" s="8"/>
      <c r="B876" s="10"/>
      <c r="C876" s="10"/>
      <c r="D876" s="9"/>
      <c r="E876" s="9"/>
      <c r="F876" s="9"/>
      <c r="G876" s="11"/>
    </row>
    <row r="877" spans="1:7" x14ac:dyDescent="0.2">
      <c r="A877" s="12"/>
      <c r="B877" s="14"/>
      <c r="C877" s="14"/>
      <c r="D877" s="13"/>
      <c r="E877" s="13"/>
      <c r="F877" s="13"/>
      <c r="G877" s="15"/>
    </row>
    <row r="878" spans="1:7" x14ac:dyDescent="0.2">
      <c r="A878" s="8"/>
      <c r="B878" s="10"/>
      <c r="C878" s="10"/>
      <c r="D878" s="9"/>
      <c r="E878" s="9"/>
      <c r="F878" s="9"/>
      <c r="G878" s="11"/>
    </row>
    <row r="879" spans="1:7" x14ac:dyDescent="0.2">
      <c r="A879" s="12"/>
      <c r="B879" s="14"/>
      <c r="C879" s="14"/>
      <c r="D879" s="13"/>
      <c r="E879" s="13"/>
      <c r="F879" s="13"/>
      <c r="G879" s="15"/>
    </row>
    <row r="880" spans="1:7" x14ac:dyDescent="0.2">
      <c r="A880" s="8"/>
      <c r="B880" s="10"/>
      <c r="C880" s="10"/>
      <c r="D880" s="9"/>
      <c r="E880" s="9"/>
      <c r="F880" s="9"/>
      <c r="G880" s="11"/>
    </row>
    <row r="881" spans="1:7" x14ac:dyDescent="0.2">
      <c r="A881" s="12"/>
      <c r="B881" s="14"/>
      <c r="C881" s="14"/>
      <c r="D881" s="13"/>
      <c r="E881" s="13"/>
      <c r="F881" s="13"/>
      <c r="G881" s="15"/>
    </row>
    <row r="882" spans="1:7" x14ac:dyDescent="0.2">
      <c r="A882" s="8"/>
      <c r="B882" s="10"/>
      <c r="C882" s="10"/>
      <c r="D882" s="9"/>
      <c r="E882" s="9"/>
      <c r="F882" s="9"/>
      <c r="G882" s="11"/>
    </row>
    <row r="883" spans="1:7" x14ac:dyDescent="0.2">
      <c r="A883" s="12"/>
      <c r="B883" s="14"/>
      <c r="C883" s="14"/>
      <c r="D883" s="13"/>
      <c r="E883" s="13"/>
      <c r="F883" s="13"/>
      <c r="G883" s="15"/>
    </row>
    <row r="884" spans="1:7" x14ac:dyDescent="0.2">
      <c r="A884" s="8"/>
      <c r="B884" s="10"/>
      <c r="C884" s="10"/>
      <c r="D884" s="9"/>
      <c r="E884" s="9"/>
      <c r="F884" s="9"/>
      <c r="G884" s="11"/>
    </row>
    <row r="885" spans="1:7" x14ac:dyDescent="0.2">
      <c r="A885" s="12"/>
      <c r="B885" s="14"/>
      <c r="C885" s="14"/>
      <c r="D885" s="13"/>
      <c r="E885" s="13"/>
      <c r="F885" s="13"/>
      <c r="G885" s="15"/>
    </row>
    <row r="886" spans="1:7" x14ac:dyDescent="0.2">
      <c r="A886" s="8"/>
      <c r="B886" s="10"/>
      <c r="C886" s="10"/>
      <c r="D886" s="9"/>
      <c r="E886" s="9"/>
      <c r="F886" s="9"/>
      <c r="G886" s="11"/>
    </row>
    <row r="887" spans="1:7" x14ac:dyDescent="0.2">
      <c r="A887" s="12"/>
      <c r="B887" s="14"/>
      <c r="C887" s="14"/>
      <c r="D887" s="13"/>
      <c r="E887" s="13"/>
      <c r="F887" s="13"/>
      <c r="G887" s="15"/>
    </row>
    <row r="888" spans="1:7" x14ac:dyDescent="0.2">
      <c r="A888" s="8"/>
      <c r="B888" s="10"/>
      <c r="C888" s="10"/>
      <c r="D888" s="9"/>
      <c r="E888" s="9"/>
      <c r="F888" s="9"/>
      <c r="G888" s="11"/>
    </row>
    <row r="889" spans="1:7" x14ac:dyDescent="0.2">
      <c r="A889" s="12"/>
      <c r="B889" s="14"/>
      <c r="C889" s="14"/>
      <c r="D889" s="13"/>
      <c r="E889" s="13"/>
      <c r="F889" s="13"/>
      <c r="G889" s="15"/>
    </row>
    <row r="890" spans="1:7" x14ac:dyDescent="0.2">
      <c r="A890" s="8"/>
      <c r="B890" s="10"/>
      <c r="C890" s="10"/>
      <c r="D890" s="9"/>
      <c r="E890" s="9"/>
      <c r="F890" s="9"/>
      <c r="G890" s="11"/>
    </row>
    <row r="891" spans="1:7" x14ac:dyDescent="0.2">
      <c r="A891" s="12"/>
      <c r="B891" s="14"/>
      <c r="C891" s="14"/>
      <c r="D891" s="13"/>
      <c r="E891" s="13"/>
      <c r="F891" s="13"/>
      <c r="G891" s="15"/>
    </row>
    <row r="892" spans="1:7" x14ac:dyDescent="0.2">
      <c r="A892" s="8"/>
      <c r="B892" s="10"/>
      <c r="C892" s="10"/>
      <c r="D892" s="9"/>
      <c r="E892" s="9"/>
      <c r="F892" s="9"/>
      <c r="G892" s="11"/>
    </row>
    <row r="893" spans="1:7" x14ac:dyDescent="0.2">
      <c r="A893" s="12"/>
      <c r="B893" s="14"/>
      <c r="C893" s="14"/>
      <c r="D893" s="13"/>
      <c r="E893" s="13"/>
      <c r="F893" s="13"/>
      <c r="G893" s="15"/>
    </row>
    <row r="894" spans="1:7" x14ac:dyDescent="0.2">
      <c r="A894" s="8"/>
      <c r="B894" s="10"/>
      <c r="C894" s="10"/>
      <c r="D894" s="9"/>
      <c r="E894" s="9"/>
      <c r="F894" s="9"/>
      <c r="G894" s="11"/>
    </row>
    <row r="895" spans="1:7" x14ac:dyDescent="0.2">
      <c r="A895" s="12"/>
      <c r="B895" s="14"/>
      <c r="C895" s="14"/>
      <c r="D895" s="13"/>
      <c r="E895" s="13"/>
      <c r="F895" s="13"/>
      <c r="G895" s="15"/>
    </row>
    <row r="896" spans="1:7" x14ac:dyDescent="0.2">
      <c r="A896" s="8"/>
      <c r="B896" s="10"/>
      <c r="C896" s="10"/>
      <c r="D896" s="9"/>
      <c r="E896" s="9"/>
      <c r="F896" s="9"/>
      <c r="G896" s="11"/>
    </row>
    <row r="897" spans="1:7" x14ac:dyDescent="0.2">
      <c r="A897" s="12"/>
      <c r="B897" s="14"/>
      <c r="C897" s="14"/>
      <c r="D897" s="13"/>
      <c r="E897" s="13"/>
      <c r="F897" s="13"/>
      <c r="G897" s="15"/>
    </row>
    <row r="898" spans="1:7" x14ac:dyDescent="0.2">
      <c r="A898" s="8"/>
      <c r="B898" s="10"/>
      <c r="C898" s="10"/>
      <c r="D898" s="9"/>
      <c r="E898" s="9"/>
      <c r="F898" s="9"/>
      <c r="G898" s="11"/>
    </row>
    <row r="899" spans="1:7" x14ac:dyDescent="0.2">
      <c r="A899" s="12"/>
      <c r="B899" s="14"/>
      <c r="C899" s="14"/>
      <c r="D899" s="13"/>
      <c r="E899" s="13"/>
      <c r="F899" s="13"/>
      <c r="G899" s="15"/>
    </row>
    <row r="900" spans="1:7" x14ac:dyDescent="0.2">
      <c r="A900" s="8"/>
      <c r="B900" s="10"/>
      <c r="C900" s="10"/>
      <c r="D900" s="9"/>
      <c r="E900" s="9"/>
      <c r="F900" s="9"/>
      <c r="G900" s="11"/>
    </row>
    <row r="901" spans="1:7" x14ac:dyDescent="0.2">
      <c r="A901" s="12"/>
      <c r="B901" s="14"/>
      <c r="C901" s="14"/>
      <c r="D901" s="13"/>
      <c r="E901" s="13"/>
      <c r="F901" s="13"/>
      <c r="G901" s="15"/>
    </row>
    <row r="902" spans="1:7" x14ac:dyDescent="0.2">
      <c r="A902" s="8"/>
      <c r="B902" s="10"/>
      <c r="C902" s="10"/>
      <c r="D902" s="9"/>
      <c r="E902" s="9"/>
      <c r="F902" s="9"/>
      <c r="G902" s="11"/>
    </row>
    <row r="903" spans="1:7" x14ac:dyDescent="0.2">
      <c r="A903" s="12"/>
      <c r="B903" s="14"/>
      <c r="C903" s="14"/>
      <c r="D903" s="13"/>
      <c r="E903" s="13"/>
      <c r="F903" s="13"/>
      <c r="G903" s="15"/>
    </row>
    <row r="904" spans="1:7" x14ac:dyDescent="0.2">
      <c r="A904" s="8"/>
      <c r="B904" s="10"/>
      <c r="C904" s="10"/>
      <c r="D904" s="9"/>
      <c r="E904" s="9"/>
      <c r="F904" s="9"/>
      <c r="G904" s="11"/>
    </row>
    <row r="905" spans="1:7" x14ac:dyDescent="0.2">
      <c r="A905" s="12"/>
      <c r="B905" s="14"/>
      <c r="C905" s="14"/>
      <c r="D905" s="13"/>
      <c r="E905" s="13"/>
      <c r="F905" s="13"/>
      <c r="G905" s="15"/>
    </row>
    <row r="906" spans="1:7" x14ac:dyDescent="0.2">
      <c r="A906" s="8"/>
      <c r="B906" s="10"/>
      <c r="C906" s="10"/>
      <c r="D906" s="9"/>
      <c r="E906" s="9"/>
      <c r="F906" s="9"/>
      <c r="G906" s="11"/>
    </row>
    <row r="907" spans="1:7" x14ac:dyDescent="0.2">
      <c r="A907" s="12"/>
      <c r="B907" s="14"/>
      <c r="C907" s="14"/>
      <c r="D907" s="13"/>
      <c r="E907" s="13"/>
      <c r="F907" s="13"/>
      <c r="G907" s="15"/>
    </row>
    <row r="908" spans="1:7" x14ac:dyDescent="0.2">
      <c r="A908" s="8"/>
      <c r="B908" s="10"/>
      <c r="C908" s="10"/>
      <c r="D908" s="9"/>
      <c r="E908" s="9"/>
      <c r="F908" s="9"/>
      <c r="G908" s="11"/>
    </row>
    <row r="909" spans="1:7" x14ac:dyDescent="0.2">
      <c r="A909" s="12"/>
      <c r="B909" s="14"/>
      <c r="C909" s="14"/>
      <c r="D909" s="13"/>
      <c r="E909" s="13"/>
      <c r="F909" s="13"/>
      <c r="G909" s="15"/>
    </row>
    <row r="910" spans="1:7" x14ac:dyDescent="0.2">
      <c r="A910" s="8"/>
      <c r="B910" s="10"/>
      <c r="C910" s="10"/>
      <c r="D910" s="9"/>
      <c r="E910" s="9"/>
      <c r="F910" s="9"/>
      <c r="G910" s="11"/>
    </row>
    <row r="911" spans="1:7" x14ac:dyDescent="0.2">
      <c r="A911" s="12"/>
      <c r="B911" s="14"/>
      <c r="C911" s="14"/>
      <c r="D911" s="13"/>
      <c r="E911" s="13"/>
      <c r="F911" s="13"/>
      <c r="G911" s="15"/>
    </row>
    <row r="912" spans="1:7" x14ac:dyDescent="0.2">
      <c r="A912" s="8"/>
      <c r="B912" s="10"/>
      <c r="C912" s="10"/>
      <c r="D912" s="9"/>
      <c r="E912" s="9"/>
      <c r="F912" s="9"/>
      <c r="G912" s="11"/>
    </row>
    <row r="913" spans="1:7" x14ac:dyDescent="0.2">
      <c r="A913" s="12"/>
      <c r="B913" s="14"/>
      <c r="C913" s="14"/>
      <c r="D913" s="13"/>
      <c r="E913" s="13"/>
      <c r="F913" s="13"/>
      <c r="G913" s="15"/>
    </row>
    <row r="914" spans="1:7" x14ac:dyDescent="0.2">
      <c r="A914" s="8"/>
      <c r="B914" s="10"/>
      <c r="C914" s="10"/>
      <c r="D914" s="9"/>
      <c r="E914" s="9"/>
      <c r="F914" s="9"/>
      <c r="G914" s="11"/>
    </row>
    <row r="915" spans="1:7" x14ac:dyDescent="0.2">
      <c r="A915" s="12"/>
      <c r="B915" s="14"/>
      <c r="C915" s="14"/>
      <c r="D915" s="13"/>
      <c r="E915" s="13"/>
      <c r="F915" s="13"/>
      <c r="G915" s="15"/>
    </row>
    <row r="916" spans="1:7" x14ac:dyDescent="0.2">
      <c r="A916" s="8"/>
      <c r="B916" s="10"/>
      <c r="C916" s="10"/>
      <c r="D916" s="9"/>
      <c r="E916" s="9"/>
      <c r="F916" s="9"/>
      <c r="G916" s="11"/>
    </row>
    <row r="917" spans="1:7" x14ac:dyDescent="0.2">
      <c r="A917" s="12"/>
      <c r="B917" s="14"/>
      <c r="C917" s="14"/>
      <c r="D917" s="13"/>
      <c r="E917" s="13"/>
      <c r="F917" s="13"/>
      <c r="G917" s="15"/>
    </row>
    <row r="918" spans="1:7" x14ac:dyDescent="0.2">
      <c r="A918" s="8"/>
      <c r="B918" s="10"/>
      <c r="C918" s="10"/>
      <c r="D918" s="9"/>
      <c r="E918" s="9"/>
      <c r="F918" s="9"/>
      <c r="G918" s="11"/>
    </row>
    <row r="919" spans="1:7" x14ac:dyDescent="0.2">
      <c r="A919" s="12"/>
      <c r="B919" s="14"/>
      <c r="C919" s="14"/>
      <c r="D919" s="13"/>
      <c r="E919" s="13"/>
      <c r="F919" s="13"/>
      <c r="G919" s="15"/>
    </row>
    <row r="920" spans="1:7" x14ac:dyDescent="0.2">
      <c r="A920" s="8"/>
      <c r="B920" s="10"/>
      <c r="C920" s="10"/>
      <c r="D920" s="9"/>
      <c r="E920" s="9"/>
      <c r="F920" s="9"/>
      <c r="G920" s="11"/>
    </row>
    <row r="921" spans="1:7" x14ac:dyDescent="0.2">
      <c r="A921" s="12"/>
      <c r="B921" s="14"/>
      <c r="C921" s="14"/>
      <c r="D921" s="13"/>
      <c r="E921" s="13"/>
      <c r="F921" s="13"/>
      <c r="G921" s="15"/>
    </row>
    <row r="922" spans="1:7" x14ac:dyDescent="0.2">
      <c r="A922" s="8"/>
      <c r="B922" s="10"/>
      <c r="C922" s="10"/>
      <c r="D922" s="9"/>
      <c r="E922" s="9"/>
      <c r="F922" s="9"/>
      <c r="G922" s="11"/>
    </row>
    <row r="923" spans="1:7" x14ac:dyDescent="0.2">
      <c r="A923" s="12"/>
      <c r="B923" s="14"/>
      <c r="C923" s="14"/>
      <c r="D923" s="13"/>
      <c r="E923" s="13"/>
      <c r="F923" s="13"/>
      <c r="G923" s="15"/>
    </row>
    <row r="924" spans="1:7" x14ac:dyDescent="0.2">
      <c r="A924" s="8"/>
      <c r="B924" s="10"/>
      <c r="C924" s="10"/>
      <c r="D924" s="9"/>
      <c r="E924" s="9"/>
      <c r="F924" s="9"/>
      <c r="G924" s="11"/>
    </row>
    <row r="925" spans="1:7" x14ac:dyDescent="0.2">
      <c r="A925" s="12"/>
      <c r="B925" s="14"/>
      <c r="C925" s="14"/>
      <c r="D925" s="13"/>
      <c r="E925" s="13"/>
      <c r="F925" s="13"/>
      <c r="G925" s="15"/>
    </row>
    <row r="926" spans="1:7" x14ac:dyDescent="0.2">
      <c r="A926" s="8"/>
      <c r="B926" s="10"/>
      <c r="C926" s="10"/>
      <c r="D926" s="9"/>
      <c r="E926" s="9"/>
      <c r="F926" s="9"/>
      <c r="G926" s="11"/>
    </row>
    <row r="927" spans="1:7" x14ac:dyDescent="0.2">
      <c r="A927" s="12"/>
      <c r="B927" s="14"/>
      <c r="C927" s="14"/>
      <c r="D927" s="13"/>
      <c r="E927" s="13"/>
      <c r="F927" s="13"/>
      <c r="G927" s="15"/>
    </row>
    <row r="928" spans="1:7" x14ac:dyDescent="0.2">
      <c r="A928" s="8"/>
      <c r="B928" s="10"/>
      <c r="C928" s="10"/>
      <c r="D928" s="9"/>
      <c r="E928" s="9"/>
      <c r="F928" s="9"/>
      <c r="G928" s="11"/>
    </row>
    <row r="929" spans="1:7" x14ac:dyDescent="0.2">
      <c r="A929" s="12"/>
      <c r="B929" s="14"/>
      <c r="C929" s="14"/>
      <c r="D929" s="13"/>
      <c r="E929" s="13"/>
      <c r="F929" s="13"/>
      <c r="G929" s="15"/>
    </row>
    <row r="930" spans="1:7" x14ac:dyDescent="0.2">
      <c r="A930" s="8"/>
      <c r="B930" s="10"/>
      <c r="C930" s="10"/>
      <c r="D930" s="9"/>
      <c r="E930" s="9"/>
      <c r="F930" s="9"/>
      <c r="G930" s="11"/>
    </row>
    <row r="931" spans="1:7" x14ac:dyDescent="0.2">
      <c r="A931" s="12"/>
      <c r="B931" s="14"/>
      <c r="C931" s="14"/>
      <c r="D931" s="13"/>
      <c r="E931" s="13"/>
      <c r="F931" s="13"/>
      <c r="G931" s="15"/>
    </row>
    <row r="932" spans="1:7" x14ac:dyDescent="0.2">
      <c r="A932" s="8"/>
      <c r="B932" s="10"/>
      <c r="C932" s="10"/>
      <c r="D932" s="9"/>
      <c r="E932" s="9"/>
      <c r="F932" s="9"/>
      <c r="G932" s="11"/>
    </row>
    <row r="933" spans="1:7" x14ac:dyDescent="0.2">
      <c r="A933" s="12"/>
      <c r="B933" s="14"/>
      <c r="C933" s="14"/>
      <c r="D933" s="13"/>
      <c r="E933" s="13"/>
      <c r="F933" s="13"/>
      <c r="G933" s="15"/>
    </row>
    <row r="934" spans="1:7" x14ac:dyDescent="0.2">
      <c r="A934" s="8"/>
      <c r="B934" s="10"/>
      <c r="C934" s="10"/>
      <c r="D934" s="9"/>
      <c r="E934" s="9"/>
      <c r="F934" s="9"/>
      <c r="G934" s="11"/>
    </row>
    <row r="935" spans="1:7" x14ac:dyDescent="0.2">
      <c r="A935" s="12"/>
      <c r="B935" s="14"/>
      <c r="C935" s="14"/>
      <c r="D935" s="13"/>
      <c r="E935" s="13"/>
      <c r="F935" s="13"/>
      <c r="G935" s="15"/>
    </row>
    <row r="936" spans="1:7" x14ac:dyDescent="0.2">
      <c r="A936" s="8"/>
      <c r="B936" s="10"/>
      <c r="C936" s="10"/>
      <c r="D936" s="9"/>
      <c r="E936" s="9"/>
      <c r="F936" s="9"/>
      <c r="G936" s="11"/>
    </row>
    <row r="937" spans="1:7" x14ac:dyDescent="0.2">
      <c r="A937" s="12"/>
      <c r="B937" s="14"/>
      <c r="C937" s="14"/>
      <c r="D937" s="13"/>
      <c r="E937" s="13"/>
      <c r="F937" s="13"/>
      <c r="G937" s="15"/>
    </row>
    <row r="938" spans="1:7" x14ac:dyDescent="0.2">
      <c r="A938" s="8"/>
      <c r="B938" s="10"/>
      <c r="C938" s="10"/>
      <c r="D938" s="9"/>
      <c r="E938" s="9"/>
      <c r="F938" s="9"/>
      <c r="G938" s="11"/>
    </row>
    <row r="939" spans="1:7" x14ac:dyDescent="0.2">
      <c r="A939" s="12"/>
      <c r="B939" s="14"/>
      <c r="C939" s="14"/>
      <c r="D939" s="13"/>
      <c r="E939" s="13"/>
      <c r="F939" s="13"/>
      <c r="G939" s="15"/>
    </row>
    <row r="940" spans="1:7" x14ac:dyDescent="0.2">
      <c r="A940" s="8"/>
      <c r="B940" s="10"/>
      <c r="C940" s="10"/>
      <c r="D940" s="9"/>
      <c r="E940" s="9"/>
      <c r="F940" s="9"/>
      <c r="G940" s="11"/>
    </row>
    <row r="941" spans="1:7" x14ac:dyDescent="0.2">
      <c r="A941" s="12"/>
      <c r="B941" s="14"/>
      <c r="C941" s="14"/>
      <c r="D941" s="13"/>
      <c r="E941" s="13"/>
      <c r="F941" s="13"/>
      <c r="G941" s="15"/>
    </row>
    <row r="942" spans="1:7" x14ac:dyDescent="0.2">
      <c r="A942" s="8"/>
      <c r="B942" s="10"/>
      <c r="C942" s="10"/>
      <c r="D942" s="9"/>
      <c r="E942" s="9"/>
      <c r="F942" s="9"/>
      <c r="G942" s="11"/>
    </row>
    <row r="943" spans="1:7" x14ac:dyDescent="0.2">
      <c r="A943" s="12"/>
      <c r="B943" s="14"/>
      <c r="C943" s="14"/>
      <c r="D943" s="13"/>
      <c r="E943" s="13"/>
      <c r="F943" s="13"/>
      <c r="G943" s="15"/>
    </row>
    <row r="944" spans="1:7" x14ac:dyDescent="0.2">
      <c r="A944" s="8"/>
      <c r="B944" s="10"/>
      <c r="C944" s="10"/>
      <c r="D944" s="9"/>
      <c r="E944" s="9"/>
      <c r="F944" s="9"/>
      <c r="G944" s="11"/>
    </row>
    <row r="945" spans="1:7" x14ac:dyDescent="0.2">
      <c r="A945" s="12"/>
      <c r="B945" s="14"/>
      <c r="C945" s="14"/>
      <c r="D945" s="13"/>
      <c r="E945" s="13"/>
      <c r="F945" s="13"/>
      <c r="G945" s="15"/>
    </row>
    <row r="946" spans="1:7" x14ac:dyDescent="0.2">
      <c r="A946" s="8"/>
      <c r="B946" s="10"/>
      <c r="C946" s="10"/>
      <c r="D946" s="9"/>
      <c r="E946" s="9"/>
      <c r="F946" s="9"/>
      <c r="G946" s="11"/>
    </row>
    <row r="947" spans="1:7" x14ac:dyDescent="0.2">
      <c r="A947" s="12"/>
      <c r="B947" s="14"/>
      <c r="C947" s="14"/>
      <c r="D947" s="13"/>
      <c r="E947" s="13"/>
      <c r="F947" s="13"/>
      <c r="G947" s="15"/>
    </row>
    <row r="948" spans="1:7" x14ac:dyDescent="0.2">
      <c r="A948" s="8"/>
      <c r="B948" s="10"/>
      <c r="C948" s="10"/>
      <c r="D948" s="9"/>
      <c r="E948" s="9"/>
      <c r="F948" s="9"/>
      <c r="G948" s="11"/>
    </row>
    <row r="949" spans="1:7" x14ac:dyDescent="0.2">
      <c r="A949" s="12"/>
      <c r="B949" s="14"/>
      <c r="C949" s="14"/>
      <c r="D949" s="13"/>
      <c r="E949" s="13"/>
      <c r="F949" s="13"/>
      <c r="G949" s="15"/>
    </row>
    <row r="950" spans="1:7" x14ac:dyDescent="0.2">
      <c r="A950" s="8"/>
      <c r="B950" s="10"/>
      <c r="C950" s="10"/>
      <c r="D950" s="9"/>
      <c r="E950" s="9"/>
      <c r="F950" s="9"/>
      <c r="G950" s="11"/>
    </row>
    <row r="951" spans="1:7" x14ac:dyDescent="0.2">
      <c r="A951" s="12"/>
      <c r="B951" s="14"/>
      <c r="C951" s="14"/>
      <c r="D951" s="13"/>
      <c r="E951" s="13"/>
      <c r="F951" s="13"/>
      <c r="G951" s="15"/>
    </row>
    <row r="952" spans="1:7" x14ac:dyDescent="0.2">
      <c r="A952" s="8"/>
      <c r="B952" s="10"/>
      <c r="C952" s="10"/>
      <c r="D952" s="9"/>
      <c r="E952" s="9"/>
      <c r="F952" s="9"/>
      <c r="G952" s="11"/>
    </row>
    <row r="953" spans="1:7" x14ac:dyDescent="0.2">
      <c r="A953" s="12"/>
      <c r="B953" s="14"/>
      <c r="C953" s="14"/>
      <c r="D953" s="13"/>
      <c r="E953" s="13"/>
      <c r="F953" s="13"/>
      <c r="G953" s="15"/>
    </row>
    <row r="954" spans="1:7" x14ac:dyDescent="0.2">
      <c r="A954" s="8"/>
      <c r="B954" s="10"/>
      <c r="C954" s="10"/>
      <c r="D954" s="9"/>
      <c r="E954" s="9"/>
      <c r="F954" s="9"/>
      <c r="G954" s="11"/>
    </row>
    <row r="955" spans="1:7" x14ac:dyDescent="0.2">
      <c r="A955" s="12"/>
      <c r="B955" s="14"/>
      <c r="C955" s="14"/>
      <c r="D955" s="13"/>
      <c r="E955" s="13"/>
      <c r="F955" s="13"/>
      <c r="G955" s="15"/>
    </row>
    <row r="956" spans="1:7" x14ac:dyDescent="0.2">
      <c r="A956" s="8"/>
      <c r="B956" s="10"/>
      <c r="C956" s="10"/>
      <c r="D956" s="9"/>
      <c r="E956" s="9"/>
      <c r="F956" s="9"/>
      <c r="G956" s="11"/>
    </row>
    <row r="957" spans="1:7" x14ac:dyDescent="0.2">
      <c r="A957" s="12"/>
      <c r="B957" s="14"/>
      <c r="C957" s="14"/>
      <c r="D957" s="13"/>
      <c r="E957" s="13"/>
      <c r="F957" s="13"/>
      <c r="G957" s="15"/>
    </row>
    <row r="958" spans="1:7" x14ac:dyDescent="0.2">
      <c r="A958" s="8"/>
      <c r="B958" s="10"/>
      <c r="C958" s="10"/>
      <c r="D958" s="9"/>
      <c r="E958" s="9"/>
      <c r="F958" s="9"/>
      <c r="G958" s="11"/>
    </row>
    <row r="959" spans="1:7" x14ac:dyDescent="0.2">
      <c r="A959" s="12"/>
      <c r="B959" s="14"/>
      <c r="C959" s="14"/>
      <c r="D959" s="13"/>
      <c r="E959" s="13"/>
      <c r="F959" s="13"/>
      <c r="G959" s="15"/>
    </row>
    <row r="960" spans="1:7" x14ac:dyDescent="0.2">
      <c r="A960" s="8"/>
      <c r="B960" s="10"/>
      <c r="C960" s="10"/>
      <c r="D960" s="9"/>
      <c r="E960" s="9"/>
      <c r="F960" s="9"/>
      <c r="G960" s="11"/>
    </row>
    <row r="961" spans="1:7" x14ac:dyDescent="0.2">
      <c r="A961" s="12"/>
      <c r="B961" s="14"/>
      <c r="C961" s="14"/>
      <c r="D961" s="13"/>
      <c r="E961" s="13"/>
      <c r="F961" s="13"/>
      <c r="G961" s="15"/>
    </row>
    <row r="962" spans="1:7" x14ac:dyDescent="0.2">
      <c r="A962" s="8"/>
      <c r="B962" s="10"/>
      <c r="C962" s="10"/>
      <c r="D962" s="9"/>
      <c r="E962" s="9"/>
      <c r="F962" s="9"/>
      <c r="G962" s="11"/>
    </row>
    <row r="963" spans="1:7" x14ac:dyDescent="0.2">
      <c r="A963" s="12"/>
      <c r="B963" s="14"/>
      <c r="C963" s="14"/>
      <c r="D963" s="13"/>
      <c r="E963" s="13"/>
      <c r="F963" s="13"/>
      <c r="G963" s="15"/>
    </row>
    <row r="964" spans="1:7" x14ac:dyDescent="0.2">
      <c r="A964" s="8"/>
      <c r="B964" s="10"/>
      <c r="C964" s="10"/>
      <c r="D964" s="9"/>
      <c r="E964" s="9"/>
      <c r="F964" s="9"/>
      <c r="G964" s="11"/>
    </row>
    <row r="965" spans="1:7" x14ac:dyDescent="0.2">
      <c r="A965" s="12"/>
      <c r="B965" s="14"/>
      <c r="C965" s="14"/>
      <c r="D965" s="13"/>
      <c r="E965" s="13"/>
      <c r="F965" s="13"/>
      <c r="G965" s="15"/>
    </row>
    <row r="966" spans="1:7" x14ac:dyDescent="0.2">
      <c r="A966" s="8"/>
      <c r="B966" s="10"/>
      <c r="C966" s="10"/>
      <c r="D966" s="9"/>
      <c r="E966" s="9"/>
      <c r="F966" s="9"/>
      <c r="G966" s="11"/>
    </row>
    <row r="967" spans="1:7" x14ac:dyDescent="0.2">
      <c r="A967" s="12"/>
      <c r="B967" s="14"/>
      <c r="C967" s="14"/>
      <c r="D967" s="13"/>
      <c r="E967" s="13"/>
      <c r="F967" s="13"/>
      <c r="G967" s="15"/>
    </row>
    <row r="968" spans="1:7" x14ac:dyDescent="0.2">
      <c r="A968" s="8"/>
      <c r="B968" s="10"/>
      <c r="C968" s="10"/>
      <c r="D968" s="9"/>
      <c r="E968" s="9"/>
      <c r="F968" s="9"/>
      <c r="G968" s="11"/>
    </row>
    <row r="969" spans="1:7" x14ac:dyDescent="0.2">
      <c r="A969" s="12"/>
      <c r="B969" s="14"/>
      <c r="C969" s="14"/>
      <c r="D969" s="13"/>
      <c r="E969" s="13"/>
      <c r="F969" s="13"/>
      <c r="G969" s="15"/>
    </row>
    <row r="970" spans="1:7" x14ac:dyDescent="0.2">
      <c r="A970" s="8"/>
      <c r="B970" s="10"/>
      <c r="C970" s="10"/>
      <c r="D970" s="9"/>
      <c r="E970" s="9"/>
      <c r="F970" s="9"/>
      <c r="G970" s="11"/>
    </row>
    <row r="971" spans="1:7" x14ac:dyDescent="0.2">
      <c r="A971" s="12"/>
      <c r="B971" s="14"/>
      <c r="C971" s="14"/>
      <c r="D971" s="13"/>
      <c r="E971" s="13"/>
      <c r="F971" s="13"/>
      <c r="G971" s="15"/>
    </row>
    <row r="972" spans="1:7" x14ac:dyDescent="0.2">
      <c r="A972" s="8"/>
      <c r="B972" s="10"/>
      <c r="C972" s="10"/>
      <c r="D972" s="9"/>
      <c r="E972" s="9"/>
      <c r="F972" s="9"/>
      <c r="G972" s="11"/>
    </row>
    <row r="973" spans="1:7" x14ac:dyDescent="0.2">
      <c r="A973" s="12"/>
      <c r="B973" s="14"/>
      <c r="C973" s="14"/>
      <c r="D973" s="13"/>
      <c r="E973" s="13"/>
      <c r="F973" s="13"/>
      <c r="G973" s="15"/>
    </row>
    <row r="974" spans="1:7" x14ac:dyDescent="0.2">
      <c r="A974" s="8"/>
      <c r="B974" s="10"/>
      <c r="C974" s="10"/>
      <c r="D974" s="9"/>
      <c r="E974" s="9"/>
      <c r="F974" s="9"/>
      <c r="G974" s="11"/>
    </row>
    <row r="975" spans="1:7" x14ac:dyDescent="0.2">
      <c r="A975" s="12"/>
      <c r="B975" s="14"/>
      <c r="C975" s="14"/>
      <c r="D975" s="13"/>
      <c r="E975" s="13"/>
      <c r="F975" s="13"/>
      <c r="G975" s="15"/>
    </row>
    <row r="976" spans="1:7" x14ac:dyDescent="0.2">
      <c r="A976" s="8"/>
      <c r="B976" s="10"/>
      <c r="C976" s="10"/>
      <c r="D976" s="9"/>
      <c r="E976" s="9"/>
      <c r="F976" s="9"/>
      <c r="G976" s="11"/>
    </row>
    <row r="977" spans="1:7" x14ac:dyDescent="0.2">
      <c r="A977" s="12"/>
      <c r="B977" s="14"/>
      <c r="C977" s="14"/>
      <c r="D977" s="13"/>
      <c r="E977" s="13"/>
      <c r="F977" s="13"/>
      <c r="G977" s="15"/>
    </row>
    <row r="978" spans="1:7" x14ac:dyDescent="0.2">
      <c r="A978" s="8"/>
      <c r="B978" s="10"/>
      <c r="C978" s="10"/>
      <c r="D978" s="9"/>
      <c r="E978" s="9"/>
      <c r="F978" s="9"/>
      <c r="G978" s="11"/>
    </row>
    <row r="979" spans="1:7" x14ac:dyDescent="0.2">
      <c r="A979" s="12"/>
      <c r="B979" s="14"/>
      <c r="C979" s="14"/>
      <c r="D979" s="13"/>
      <c r="E979" s="13"/>
      <c r="F979" s="13"/>
      <c r="G979" s="15"/>
    </row>
    <row r="980" spans="1:7" x14ac:dyDescent="0.2">
      <c r="A980" s="8"/>
      <c r="B980" s="10"/>
      <c r="C980" s="10"/>
      <c r="D980" s="9"/>
      <c r="E980" s="9"/>
      <c r="F980" s="9"/>
      <c r="G980" s="11"/>
    </row>
    <row r="981" spans="1:7" x14ac:dyDescent="0.2">
      <c r="A981" s="12"/>
      <c r="B981" s="14"/>
      <c r="C981" s="14"/>
      <c r="D981" s="13"/>
      <c r="E981" s="13"/>
      <c r="F981" s="13"/>
      <c r="G981" s="15"/>
    </row>
    <row r="982" spans="1:7" x14ac:dyDescent="0.2">
      <c r="A982" s="8"/>
      <c r="B982" s="10"/>
      <c r="C982" s="10"/>
      <c r="D982" s="9"/>
      <c r="E982" s="9"/>
      <c r="F982" s="9"/>
      <c r="G982" s="11"/>
    </row>
    <row r="983" spans="1:7" x14ac:dyDescent="0.2">
      <c r="A983" s="12"/>
      <c r="B983" s="14"/>
      <c r="C983" s="14"/>
      <c r="D983" s="13"/>
      <c r="E983" s="13"/>
      <c r="F983" s="13"/>
      <c r="G983" s="15"/>
    </row>
    <row r="984" spans="1:7" x14ac:dyDescent="0.2">
      <c r="A984" s="8"/>
      <c r="B984" s="10"/>
      <c r="C984" s="10"/>
      <c r="D984" s="9"/>
      <c r="E984" s="9"/>
      <c r="F984" s="9"/>
      <c r="G984" s="11"/>
    </row>
    <row r="985" spans="1:7" x14ac:dyDescent="0.2">
      <c r="A985" s="12"/>
      <c r="B985" s="14"/>
      <c r="C985" s="14"/>
      <c r="D985" s="13"/>
      <c r="E985" s="13"/>
      <c r="F985" s="13"/>
      <c r="G985" s="15"/>
    </row>
    <row r="986" spans="1:7" x14ac:dyDescent="0.2">
      <c r="A986" s="8"/>
      <c r="B986" s="10"/>
      <c r="C986" s="10"/>
      <c r="D986" s="9"/>
      <c r="E986" s="9"/>
      <c r="F986" s="9"/>
      <c r="G986" s="11"/>
    </row>
    <row r="987" spans="1:7" x14ac:dyDescent="0.2">
      <c r="A987" s="12"/>
      <c r="B987" s="14"/>
      <c r="C987" s="14"/>
      <c r="D987" s="13"/>
      <c r="E987" s="13"/>
      <c r="F987" s="13"/>
      <c r="G987" s="15"/>
    </row>
    <row r="988" spans="1:7" x14ac:dyDescent="0.2">
      <c r="A988" s="8"/>
      <c r="B988" s="10"/>
      <c r="C988" s="10"/>
      <c r="D988" s="9"/>
      <c r="E988" s="9"/>
      <c r="F988" s="9"/>
      <c r="G988" s="11"/>
    </row>
    <row r="989" spans="1:7" x14ac:dyDescent="0.2">
      <c r="A989" s="12"/>
      <c r="B989" s="14"/>
      <c r="C989" s="14"/>
      <c r="D989" s="13"/>
      <c r="E989" s="13"/>
      <c r="F989" s="13"/>
      <c r="G989" s="15"/>
    </row>
    <row r="990" spans="1:7" x14ac:dyDescent="0.2">
      <c r="A990" s="8"/>
      <c r="B990" s="10"/>
      <c r="C990" s="10"/>
      <c r="D990" s="9"/>
      <c r="E990" s="9"/>
      <c r="F990" s="9"/>
      <c r="G990" s="11"/>
    </row>
    <row r="991" spans="1:7" x14ac:dyDescent="0.2">
      <c r="A991" s="12"/>
      <c r="B991" s="14"/>
      <c r="C991" s="14"/>
      <c r="D991" s="13"/>
      <c r="E991" s="13"/>
      <c r="F991" s="13"/>
      <c r="G991" s="15"/>
    </row>
    <row r="992" spans="1:7" x14ac:dyDescent="0.2">
      <c r="A992" s="8"/>
      <c r="B992" s="10"/>
      <c r="C992" s="10"/>
      <c r="D992" s="9"/>
      <c r="E992" s="9"/>
      <c r="F992" s="9"/>
      <c r="G992" s="11"/>
    </row>
    <row r="993" spans="1:7" x14ac:dyDescent="0.2">
      <c r="A993" s="12"/>
      <c r="B993" s="14"/>
      <c r="C993" s="14"/>
      <c r="D993" s="13"/>
      <c r="E993" s="13"/>
      <c r="F993" s="13"/>
      <c r="G993" s="15"/>
    </row>
    <row r="994" spans="1:7" x14ac:dyDescent="0.2">
      <c r="A994" s="8"/>
      <c r="B994" s="10"/>
      <c r="C994" s="10"/>
      <c r="D994" s="9"/>
      <c r="E994" s="9"/>
      <c r="F994" s="9"/>
      <c r="G994" s="11"/>
    </row>
    <row r="995" spans="1:7" x14ac:dyDescent="0.2">
      <c r="A995" s="12"/>
      <c r="B995" s="14"/>
      <c r="C995" s="14"/>
      <c r="D995" s="13"/>
      <c r="E995" s="13"/>
      <c r="F995" s="13"/>
      <c r="G995" s="15"/>
    </row>
    <row r="996" spans="1:7" x14ac:dyDescent="0.2">
      <c r="A996" s="8"/>
      <c r="B996" s="10"/>
      <c r="C996" s="10"/>
      <c r="D996" s="9"/>
      <c r="E996" s="9"/>
      <c r="F996" s="9"/>
      <c r="G996" s="11"/>
    </row>
    <row r="997" spans="1:7" x14ac:dyDescent="0.2">
      <c r="A997" s="12"/>
      <c r="B997" s="14"/>
      <c r="C997" s="14"/>
      <c r="D997" s="13"/>
      <c r="E997" s="13"/>
      <c r="F997" s="13"/>
      <c r="G997" s="15"/>
    </row>
    <row r="998" spans="1:7" x14ac:dyDescent="0.2">
      <c r="A998" s="8"/>
      <c r="B998" s="10"/>
      <c r="C998" s="10"/>
      <c r="D998" s="9"/>
      <c r="E998" s="9"/>
      <c r="F998" s="9"/>
      <c r="G998" s="11"/>
    </row>
    <row r="999" spans="1:7" x14ac:dyDescent="0.2">
      <c r="A999" s="12"/>
      <c r="B999" s="14"/>
      <c r="C999" s="14"/>
      <c r="D999" s="13"/>
      <c r="E999" s="13"/>
      <c r="F999" s="13"/>
      <c r="G999" s="15"/>
    </row>
    <row r="1000" spans="1:7" x14ac:dyDescent="0.2">
      <c r="A1000" s="16"/>
      <c r="B1000" s="17"/>
      <c r="C1000" s="17"/>
      <c r="D1000" s="2"/>
      <c r="E1000" s="2"/>
      <c r="F1000" s="2"/>
      <c r="G1000" s="1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B1016-7B42-484B-96A1-D5FAE6657A5A}">
  <dimension ref="A3:Q31"/>
  <sheetViews>
    <sheetView tabSelected="1" workbookViewId="0">
      <selection activeCell="E25" sqref="E25"/>
    </sheetView>
  </sheetViews>
  <sheetFormatPr baseColWidth="10" defaultRowHeight="16" x14ac:dyDescent="0.2"/>
  <cols>
    <col min="1" max="1" width="25" bestFit="1" customWidth="1"/>
    <col min="2" max="2" width="16" bestFit="1" customWidth="1"/>
    <col min="3" max="3" width="25" bestFit="1" customWidth="1"/>
    <col min="4" max="4" width="21.1640625" bestFit="1" customWidth="1"/>
    <col min="5" max="5" width="11.1640625" bestFit="1" customWidth="1"/>
    <col min="6" max="6" width="11.6640625" bestFit="1" customWidth="1"/>
    <col min="7" max="7" width="12.83203125" bestFit="1" customWidth="1"/>
    <col min="8" max="8" width="16.6640625" bestFit="1" customWidth="1"/>
    <col min="9" max="9" width="11.1640625" bestFit="1" customWidth="1"/>
    <col min="10" max="10" width="11.6640625" bestFit="1" customWidth="1"/>
    <col min="11" max="11" width="12.83203125" bestFit="1" customWidth="1"/>
    <col min="12" max="12" width="16.6640625" bestFit="1" customWidth="1"/>
    <col min="13" max="13" width="11.1640625" bestFit="1" customWidth="1"/>
    <col min="14" max="14" width="11.6640625" bestFit="1" customWidth="1"/>
    <col min="15" max="15" width="12.83203125" bestFit="1" customWidth="1"/>
    <col min="16" max="16" width="16.6640625" bestFit="1" customWidth="1"/>
    <col min="17" max="17" width="11.1640625" bestFit="1" customWidth="1"/>
  </cols>
  <sheetData>
    <row r="3" spans="1:17" x14ac:dyDescent="0.2">
      <c r="A3" s="3" t="s">
        <v>357</v>
      </c>
      <c r="B3" t="s">
        <v>408</v>
      </c>
      <c r="C3" t="s">
        <v>409</v>
      </c>
      <c r="D3" t="s">
        <v>407</v>
      </c>
    </row>
    <row r="4" spans="1:17" x14ac:dyDescent="0.2">
      <c r="A4" s="4" t="s">
        <v>19</v>
      </c>
      <c r="B4">
        <v>161.19999999999999</v>
      </c>
      <c r="C4">
        <v>0.11636073778371317</v>
      </c>
      <c r="D4">
        <v>15</v>
      </c>
    </row>
    <row r="5" spans="1:17" x14ac:dyDescent="0.2">
      <c r="A5" s="4" t="s">
        <v>23</v>
      </c>
      <c r="B5">
        <v>158.65420560747663</v>
      </c>
      <c r="C5">
        <v>0.14515321153500599</v>
      </c>
      <c r="D5">
        <v>107</v>
      </c>
    </row>
    <row r="6" spans="1:17" x14ac:dyDescent="0.2">
      <c r="A6" s="4" t="s">
        <v>34</v>
      </c>
      <c r="B6">
        <v>151.52941176470588</v>
      </c>
      <c r="C6">
        <v>0.15386132749296613</v>
      </c>
      <c r="D6">
        <v>102</v>
      </c>
    </row>
    <row r="7" spans="1:17" x14ac:dyDescent="0.2">
      <c r="A7" s="4" t="s">
        <v>17</v>
      </c>
      <c r="B7">
        <v>144.03883495145632</v>
      </c>
      <c r="C7">
        <v>0.14123247081320281</v>
      </c>
      <c r="D7">
        <v>103</v>
      </c>
    </row>
    <row r="8" spans="1:17" x14ac:dyDescent="0.2">
      <c r="A8" s="4" t="s">
        <v>25</v>
      </c>
      <c r="B8">
        <v>114.85714285714286</v>
      </c>
      <c r="C8">
        <v>0.12589594685729985</v>
      </c>
      <c r="D8">
        <v>7</v>
      </c>
    </row>
    <row r="9" spans="1:17" x14ac:dyDescent="0.2">
      <c r="A9" s="4" t="s">
        <v>196</v>
      </c>
      <c r="B9">
        <v>111.8</v>
      </c>
      <c r="C9">
        <v>0.11481753670769271</v>
      </c>
      <c r="D9">
        <v>5</v>
      </c>
    </row>
    <row r="12" spans="1:17" x14ac:dyDescent="0.2">
      <c r="B12" s="3" t="s">
        <v>376</v>
      </c>
    </row>
    <row r="13" spans="1:17" x14ac:dyDescent="0.2">
      <c r="B13" t="s">
        <v>38</v>
      </c>
      <c r="F13" t="s">
        <v>31</v>
      </c>
      <c r="J13" t="s">
        <v>14</v>
      </c>
      <c r="N13" t="s">
        <v>27</v>
      </c>
    </row>
    <row r="14" spans="1:17" x14ac:dyDescent="0.2">
      <c r="A14" s="3" t="s">
        <v>357</v>
      </c>
      <c r="B14" t="s">
        <v>377</v>
      </c>
      <c r="C14" t="s">
        <v>378</v>
      </c>
      <c r="D14" t="s">
        <v>379</v>
      </c>
      <c r="E14" t="s">
        <v>473</v>
      </c>
      <c r="F14" t="s">
        <v>377</v>
      </c>
      <c r="G14" t="s">
        <v>378</v>
      </c>
      <c r="H14" t="s">
        <v>379</v>
      </c>
      <c r="I14" t="s">
        <v>473</v>
      </c>
      <c r="J14" t="s">
        <v>377</v>
      </c>
      <c r="K14" t="s">
        <v>378</v>
      </c>
      <c r="L14" t="s">
        <v>379</v>
      </c>
      <c r="M14" t="s">
        <v>473</v>
      </c>
      <c r="N14" t="s">
        <v>377</v>
      </c>
      <c r="O14" t="s">
        <v>378</v>
      </c>
      <c r="P14" t="s">
        <v>379</v>
      </c>
      <c r="Q14" t="s">
        <v>473</v>
      </c>
    </row>
    <row r="15" spans="1:17" x14ac:dyDescent="0.2">
      <c r="A15" s="4" t="s">
        <v>39</v>
      </c>
      <c r="B15">
        <v>44476</v>
      </c>
      <c r="C15">
        <v>7400</v>
      </c>
      <c r="D15">
        <v>4589</v>
      </c>
      <c r="E15">
        <v>56465</v>
      </c>
      <c r="F15">
        <v>43948</v>
      </c>
      <c r="G15">
        <v>6975</v>
      </c>
      <c r="H15">
        <v>3890</v>
      </c>
      <c r="I15">
        <v>54813</v>
      </c>
      <c r="J15">
        <v>48649</v>
      </c>
      <c r="K15">
        <v>5791</v>
      </c>
      <c r="L15">
        <v>3607</v>
      </c>
      <c r="M15">
        <v>58047</v>
      </c>
      <c r="N15">
        <v>24926</v>
      </c>
      <c r="O15">
        <v>6305</v>
      </c>
      <c r="P15">
        <v>2422</v>
      </c>
      <c r="Q15">
        <v>33653</v>
      </c>
    </row>
    <row r="16" spans="1:17" x14ac:dyDescent="0.2">
      <c r="A16" s="4" t="s">
        <v>44</v>
      </c>
      <c r="B16">
        <v>71602</v>
      </c>
      <c r="C16">
        <v>12904</v>
      </c>
      <c r="D16">
        <v>6495</v>
      </c>
      <c r="E16">
        <v>91001</v>
      </c>
      <c r="F16">
        <v>34202</v>
      </c>
      <c r="G16">
        <v>5286</v>
      </c>
      <c r="H16">
        <v>2655</v>
      </c>
      <c r="I16">
        <v>42143</v>
      </c>
      <c r="J16">
        <v>43761</v>
      </c>
      <c r="K16">
        <v>7110</v>
      </c>
      <c r="L16">
        <v>5125</v>
      </c>
      <c r="M16">
        <v>55996</v>
      </c>
      <c r="N16">
        <v>23903</v>
      </c>
      <c r="O16">
        <v>4310</v>
      </c>
      <c r="P16">
        <v>2077</v>
      </c>
      <c r="Q16">
        <v>30290</v>
      </c>
    </row>
    <row r="17" spans="1:17" x14ac:dyDescent="0.2">
      <c r="A17" s="4" t="s">
        <v>15</v>
      </c>
      <c r="B17">
        <v>36368</v>
      </c>
      <c r="C17">
        <v>5964</v>
      </c>
      <c r="D17">
        <v>3353</v>
      </c>
      <c r="E17">
        <v>45685</v>
      </c>
      <c r="F17">
        <v>32148</v>
      </c>
      <c r="G17">
        <v>8110</v>
      </c>
      <c r="H17">
        <v>3386</v>
      </c>
      <c r="I17">
        <v>43644</v>
      </c>
      <c r="J17">
        <v>27029</v>
      </c>
      <c r="K17">
        <v>4550</v>
      </c>
      <c r="L17">
        <v>1913</v>
      </c>
      <c r="M17">
        <v>33492</v>
      </c>
      <c r="N17">
        <v>32400</v>
      </c>
      <c r="O17">
        <v>4577</v>
      </c>
      <c r="P17">
        <v>2668</v>
      </c>
      <c r="Q17">
        <v>39645</v>
      </c>
    </row>
    <row r="18" spans="1:17" x14ac:dyDescent="0.2">
      <c r="A18" s="4" t="s">
        <v>32</v>
      </c>
      <c r="B18">
        <v>29405</v>
      </c>
      <c r="C18">
        <v>4950</v>
      </c>
      <c r="D18">
        <v>3223</v>
      </c>
      <c r="E18">
        <v>37578</v>
      </c>
      <c r="F18">
        <v>42649</v>
      </c>
      <c r="G18">
        <v>10049</v>
      </c>
      <c r="H18">
        <v>3846</v>
      </c>
      <c r="I18">
        <v>56544</v>
      </c>
      <c r="J18">
        <v>20466</v>
      </c>
      <c r="K18">
        <v>5090</v>
      </c>
      <c r="L18">
        <v>3026</v>
      </c>
      <c r="M18">
        <v>28582</v>
      </c>
      <c r="N18">
        <v>31968</v>
      </c>
      <c r="O18">
        <v>3866</v>
      </c>
      <c r="P18">
        <v>2012</v>
      </c>
      <c r="Q18">
        <v>37846</v>
      </c>
    </row>
    <row r="19" spans="1:17" x14ac:dyDescent="0.2">
      <c r="A19" s="4" t="s">
        <v>21</v>
      </c>
      <c r="B19">
        <v>31963</v>
      </c>
      <c r="C19">
        <v>4792</v>
      </c>
      <c r="D19">
        <v>3377</v>
      </c>
      <c r="E19">
        <v>40132</v>
      </c>
      <c r="F19">
        <v>25567</v>
      </c>
      <c r="G19">
        <v>5112</v>
      </c>
      <c r="H19">
        <v>1946</v>
      </c>
      <c r="I19">
        <v>32625</v>
      </c>
      <c r="J19">
        <v>31899</v>
      </c>
      <c r="K19">
        <v>4861</v>
      </c>
      <c r="L19">
        <v>3910</v>
      </c>
      <c r="M19">
        <v>40670</v>
      </c>
      <c r="N19">
        <v>27067</v>
      </c>
      <c r="O19">
        <v>3928</v>
      </c>
      <c r="P19">
        <v>1052</v>
      </c>
      <c r="Q19">
        <v>32047</v>
      </c>
    </row>
    <row r="20" spans="1:17" x14ac:dyDescent="0.2">
      <c r="A20" s="4" t="s">
        <v>58</v>
      </c>
      <c r="B20">
        <v>28947</v>
      </c>
      <c r="C20">
        <v>3171</v>
      </c>
      <c r="D20">
        <v>2263</v>
      </c>
      <c r="E20">
        <v>34381</v>
      </c>
      <c r="F20">
        <v>25770</v>
      </c>
      <c r="G20">
        <v>5912</v>
      </c>
      <c r="H20">
        <v>2128</v>
      </c>
      <c r="I20">
        <v>33810</v>
      </c>
      <c r="J20">
        <v>29593</v>
      </c>
      <c r="K20">
        <v>6326</v>
      </c>
      <c r="L20">
        <v>3299</v>
      </c>
      <c r="M20">
        <v>39218</v>
      </c>
      <c r="N20">
        <v>31285</v>
      </c>
      <c r="O20">
        <v>5586</v>
      </c>
      <c r="P20">
        <v>2589</v>
      </c>
      <c r="Q20">
        <v>39460</v>
      </c>
    </row>
    <row r="23" spans="1:17" x14ac:dyDescent="0.2">
      <c r="A23" s="3" t="s">
        <v>409</v>
      </c>
      <c r="B23" s="3" t="s">
        <v>376</v>
      </c>
    </row>
    <row r="24" spans="1:17" x14ac:dyDescent="0.2">
      <c r="A24" s="3" t="s">
        <v>357</v>
      </c>
      <c r="B24" t="s">
        <v>38</v>
      </c>
      <c r="C24" t="s">
        <v>31</v>
      </c>
      <c r="D24" t="s">
        <v>14</v>
      </c>
      <c r="E24" t="s">
        <v>27</v>
      </c>
      <c r="F24" t="s">
        <v>358</v>
      </c>
    </row>
    <row r="25" spans="1:17" x14ac:dyDescent="0.2">
      <c r="A25" s="4" t="s">
        <v>39</v>
      </c>
      <c r="B25" s="24">
        <v>0.11820589815604368</v>
      </c>
      <c r="C25" s="24">
        <v>0.14439860032256024</v>
      </c>
      <c r="D25" s="24">
        <v>0.15972488239914528</v>
      </c>
      <c r="E25" s="24">
        <v>0.17416554369953544</v>
      </c>
      <c r="F25" s="24">
        <v>0.14814919934149992</v>
      </c>
    </row>
    <row r="26" spans="1:17" x14ac:dyDescent="0.2">
      <c r="A26" s="4" t="s">
        <v>44</v>
      </c>
      <c r="B26" s="24">
        <v>0.11892682975133066</v>
      </c>
      <c r="C26" s="24">
        <v>0.14929862484025289</v>
      </c>
      <c r="D26" s="24">
        <v>0.14756648191377314</v>
      </c>
      <c r="E26" s="24">
        <v>0.15035567844671385</v>
      </c>
      <c r="F26" s="24">
        <v>0.136874940548697</v>
      </c>
    </row>
    <row r="27" spans="1:17" x14ac:dyDescent="0.2">
      <c r="A27" s="4" t="s">
        <v>15</v>
      </c>
      <c r="B27" s="24">
        <v>0.10810248159985612</v>
      </c>
      <c r="C27" s="24">
        <v>0.26004033206333965</v>
      </c>
      <c r="D27" s="24">
        <v>0.12428081569427865</v>
      </c>
      <c r="E27" s="24">
        <v>0.11688583584797579</v>
      </c>
      <c r="F27" s="24">
        <v>0.15615682164328951</v>
      </c>
    </row>
    <row r="28" spans="1:17" x14ac:dyDescent="0.2">
      <c r="A28" s="4" t="s">
        <v>32</v>
      </c>
      <c r="B28" s="24">
        <v>0.15898977777988449</v>
      </c>
      <c r="C28" s="24">
        <v>0.24558274253543638</v>
      </c>
      <c r="D28" s="24">
        <v>0.18859716943319418</v>
      </c>
      <c r="E28" s="24">
        <v>9.4965330348360785E-2</v>
      </c>
      <c r="F28" s="24">
        <v>0.18425775384163354</v>
      </c>
    </row>
    <row r="29" spans="1:17" x14ac:dyDescent="0.2">
      <c r="A29" s="4" t="s">
        <v>21</v>
      </c>
      <c r="B29" s="24">
        <v>0.10743951285512837</v>
      </c>
      <c r="C29" s="24">
        <v>0.12920449104190179</v>
      </c>
      <c r="D29" s="24">
        <v>0.12088972902726508</v>
      </c>
      <c r="E29" s="24">
        <v>0.11459217612964397</v>
      </c>
      <c r="F29" s="24">
        <v>0.11750673823506559</v>
      </c>
    </row>
    <row r="30" spans="1:17" x14ac:dyDescent="0.2">
      <c r="A30" s="4" t="s">
        <v>58</v>
      </c>
      <c r="B30" s="24">
        <v>0.12899653614759149</v>
      </c>
      <c r="C30" s="24">
        <v>0.2062396061640541</v>
      </c>
      <c r="D30" s="24">
        <v>0.1198087665867789</v>
      </c>
      <c r="E30" s="24">
        <v>0.12968338256813228</v>
      </c>
      <c r="F30" s="24">
        <v>0.14814844474464284</v>
      </c>
    </row>
    <row r="31" spans="1:17" x14ac:dyDescent="0.2">
      <c r="A31" s="4" t="s">
        <v>358</v>
      </c>
      <c r="B31" s="24">
        <v>0.1219728995613255</v>
      </c>
      <c r="C31" s="24">
        <v>0.19329257693923479</v>
      </c>
      <c r="D31" s="24">
        <v>0.14368407434207889</v>
      </c>
      <c r="E31" s="24">
        <v>0.13118493770753806</v>
      </c>
      <c r="F31" s="24">
        <v>0.1482827247985285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7840A-5162-934D-87C8-89BE8BC6AAB5}">
  <dimension ref="A4:B4"/>
  <sheetViews>
    <sheetView workbookViewId="0">
      <selection activeCell="B4" sqref="B4"/>
    </sheetView>
  </sheetViews>
  <sheetFormatPr baseColWidth="10" defaultRowHeight="16" x14ac:dyDescent="0.2"/>
  <cols>
    <col min="2" max="2" width="74.33203125" bestFit="1" customWidth="1"/>
  </cols>
  <sheetData>
    <row r="4" spans="1:2" x14ac:dyDescent="0.2">
      <c r="A4" t="s">
        <v>476</v>
      </c>
      <c r="B4" s="26" t="s">
        <v>477</v>
      </c>
    </row>
  </sheetData>
  <hyperlinks>
    <hyperlink ref="B4" r:id="rId1" xr:uid="{5F21195B-5E01-7945-956B-749ADD1A38CE}"/>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266B7-9DEA-3E49-B505-C1EE96A4A8B7}">
  <dimension ref="A3:D14"/>
  <sheetViews>
    <sheetView zoomScale="93" workbookViewId="0">
      <selection activeCell="B12" sqref="B12"/>
    </sheetView>
  </sheetViews>
  <sheetFormatPr baseColWidth="10" defaultRowHeight="16" x14ac:dyDescent="0.2"/>
  <cols>
    <col min="1" max="1" width="13" bestFit="1" customWidth="1"/>
    <col min="2" max="2" width="25.5" bestFit="1" customWidth="1"/>
    <col min="3" max="3" width="18.6640625" bestFit="1" customWidth="1"/>
    <col min="4" max="4" width="13.5" bestFit="1" customWidth="1"/>
    <col min="5" max="5" width="6.1640625" bestFit="1" customWidth="1"/>
    <col min="6" max="6" width="5.1640625" bestFit="1" customWidth="1"/>
    <col min="7" max="15" width="6.1640625" bestFit="1" customWidth="1"/>
    <col min="16" max="19" width="5.1640625" bestFit="1" customWidth="1"/>
    <col min="20" max="22" width="6.1640625" bestFit="1" customWidth="1"/>
    <col min="23" max="24" width="5.1640625" bestFit="1" customWidth="1"/>
    <col min="25" max="32" width="6.1640625" bestFit="1" customWidth="1"/>
    <col min="33" max="33" width="5.1640625" bestFit="1" customWidth="1"/>
    <col min="34" max="47" width="6.1640625" bestFit="1" customWidth="1"/>
    <col min="48" max="48" width="5.1640625" bestFit="1" customWidth="1"/>
    <col min="49" max="49" width="6.1640625" bestFit="1" customWidth="1"/>
    <col min="50" max="50" width="5.1640625" bestFit="1" customWidth="1"/>
    <col min="51" max="51" width="6.1640625" bestFit="1" customWidth="1"/>
    <col min="52" max="52" width="5.1640625" bestFit="1" customWidth="1"/>
    <col min="53" max="64" width="6.1640625" bestFit="1" customWidth="1"/>
    <col min="65" max="65" width="5.1640625" bestFit="1" customWidth="1"/>
    <col min="66" max="71" width="6.1640625" bestFit="1" customWidth="1"/>
    <col min="72" max="73" width="5.1640625" bestFit="1" customWidth="1"/>
    <col min="74" max="74" width="6.1640625" bestFit="1" customWidth="1"/>
    <col min="75" max="76" width="5.1640625" bestFit="1" customWidth="1"/>
    <col min="77" max="81" width="6.1640625" bestFit="1" customWidth="1"/>
    <col min="82" max="82" width="5.1640625" bestFit="1" customWidth="1"/>
    <col min="83" max="109" width="6.1640625" bestFit="1" customWidth="1"/>
    <col min="110" max="110" width="5.1640625" bestFit="1" customWidth="1"/>
    <col min="111" max="117" width="6.1640625" bestFit="1" customWidth="1"/>
    <col min="118" max="118" width="5.1640625" bestFit="1" customWidth="1"/>
    <col min="119" max="120" width="6.1640625" bestFit="1" customWidth="1"/>
    <col min="121" max="121" width="5.1640625" bestFit="1" customWidth="1"/>
    <col min="122" max="124" width="6.1640625" bestFit="1" customWidth="1"/>
    <col min="125" max="126" width="5.1640625" bestFit="1" customWidth="1"/>
    <col min="127" max="131" width="6.1640625" bestFit="1" customWidth="1"/>
    <col min="132" max="132" width="5.1640625" bestFit="1" customWidth="1"/>
    <col min="133" max="134" width="6.1640625" bestFit="1" customWidth="1"/>
    <col min="135" max="135" width="5.1640625" bestFit="1" customWidth="1"/>
    <col min="136" max="143" width="6.1640625" bestFit="1" customWidth="1"/>
    <col min="144" max="144" width="5.1640625" bestFit="1" customWidth="1"/>
    <col min="145" max="158" width="6.1640625" bestFit="1" customWidth="1"/>
    <col min="159" max="159" width="5.1640625" bestFit="1" customWidth="1"/>
    <col min="160" max="166" width="6.1640625" bestFit="1" customWidth="1"/>
    <col min="167" max="167" width="5.1640625" bestFit="1" customWidth="1"/>
    <col min="168" max="173" width="6.1640625" bestFit="1" customWidth="1"/>
    <col min="174" max="174" width="10.5" bestFit="1" customWidth="1"/>
  </cols>
  <sheetData>
    <row r="3" spans="1:4" x14ac:dyDescent="0.2">
      <c r="A3" s="3" t="s">
        <v>357</v>
      </c>
      <c r="B3" t="s">
        <v>386</v>
      </c>
      <c r="C3" t="s">
        <v>387</v>
      </c>
      <c r="D3" t="s">
        <v>388</v>
      </c>
    </row>
    <row r="4" spans="1:4" x14ac:dyDescent="0.2">
      <c r="A4" s="4" t="s">
        <v>38</v>
      </c>
      <c r="B4">
        <v>50862</v>
      </c>
      <c r="C4">
        <v>15305</v>
      </c>
      <c r="D4">
        <v>35557</v>
      </c>
    </row>
    <row r="5" spans="1:4" x14ac:dyDescent="0.2">
      <c r="A5" s="4" t="s">
        <v>31</v>
      </c>
      <c r="B5">
        <v>58311</v>
      </c>
      <c r="C5">
        <v>10307</v>
      </c>
      <c r="D5">
        <v>48004</v>
      </c>
    </row>
    <row r="6" spans="1:4" x14ac:dyDescent="0.2">
      <c r="A6" s="4" t="s">
        <v>14</v>
      </c>
      <c r="B6">
        <v>53484</v>
      </c>
      <c r="C6">
        <v>12307</v>
      </c>
      <c r="D6">
        <v>41177</v>
      </c>
    </row>
    <row r="7" spans="1:4" x14ac:dyDescent="0.2">
      <c r="A7" s="4" t="s">
        <v>27</v>
      </c>
      <c r="B7">
        <v>47471</v>
      </c>
      <c r="C7">
        <v>12104</v>
      </c>
      <c r="D7">
        <v>35367</v>
      </c>
    </row>
    <row r="10" spans="1:4" x14ac:dyDescent="0.2">
      <c r="A10" s="3" t="s">
        <v>357</v>
      </c>
      <c r="B10" t="s">
        <v>389</v>
      </c>
      <c r="C10" t="s">
        <v>474</v>
      </c>
    </row>
    <row r="11" spans="1:4" x14ac:dyDescent="0.2">
      <c r="A11" s="4" t="s">
        <v>38</v>
      </c>
      <c r="B11">
        <v>5.6486000000000001</v>
      </c>
      <c r="C11">
        <v>27590.78</v>
      </c>
    </row>
    <row r="12" spans="1:4" x14ac:dyDescent="0.2">
      <c r="A12" s="4" t="s">
        <v>31</v>
      </c>
      <c r="B12">
        <v>5.7156000000000002</v>
      </c>
      <c r="C12">
        <v>23287.46</v>
      </c>
    </row>
    <row r="13" spans="1:4" x14ac:dyDescent="0.2">
      <c r="A13" s="4" t="s">
        <v>14</v>
      </c>
      <c r="B13">
        <v>5.6558000000000002</v>
      </c>
      <c r="C13">
        <v>21207.14</v>
      </c>
    </row>
    <row r="14" spans="1:4" x14ac:dyDescent="0.2">
      <c r="A14" s="4" t="s">
        <v>27</v>
      </c>
      <c r="B14">
        <v>5.5587999999999997</v>
      </c>
      <c r="C14">
        <v>24572.94</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13F11-65AD-5340-8ACA-C6865AD73FB8}">
  <dimension ref="A3:G18"/>
  <sheetViews>
    <sheetView workbookViewId="0">
      <selection activeCell="B15" sqref="B15"/>
    </sheetView>
  </sheetViews>
  <sheetFormatPr baseColWidth="10" defaultRowHeight="16" x14ac:dyDescent="0.2"/>
  <cols>
    <col min="1" max="1" width="22.5" bestFit="1" customWidth="1"/>
    <col min="2" max="2" width="25.5" bestFit="1" customWidth="1"/>
    <col min="3" max="3" width="23.83203125" bestFit="1" customWidth="1"/>
    <col min="4" max="4" width="15.5" bestFit="1" customWidth="1"/>
    <col min="5" max="5" width="17" bestFit="1" customWidth="1"/>
    <col min="6" max="6" width="22.5" bestFit="1" customWidth="1"/>
    <col min="7" max="7" width="15.1640625" bestFit="1" customWidth="1"/>
  </cols>
  <sheetData>
    <row r="3" spans="1:7" x14ac:dyDescent="0.2">
      <c r="A3" s="3" t="s">
        <v>357</v>
      </c>
      <c r="B3" t="s">
        <v>411</v>
      </c>
      <c r="C3" t="s">
        <v>412</v>
      </c>
      <c r="D3" t="s">
        <v>408</v>
      </c>
      <c r="E3" t="s">
        <v>410</v>
      </c>
      <c r="F3" t="s">
        <v>377</v>
      </c>
      <c r="G3" t="s">
        <v>359</v>
      </c>
    </row>
    <row r="4" spans="1:7" x14ac:dyDescent="0.2">
      <c r="A4" s="4" t="s">
        <v>18</v>
      </c>
      <c r="B4">
        <v>38464</v>
      </c>
      <c r="C4">
        <v>2891.5208333333335</v>
      </c>
      <c r="D4">
        <v>134.04166666666666</v>
      </c>
      <c r="E4">
        <v>1846272</v>
      </c>
      <c r="F4">
        <v>138793</v>
      </c>
      <c r="G4">
        <v>6434</v>
      </c>
    </row>
    <row r="5" spans="1:7" x14ac:dyDescent="0.2">
      <c r="A5" s="4" t="s">
        <v>29</v>
      </c>
      <c r="B5">
        <v>33821.686567164179</v>
      </c>
      <c r="C5">
        <v>2736.5074626865671</v>
      </c>
      <c r="D5">
        <v>149.73134328358208</v>
      </c>
      <c r="E5">
        <v>2266053</v>
      </c>
      <c r="F5">
        <v>183346</v>
      </c>
      <c r="G5">
        <v>10032</v>
      </c>
    </row>
    <row r="6" spans="1:7" x14ac:dyDescent="0.2">
      <c r="A6" s="4" t="s">
        <v>24</v>
      </c>
      <c r="B6">
        <v>34247.517241379312</v>
      </c>
      <c r="C6">
        <v>2754.8793103448274</v>
      </c>
      <c r="D6">
        <v>170.20689655172413</v>
      </c>
      <c r="E6">
        <v>1986356</v>
      </c>
      <c r="F6">
        <v>159783</v>
      </c>
      <c r="G6">
        <v>9872</v>
      </c>
    </row>
    <row r="7" spans="1:7" x14ac:dyDescent="0.2">
      <c r="A7" s="4" t="s">
        <v>35</v>
      </c>
      <c r="B7">
        <v>34716.394366197186</v>
      </c>
      <c r="C7">
        <v>2646.605633802817</v>
      </c>
      <c r="D7">
        <v>150.54929577464787</v>
      </c>
      <c r="E7">
        <v>2464864</v>
      </c>
      <c r="F7">
        <v>187909</v>
      </c>
      <c r="G7">
        <v>10689</v>
      </c>
    </row>
    <row r="10" spans="1:7" x14ac:dyDescent="0.2">
      <c r="A10" s="3" t="s">
        <v>357</v>
      </c>
      <c r="B10" t="s">
        <v>389</v>
      </c>
      <c r="C10" t="s">
        <v>422</v>
      </c>
      <c r="E10" s="3" t="s">
        <v>357</v>
      </c>
      <c r="F10" t="s">
        <v>419</v>
      </c>
      <c r="G10" t="s">
        <v>390</v>
      </c>
    </row>
    <row r="11" spans="1:7" x14ac:dyDescent="0.2">
      <c r="A11" s="4" t="s">
        <v>414</v>
      </c>
      <c r="B11">
        <v>6.1150000000000002</v>
      </c>
      <c r="C11">
        <v>962.25</v>
      </c>
      <c r="E11" s="4" t="s">
        <v>18</v>
      </c>
      <c r="F11">
        <v>131.76000000000002</v>
      </c>
      <c r="G11">
        <v>558230</v>
      </c>
    </row>
    <row r="12" spans="1:7" x14ac:dyDescent="0.2">
      <c r="A12" s="4" t="s">
        <v>415</v>
      </c>
      <c r="B12">
        <v>5.5658333333333339</v>
      </c>
      <c r="C12">
        <v>789.25</v>
      </c>
      <c r="E12" s="4" t="s">
        <v>29</v>
      </c>
      <c r="F12">
        <v>38.059999999999995</v>
      </c>
      <c r="G12">
        <v>151428</v>
      </c>
    </row>
    <row r="13" spans="1:7" x14ac:dyDescent="0.2">
      <c r="A13" s="4" t="s">
        <v>416</v>
      </c>
      <c r="B13">
        <v>5.895517241379312</v>
      </c>
      <c r="C13">
        <v>634.9655172413793</v>
      </c>
      <c r="E13" s="4" t="s">
        <v>24</v>
      </c>
      <c r="F13">
        <v>83.320000000000007</v>
      </c>
      <c r="G13">
        <v>447611</v>
      </c>
    </row>
    <row r="14" spans="1:7" x14ac:dyDescent="0.2">
      <c r="A14" s="4" t="s">
        <v>418</v>
      </c>
      <c r="B14">
        <v>5.8500000000000005</v>
      </c>
      <c r="C14">
        <v>980.75</v>
      </c>
      <c r="E14" s="4" t="s">
        <v>417</v>
      </c>
      <c r="F14">
        <v>90.699999999999989</v>
      </c>
      <c r="G14">
        <v>315597</v>
      </c>
    </row>
    <row r="15" spans="1:7" x14ac:dyDescent="0.2">
      <c r="A15" s="4" t="s">
        <v>18</v>
      </c>
      <c r="B15">
        <v>6.3369999999999997</v>
      </c>
      <c r="C15">
        <v>1461.7</v>
      </c>
      <c r="E15" s="4" t="s">
        <v>358</v>
      </c>
      <c r="F15">
        <v>343.84000000000003</v>
      </c>
      <c r="G15">
        <v>1472866</v>
      </c>
    </row>
    <row r="16" spans="1:7" x14ac:dyDescent="0.2">
      <c r="A16" s="4" t="s">
        <v>29</v>
      </c>
      <c r="B16">
        <v>4.5874999999999995</v>
      </c>
      <c r="C16">
        <v>1266</v>
      </c>
    </row>
    <row r="17" spans="1:3" x14ac:dyDescent="0.2">
      <c r="A17" s="4" t="s">
        <v>24</v>
      </c>
      <c r="B17">
        <v>5.09375</v>
      </c>
      <c r="C17">
        <v>838.25</v>
      </c>
    </row>
    <row r="18" spans="1:3" x14ac:dyDescent="0.2">
      <c r="A18" s="4" t="s">
        <v>417</v>
      </c>
      <c r="B18">
        <v>6.2714285714285722</v>
      </c>
      <c r="C18">
        <v>533.14285714285711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82EA-96C6-B74E-8294-C89B4E4D502E}">
  <dimension ref="A3:E54"/>
  <sheetViews>
    <sheetView zoomScale="75" zoomScaleNormal="153" workbookViewId="0">
      <selection activeCell="A4" sqref="A4"/>
    </sheetView>
  </sheetViews>
  <sheetFormatPr baseColWidth="10" defaultRowHeight="16" x14ac:dyDescent="0.2"/>
  <cols>
    <col min="1" max="1" width="19.33203125" bestFit="1" customWidth="1"/>
    <col min="2" max="2" width="22" bestFit="1" customWidth="1"/>
    <col min="3" max="3" width="13" bestFit="1" customWidth="1"/>
    <col min="4" max="4" width="17" bestFit="1" customWidth="1"/>
    <col min="5" max="5" width="20" bestFit="1" customWidth="1"/>
    <col min="6" max="6" width="20.6640625" bestFit="1" customWidth="1"/>
  </cols>
  <sheetData>
    <row r="3" spans="1:2" x14ac:dyDescent="0.2">
      <c r="A3" s="3" t="s">
        <v>357</v>
      </c>
      <c r="B3" t="s">
        <v>421</v>
      </c>
    </row>
    <row r="4" spans="1:2" x14ac:dyDescent="0.2">
      <c r="A4" s="4" t="s">
        <v>423</v>
      </c>
      <c r="B4">
        <v>3554</v>
      </c>
    </row>
    <row r="5" spans="1:2" x14ac:dyDescent="0.2">
      <c r="A5" s="4" t="s">
        <v>424</v>
      </c>
      <c r="B5">
        <v>2980</v>
      </c>
    </row>
    <row r="6" spans="1:2" x14ac:dyDescent="0.2">
      <c r="A6" s="4" t="s">
        <v>425</v>
      </c>
      <c r="B6">
        <v>3907</v>
      </c>
    </row>
    <row r="7" spans="1:2" x14ac:dyDescent="0.2">
      <c r="A7" s="4" t="s">
        <v>426</v>
      </c>
      <c r="B7">
        <v>3011</v>
      </c>
    </row>
    <row r="8" spans="1:2" x14ac:dyDescent="0.2">
      <c r="A8" s="4" t="s">
        <v>427</v>
      </c>
      <c r="B8">
        <v>1293</v>
      </c>
    </row>
    <row r="9" spans="1:2" x14ac:dyDescent="0.2">
      <c r="A9" s="4" t="s">
        <v>428</v>
      </c>
      <c r="B9">
        <v>3042</v>
      </c>
    </row>
    <row r="10" spans="1:2" x14ac:dyDescent="0.2">
      <c r="A10" s="4" t="s">
        <v>429</v>
      </c>
      <c r="B10">
        <v>2270</v>
      </c>
    </row>
    <row r="11" spans="1:2" x14ac:dyDescent="0.2">
      <c r="A11" s="4" t="s">
        <v>430</v>
      </c>
      <c r="B11">
        <v>2753</v>
      </c>
    </row>
    <row r="12" spans="1:2" x14ac:dyDescent="0.2">
      <c r="A12" s="4" t="s">
        <v>431</v>
      </c>
      <c r="B12">
        <v>2193</v>
      </c>
    </row>
    <row r="13" spans="1:2" x14ac:dyDescent="0.2">
      <c r="A13" s="4" t="s">
        <v>432</v>
      </c>
      <c r="B13">
        <v>802</v>
      </c>
    </row>
    <row r="14" spans="1:2" x14ac:dyDescent="0.2">
      <c r="A14" s="4" t="s">
        <v>433</v>
      </c>
      <c r="B14">
        <v>3728</v>
      </c>
    </row>
    <row r="15" spans="1:2" x14ac:dyDescent="0.2">
      <c r="A15" s="4" t="s">
        <v>434</v>
      </c>
      <c r="B15">
        <v>2989</v>
      </c>
    </row>
    <row r="16" spans="1:2" x14ac:dyDescent="0.2">
      <c r="A16" s="4" t="s">
        <v>435</v>
      </c>
      <c r="B16">
        <v>2903</v>
      </c>
    </row>
    <row r="17" spans="1:5" x14ac:dyDescent="0.2">
      <c r="A17" s="4" t="s">
        <v>436</v>
      </c>
      <c r="B17">
        <v>2822</v>
      </c>
    </row>
    <row r="18" spans="1:5" x14ac:dyDescent="0.2">
      <c r="A18" s="4" t="s">
        <v>437</v>
      </c>
      <c r="B18">
        <v>4360</v>
      </c>
    </row>
    <row r="19" spans="1:5" x14ac:dyDescent="0.2">
      <c r="A19" s="4" t="s">
        <v>438</v>
      </c>
      <c r="B19">
        <v>1568</v>
      </c>
    </row>
    <row r="20" spans="1:5" x14ac:dyDescent="0.2">
      <c r="A20" s="4" t="s">
        <v>439</v>
      </c>
      <c r="B20">
        <v>3333</v>
      </c>
    </row>
    <row r="21" spans="1:5" x14ac:dyDescent="0.2">
      <c r="A21" s="4" t="s">
        <v>440</v>
      </c>
      <c r="B21">
        <v>3151</v>
      </c>
    </row>
    <row r="22" spans="1:5" x14ac:dyDescent="0.2">
      <c r="A22" s="4" t="s">
        <v>441</v>
      </c>
      <c r="B22">
        <v>3759</v>
      </c>
    </row>
    <row r="23" spans="1:5" x14ac:dyDescent="0.2">
      <c r="A23" s="4" t="s">
        <v>442</v>
      </c>
      <c r="B23">
        <v>1856</v>
      </c>
    </row>
    <row r="24" spans="1:5" x14ac:dyDescent="0.2">
      <c r="A24" s="4" t="s">
        <v>443</v>
      </c>
      <c r="B24">
        <v>2821</v>
      </c>
    </row>
    <row r="25" spans="1:5" x14ac:dyDescent="0.2">
      <c r="A25" s="4" t="s">
        <v>444</v>
      </c>
      <c r="B25">
        <v>2656</v>
      </c>
    </row>
    <row r="26" spans="1:5" x14ac:dyDescent="0.2">
      <c r="A26" s="4" t="s">
        <v>445</v>
      </c>
      <c r="B26">
        <v>4584</v>
      </c>
    </row>
    <row r="27" spans="1:5" x14ac:dyDescent="0.2">
      <c r="A27" s="4" t="s">
        <v>446</v>
      </c>
      <c r="B27">
        <v>2295</v>
      </c>
      <c r="D27" s="3" t="s">
        <v>357</v>
      </c>
      <c r="E27" t="s">
        <v>475</v>
      </c>
    </row>
    <row r="28" spans="1:5" x14ac:dyDescent="0.2">
      <c r="A28" s="4" t="s">
        <v>447</v>
      </c>
      <c r="B28">
        <v>528</v>
      </c>
      <c r="D28" s="4" t="s">
        <v>18</v>
      </c>
      <c r="E28">
        <v>237.85714285714286</v>
      </c>
    </row>
    <row r="29" spans="1:5" x14ac:dyDescent="0.2">
      <c r="A29" s="4" t="s">
        <v>448</v>
      </c>
      <c r="B29">
        <v>4008</v>
      </c>
      <c r="D29" s="4" t="s">
        <v>29</v>
      </c>
      <c r="E29">
        <v>167.625</v>
      </c>
    </row>
    <row r="30" spans="1:5" x14ac:dyDescent="0.2">
      <c r="A30" s="4" t="s">
        <v>449</v>
      </c>
      <c r="B30">
        <v>4795</v>
      </c>
      <c r="D30" s="4" t="s">
        <v>24</v>
      </c>
      <c r="E30">
        <v>214.125</v>
      </c>
    </row>
    <row r="31" spans="1:5" x14ac:dyDescent="0.2">
      <c r="A31" s="4" t="s">
        <v>450</v>
      </c>
      <c r="B31">
        <v>4792</v>
      </c>
      <c r="D31" s="4" t="s">
        <v>417</v>
      </c>
      <c r="E31">
        <v>194.8</v>
      </c>
    </row>
    <row r="32" spans="1:5" x14ac:dyDescent="0.2">
      <c r="A32" s="4" t="s">
        <v>451</v>
      </c>
      <c r="B32">
        <v>5044</v>
      </c>
      <c r="D32" s="4" t="s">
        <v>358</v>
      </c>
      <c r="E32">
        <v>211.4</v>
      </c>
    </row>
    <row r="33" spans="1:2" x14ac:dyDescent="0.2">
      <c r="A33" s="4" t="s">
        <v>452</v>
      </c>
      <c r="B33">
        <v>3914</v>
      </c>
    </row>
    <row r="34" spans="1:2" x14ac:dyDescent="0.2">
      <c r="A34" s="4" t="s">
        <v>453</v>
      </c>
      <c r="B34">
        <v>6530</v>
      </c>
    </row>
    <row r="35" spans="1:2" x14ac:dyDescent="0.2">
      <c r="A35" s="4" t="s">
        <v>454</v>
      </c>
      <c r="B35">
        <v>3557</v>
      </c>
    </row>
    <row r="36" spans="1:2" x14ac:dyDescent="0.2">
      <c r="A36" s="4" t="s">
        <v>455</v>
      </c>
      <c r="B36">
        <v>2777</v>
      </c>
    </row>
    <row r="37" spans="1:2" x14ac:dyDescent="0.2">
      <c r="A37" s="4" t="s">
        <v>456</v>
      </c>
      <c r="B37">
        <v>3614</v>
      </c>
    </row>
    <row r="38" spans="1:2" x14ac:dyDescent="0.2">
      <c r="A38" s="4" t="s">
        <v>457</v>
      </c>
      <c r="B38">
        <v>3383</v>
      </c>
    </row>
    <row r="39" spans="1:2" x14ac:dyDescent="0.2">
      <c r="A39" s="4" t="s">
        <v>458</v>
      </c>
      <c r="B39">
        <v>2194</v>
      </c>
    </row>
    <row r="40" spans="1:2" x14ac:dyDescent="0.2">
      <c r="A40" s="4" t="s">
        <v>459</v>
      </c>
      <c r="B40">
        <v>5281</v>
      </c>
    </row>
    <row r="41" spans="1:2" x14ac:dyDescent="0.2">
      <c r="A41" s="4" t="s">
        <v>460</v>
      </c>
      <c r="B41">
        <v>3693</v>
      </c>
    </row>
    <row r="42" spans="1:2" x14ac:dyDescent="0.2">
      <c r="A42" s="4" t="s">
        <v>461</v>
      </c>
      <c r="B42">
        <v>4806</v>
      </c>
    </row>
    <row r="43" spans="1:2" x14ac:dyDescent="0.2">
      <c r="A43" s="4" t="s">
        <v>462</v>
      </c>
      <c r="B43">
        <v>2410</v>
      </c>
    </row>
    <row r="44" spans="1:2" x14ac:dyDescent="0.2">
      <c r="A44" s="4" t="s">
        <v>463</v>
      </c>
      <c r="B44">
        <v>3712</v>
      </c>
    </row>
    <row r="45" spans="1:2" x14ac:dyDescent="0.2">
      <c r="A45" s="4" t="s">
        <v>464</v>
      </c>
      <c r="B45">
        <v>4042</v>
      </c>
    </row>
    <row r="46" spans="1:2" x14ac:dyDescent="0.2">
      <c r="A46" s="4" t="s">
        <v>465</v>
      </c>
      <c r="B46">
        <v>1616</v>
      </c>
    </row>
    <row r="47" spans="1:2" x14ac:dyDescent="0.2">
      <c r="A47" s="4" t="s">
        <v>466</v>
      </c>
      <c r="B47">
        <v>4298</v>
      </c>
    </row>
    <row r="48" spans="1:2" x14ac:dyDescent="0.2">
      <c r="A48" s="4" t="s">
        <v>467</v>
      </c>
      <c r="B48">
        <v>2412</v>
      </c>
    </row>
    <row r="49" spans="1:2" x14ac:dyDescent="0.2">
      <c r="A49" s="4" t="s">
        <v>468</v>
      </c>
      <c r="B49">
        <v>-137</v>
      </c>
    </row>
    <row r="50" spans="1:2" x14ac:dyDescent="0.2">
      <c r="A50" s="4" t="s">
        <v>469</v>
      </c>
      <c r="B50">
        <v>4040</v>
      </c>
    </row>
    <row r="51" spans="1:2" x14ac:dyDescent="0.2">
      <c r="A51" s="4" t="s">
        <v>470</v>
      </c>
      <c r="B51">
        <v>3577</v>
      </c>
    </row>
    <row r="52" spans="1:2" x14ac:dyDescent="0.2">
      <c r="A52" s="4" t="s">
        <v>471</v>
      </c>
      <c r="B52">
        <v>4594</v>
      </c>
    </row>
    <row r="53" spans="1:2" x14ac:dyDescent="0.2">
      <c r="A53" s="4" t="s">
        <v>472</v>
      </c>
      <c r="B53">
        <v>1995</v>
      </c>
    </row>
    <row r="54" spans="1:2" x14ac:dyDescent="0.2">
      <c r="A54" s="4" t="s">
        <v>358</v>
      </c>
      <c r="B54">
        <v>160105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905B12B-40A3-E843-85D9-A4518C4225A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Hashtag</vt:lpstr>
      <vt:lpstr>Posts (2)</vt:lpstr>
      <vt:lpstr>Engagement Summary</vt:lpstr>
      <vt:lpstr>Campaign Metadata</vt:lpstr>
      <vt:lpstr>Engagement Analysis</vt:lpstr>
      <vt:lpstr>Video Link</vt:lpstr>
      <vt:lpstr>Platform Analysis</vt:lpstr>
      <vt:lpstr>Campaign Effectiveness</vt:lpstr>
      <vt:lpstr>Follower Retention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Lovish Dabaria</dc:creator>
  <cp:lastModifiedBy>Lovish Dabaria</cp:lastModifiedBy>
  <dcterms:created xsi:type="dcterms:W3CDTF">2025-10-28T21:41:21Z</dcterms:created>
  <dcterms:modified xsi:type="dcterms:W3CDTF">2025-10-30T11:54:12Z</dcterms:modified>
</cp:coreProperties>
</file>